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37095" windowHeight="13995"/>
  </bookViews>
  <sheets>
    <sheet name="Fatores de forma" sheetId="1" r:id="rId1"/>
    <sheet name="Gráficos" sheetId="2" r:id="rId2"/>
  </sheets>
  <calcPr calcId="144525"/>
</workbook>
</file>

<file path=xl/calcChain.xml><?xml version="1.0" encoding="utf-8"?>
<calcChain xmlns="http://schemas.openxmlformats.org/spreadsheetml/2006/main">
  <c r="F57" i="1" l="1"/>
  <c r="K57" i="1" s="1"/>
  <c r="E57" i="1"/>
  <c r="F56" i="1"/>
  <c r="J56" i="1" s="1"/>
  <c r="E56" i="1"/>
  <c r="F55" i="1"/>
  <c r="K55" i="1" s="1"/>
  <c r="E55" i="1"/>
  <c r="J54" i="1"/>
  <c r="F54" i="1"/>
  <c r="K54" i="1" s="1"/>
  <c r="E54" i="1"/>
  <c r="F53" i="1"/>
  <c r="K53" i="1" s="1"/>
  <c r="E53" i="1"/>
  <c r="K47" i="1"/>
  <c r="J47" i="1"/>
  <c r="F47" i="1"/>
  <c r="G47" i="1" s="1"/>
  <c r="E47" i="1"/>
  <c r="F46" i="1"/>
  <c r="J46" i="1" s="1"/>
  <c r="E46" i="1"/>
  <c r="F45" i="1"/>
  <c r="K45" i="1" s="1"/>
  <c r="E45" i="1"/>
  <c r="F44" i="1"/>
  <c r="K44" i="1" s="1"/>
  <c r="E44" i="1"/>
  <c r="F43" i="1"/>
  <c r="K43" i="1" s="1"/>
  <c r="E43" i="1"/>
  <c r="K37" i="1"/>
  <c r="J37" i="1"/>
  <c r="F37" i="1"/>
  <c r="G37" i="1" s="1"/>
  <c r="E37" i="1"/>
  <c r="K36" i="1"/>
  <c r="F36" i="1"/>
  <c r="J36" i="1" s="1"/>
  <c r="E36" i="1"/>
  <c r="F35" i="1"/>
  <c r="G35" i="1" s="1"/>
  <c r="E35" i="1"/>
  <c r="F34" i="1"/>
  <c r="G34" i="1" s="1"/>
  <c r="E34" i="1"/>
  <c r="F33" i="1"/>
  <c r="K33" i="1" s="1"/>
  <c r="E33" i="1"/>
  <c r="I27" i="1"/>
  <c r="F27" i="1"/>
  <c r="K27" i="1" s="1"/>
  <c r="E27" i="1"/>
  <c r="F26" i="1"/>
  <c r="K26" i="1" s="1"/>
  <c r="E26" i="1"/>
  <c r="F25" i="1"/>
  <c r="K25" i="1" s="1"/>
  <c r="E25" i="1"/>
  <c r="F24" i="1"/>
  <c r="I24" i="1" s="1"/>
  <c r="E24" i="1"/>
  <c r="F23" i="1"/>
  <c r="G23" i="1" s="1"/>
  <c r="E23" i="1"/>
  <c r="E17" i="1"/>
  <c r="F17" i="1" s="1"/>
  <c r="E16" i="1"/>
  <c r="F16" i="1" s="1"/>
  <c r="I16" i="1" s="1"/>
  <c r="E15" i="1"/>
  <c r="F15" i="1" s="1"/>
  <c r="E14" i="1"/>
  <c r="F14" i="1" s="1"/>
  <c r="E13" i="1"/>
  <c r="F13" i="1" s="1"/>
  <c r="G13" i="1" s="1"/>
  <c r="W5" i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W515" i="1" s="1"/>
  <c r="W516" i="1" s="1"/>
  <c r="W517" i="1" s="1"/>
  <c r="W518" i="1" s="1"/>
  <c r="W519" i="1" s="1"/>
  <c r="W520" i="1" s="1"/>
  <c r="W521" i="1" s="1"/>
  <c r="W522" i="1" s="1"/>
  <c r="W523" i="1" s="1"/>
  <c r="W524" i="1" s="1"/>
  <c r="W525" i="1" s="1"/>
  <c r="W526" i="1" s="1"/>
  <c r="W527" i="1" s="1"/>
  <c r="W528" i="1" s="1"/>
  <c r="W529" i="1" s="1"/>
  <c r="W530" i="1" s="1"/>
  <c r="W531" i="1" s="1"/>
  <c r="W532" i="1" s="1"/>
  <c r="W533" i="1" s="1"/>
  <c r="W534" i="1" s="1"/>
  <c r="W535" i="1" s="1"/>
  <c r="W536" i="1" s="1"/>
  <c r="W537" i="1" s="1"/>
  <c r="W538" i="1" s="1"/>
  <c r="W539" i="1" s="1"/>
  <c r="W540" i="1" s="1"/>
  <c r="W541" i="1" s="1"/>
  <c r="W542" i="1" s="1"/>
  <c r="W543" i="1" s="1"/>
  <c r="W544" i="1" s="1"/>
  <c r="W545" i="1" s="1"/>
  <c r="W546" i="1" s="1"/>
  <c r="W547" i="1" s="1"/>
  <c r="W548" i="1" s="1"/>
  <c r="W549" i="1" s="1"/>
  <c r="W550" i="1" s="1"/>
  <c r="W551" i="1" s="1"/>
  <c r="W552" i="1" s="1"/>
  <c r="W553" i="1" s="1"/>
  <c r="W554" i="1" s="1"/>
  <c r="W555" i="1" s="1"/>
  <c r="W556" i="1" s="1"/>
  <c r="W557" i="1" s="1"/>
  <c r="W558" i="1" s="1"/>
  <c r="W559" i="1" s="1"/>
  <c r="W560" i="1" s="1"/>
  <c r="W561" i="1" s="1"/>
  <c r="W562" i="1" s="1"/>
  <c r="W563" i="1" s="1"/>
  <c r="W564" i="1" s="1"/>
  <c r="W565" i="1" s="1"/>
  <c r="W566" i="1" s="1"/>
  <c r="W567" i="1" s="1"/>
  <c r="W568" i="1" s="1"/>
  <c r="W569" i="1" s="1"/>
  <c r="W570" i="1" s="1"/>
  <c r="W571" i="1" s="1"/>
  <c r="W572" i="1" s="1"/>
  <c r="W573" i="1" s="1"/>
  <c r="W574" i="1" s="1"/>
  <c r="W575" i="1" s="1"/>
  <c r="W576" i="1" s="1"/>
  <c r="W577" i="1" s="1"/>
  <c r="W578" i="1" s="1"/>
  <c r="W579" i="1" s="1"/>
  <c r="W580" i="1" s="1"/>
  <c r="W581" i="1" s="1"/>
  <c r="W582" i="1" s="1"/>
  <c r="W583" i="1" s="1"/>
  <c r="W584" i="1" s="1"/>
  <c r="W585" i="1" s="1"/>
  <c r="W586" i="1" s="1"/>
  <c r="W587" i="1" s="1"/>
  <c r="W588" i="1" s="1"/>
  <c r="W589" i="1" s="1"/>
  <c r="W590" i="1" s="1"/>
  <c r="W591" i="1" s="1"/>
  <c r="W592" i="1" s="1"/>
  <c r="W593" i="1" s="1"/>
  <c r="W594" i="1" s="1"/>
  <c r="W595" i="1" s="1"/>
  <c r="W596" i="1" s="1"/>
  <c r="W597" i="1" s="1"/>
  <c r="W598" i="1" s="1"/>
  <c r="W599" i="1" s="1"/>
  <c r="W600" i="1" s="1"/>
  <c r="W601" i="1" s="1"/>
  <c r="W602" i="1" s="1"/>
  <c r="W603" i="1" s="1"/>
  <c r="W604" i="1" s="1"/>
  <c r="W605" i="1" s="1"/>
  <c r="W606" i="1" s="1"/>
  <c r="W607" i="1" s="1"/>
  <c r="W608" i="1" s="1"/>
  <c r="W609" i="1" s="1"/>
  <c r="W610" i="1" s="1"/>
  <c r="W611" i="1" s="1"/>
  <c r="W612" i="1" s="1"/>
  <c r="W613" i="1" s="1"/>
  <c r="W614" i="1" s="1"/>
  <c r="W615" i="1" s="1"/>
  <c r="W616" i="1" s="1"/>
  <c r="W617" i="1" s="1"/>
  <c r="W618" i="1" s="1"/>
  <c r="W619" i="1" s="1"/>
  <c r="W620" i="1" s="1"/>
  <c r="W621" i="1" s="1"/>
  <c r="W622" i="1" s="1"/>
  <c r="W623" i="1" s="1"/>
  <c r="W624" i="1" s="1"/>
  <c r="W625" i="1" s="1"/>
  <c r="W626" i="1" s="1"/>
  <c r="W627" i="1" s="1"/>
  <c r="W628" i="1" s="1"/>
  <c r="W629" i="1" s="1"/>
  <c r="W630" i="1" s="1"/>
  <c r="W631" i="1" s="1"/>
  <c r="W632" i="1" s="1"/>
  <c r="W633" i="1" s="1"/>
  <c r="W634" i="1" s="1"/>
  <c r="W635" i="1" s="1"/>
  <c r="W636" i="1" s="1"/>
  <c r="W637" i="1" s="1"/>
  <c r="W638" i="1" s="1"/>
  <c r="W639" i="1" s="1"/>
  <c r="W640" i="1" s="1"/>
  <c r="W641" i="1" s="1"/>
  <c r="W642" i="1" s="1"/>
  <c r="W643" i="1" s="1"/>
  <c r="W644" i="1" s="1"/>
  <c r="W645" i="1" s="1"/>
  <c r="W646" i="1" s="1"/>
  <c r="W647" i="1" s="1"/>
  <c r="W648" i="1" s="1"/>
  <c r="W649" i="1" s="1"/>
  <c r="W650" i="1" s="1"/>
  <c r="W651" i="1" s="1"/>
  <c r="W652" i="1" s="1"/>
  <c r="W653" i="1" s="1"/>
  <c r="W654" i="1" s="1"/>
  <c r="W655" i="1" s="1"/>
  <c r="W656" i="1" s="1"/>
  <c r="W657" i="1" s="1"/>
  <c r="W658" i="1" s="1"/>
  <c r="W659" i="1" s="1"/>
  <c r="W660" i="1" s="1"/>
  <c r="W661" i="1" s="1"/>
  <c r="W662" i="1" s="1"/>
  <c r="W663" i="1" s="1"/>
  <c r="W664" i="1" s="1"/>
  <c r="W665" i="1" s="1"/>
  <c r="W666" i="1" s="1"/>
  <c r="W667" i="1" s="1"/>
  <c r="W668" i="1" s="1"/>
  <c r="W669" i="1" s="1"/>
  <c r="W670" i="1" s="1"/>
  <c r="W671" i="1" s="1"/>
  <c r="W672" i="1" s="1"/>
  <c r="W673" i="1" s="1"/>
  <c r="W674" i="1" s="1"/>
  <c r="W675" i="1" s="1"/>
  <c r="W676" i="1" s="1"/>
  <c r="W677" i="1" s="1"/>
  <c r="W678" i="1" s="1"/>
  <c r="W679" i="1" s="1"/>
  <c r="W680" i="1" s="1"/>
  <c r="W681" i="1" s="1"/>
  <c r="W682" i="1" s="1"/>
  <c r="W683" i="1" s="1"/>
  <c r="W684" i="1" s="1"/>
  <c r="W685" i="1" s="1"/>
  <c r="W686" i="1" s="1"/>
  <c r="W687" i="1" s="1"/>
  <c r="W688" i="1" s="1"/>
  <c r="W689" i="1" s="1"/>
  <c r="W690" i="1" s="1"/>
  <c r="W691" i="1" s="1"/>
  <c r="W692" i="1" s="1"/>
  <c r="W693" i="1" s="1"/>
  <c r="W694" i="1" s="1"/>
  <c r="W695" i="1" s="1"/>
  <c r="W696" i="1" s="1"/>
  <c r="W697" i="1" s="1"/>
  <c r="W698" i="1" s="1"/>
  <c r="W699" i="1" s="1"/>
  <c r="W700" i="1" s="1"/>
  <c r="W701" i="1" s="1"/>
  <c r="W702" i="1" s="1"/>
  <c r="W703" i="1" s="1"/>
  <c r="W704" i="1" s="1"/>
  <c r="W705" i="1" s="1"/>
  <c r="W706" i="1" s="1"/>
  <c r="W707" i="1" s="1"/>
  <c r="W708" i="1" s="1"/>
  <c r="W709" i="1" s="1"/>
  <c r="W710" i="1" s="1"/>
  <c r="W711" i="1" s="1"/>
  <c r="W712" i="1" s="1"/>
  <c r="W713" i="1" s="1"/>
  <c r="W714" i="1" s="1"/>
  <c r="W715" i="1" s="1"/>
  <c r="W716" i="1" s="1"/>
  <c r="W717" i="1" s="1"/>
  <c r="W718" i="1" s="1"/>
  <c r="W719" i="1" s="1"/>
  <c r="W720" i="1" s="1"/>
  <c r="W721" i="1" s="1"/>
  <c r="W722" i="1" s="1"/>
  <c r="W723" i="1" s="1"/>
  <c r="W724" i="1" s="1"/>
  <c r="W725" i="1" s="1"/>
  <c r="W726" i="1" s="1"/>
  <c r="W727" i="1" s="1"/>
  <c r="W728" i="1" s="1"/>
  <c r="W729" i="1" s="1"/>
  <c r="W730" i="1" s="1"/>
  <c r="W731" i="1" s="1"/>
  <c r="W732" i="1" s="1"/>
  <c r="W733" i="1" s="1"/>
  <c r="W734" i="1" s="1"/>
  <c r="W735" i="1" s="1"/>
  <c r="W736" i="1" s="1"/>
  <c r="W737" i="1" s="1"/>
  <c r="W738" i="1" s="1"/>
  <c r="W739" i="1" s="1"/>
  <c r="W740" i="1" s="1"/>
  <c r="W741" i="1" s="1"/>
  <c r="W742" i="1" s="1"/>
  <c r="W743" i="1" s="1"/>
  <c r="W744" i="1" s="1"/>
  <c r="W745" i="1" s="1"/>
  <c r="W746" i="1" s="1"/>
  <c r="W747" i="1" s="1"/>
  <c r="W748" i="1" s="1"/>
  <c r="W749" i="1" s="1"/>
  <c r="W750" i="1" s="1"/>
  <c r="W751" i="1" s="1"/>
  <c r="W752" i="1" s="1"/>
  <c r="W753" i="1" s="1"/>
  <c r="W754" i="1" s="1"/>
  <c r="W755" i="1" s="1"/>
  <c r="W756" i="1" s="1"/>
  <c r="W757" i="1" s="1"/>
  <c r="W758" i="1" s="1"/>
  <c r="W759" i="1" s="1"/>
  <c r="W760" i="1" s="1"/>
  <c r="W761" i="1" s="1"/>
  <c r="W762" i="1" s="1"/>
  <c r="W763" i="1" s="1"/>
  <c r="W764" i="1" s="1"/>
  <c r="W765" i="1" s="1"/>
  <c r="W766" i="1" s="1"/>
  <c r="W767" i="1" s="1"/>
  <c r="W768" i="1" s="1"/>
  <c r="W769" i="1" s="1"/>
  <c r="W770" i="1" s="1"/>
  <c r="W771" i="1" s="1"/>
  <c r="W772" i="1" s="1"/>
  <c r="W773" i="1" s="1"/>
  <c r="W774" i="1" s="1"/>
  <c r="W775" i="1" s="1"/>
  <c r="W776" i="1" s="1"/>
  <c r="W777" i="1" s="1"/>
  <c r="W778" i="1" s="1"/>
  <c r="W779" i="1" s="1"/>
  <c r="W780" i="1" s="1"/>
  <c r="W781" i="1" s="1"/>
  <c r="W782" i="1" s="1"/>
  <c r="W783" i="1" s="1"/>
  <c r="W784" i="1" s="1"/>
  <c r="W785" i="1" s="1"/>
  <c r="W786" i="1" s="1"/>
  <c r="W787" i="1" s="1"/>
  <c r="W788" i="1" s="1"/>
  <c r="W789" i="1" s="1"/>
  <c r="W790" i="1" s="1"/>
  <c r="W791" i="1" s="1"/>
  <c r="W792" i="1" s="1"/>
  <c r="W793" i="1" s="1"/>
  <c r="W794" i="1" s="1"/>
  <c r="W795" i="1" s="1"/>
  <c r="W796" i="1" s="1"/>
  <c r="W797" i="1" s="1"/>
  <c r="W798" i="1" s="1"/>
  <c r="W799" i="1" s="1"/>
  <c r="W800" i="1" s="1"/>
  <c r="W801" i="1" s="1"/>
  <c r="W802" i="1" s="1"/>
  <c r="W803" i="1" s="1"/>
  <c r="W4" i="1"/>
  <c r="K17" i="1" l="1"/>
  <c r="I17" i="1"/>
  <c r="I37" i="1" s="1"/>
  <c r="J14" i="1"/>
  <c r="K14" i="1"/>
  <c r="I14" i="1"/>
  <c r="I34" i="1" s="1"/>
  <c r="G14" i="1"/>
  <c r="H34" i="1"/>
  <c r="N34" i="1"/>
  <c r="J34" i="1"/>
  <c r="J24" i="1"/>
  <c r="M24" i="1" s="1"/>
  <c r="K34" i="1"/>
  <c r="G44" i="1"/>
  <c r="H44" i="1" s="1"/>
  <c r="G54" i="1"/>
  <c r="H54" i="1" s="1"/>
  <c r="J44" i="1"/>
  <c r="G24" i="1"/>
  <c r="H24" i="1" s="1"/>
  <c r="G16" i="1"/>
  <c r="G55" i="1"/>
  <c r="T55" i="1" s="1"/>
  <c r="K24" i="1"/>
  <c r="J55" i="1"/>
  <c r="K46" i="1"/>
  <c r="J16" i="1"/>
  <c r="J26" i="1"/>
  <c r="I47" i="1"/>
  <c r="M47" i="1" s="1"/>
  <c r="O47" i="1" s="1"/>
  <c r="U47" i="1" s="1"/>
  <c r="K15" i="1"/>
  <c r="J15" i="1"/>
  <c r="I15" i="1"/>
  <c r="G15" i="1"/>
  <c r="T23" i="1"/>
  <c r="P23" i="1"/>
  <c r="N23" i="1"/>
  <c r="R23" i="1"/>
  <c r="H23" i="1"/>
  <c r="T35" i="1"/>
  <c r="N35" i="1"/>
  <c r="H35" i="1"/>
  <c r="I57" i="1"/>
  <c r="M37" i="1"/>
  <c r="P13" i="1"/>
  <c r="N13" i="1"/>
  <c r="N14" i="1"/>
  <c r="H14" i="1"/>
  <c r="T14" i="1"/>
  <c r="K35" i="1"/>
  <c r="J35" i="1"/>
  <c r="R13" i="1"/>
  <c r="T13" i="1"/>
  <c r="G26" i="1"/>
  <c r="J13" i="1"/>
  <c r="K13" i="1"/>
  <c r="P14" i="1"/>
  <c r="R14" i="1"/>
  <c r="T47" i="1"/>
  <c r="N47" i="1"/>
  <c r="H47" i="1"/>
  <c r="K23" i="1"/>
  <c r="J23" i="1"/>
  <c r="I23" i="1"/>
  <c r="I26" i="1"/>
  <c r="H13" i="1"/>
  <c r="I13" i="1"/>
  <c r="K16" i="1"/>
  <c r="M16" i="1"/>
  <c r="I44" i="1"/>
  <c r="T37" i="1"/>
  <c r="N37" i="1"/>
  <c r="H37" i="1"/>
  <c r="H55" i="1"/>
  <c r="N44" i="1"/>
  <c r="G45" i="1"/>
  <c r="N54" i="1"/>
  <c r="T34" i="1"/>
  <c r="G56" i="1"/>
  <c r="J45" i="1"/>
  <c r="G17" i="1"/>
  <c r="G25" i="1"/>
  <c r="G33" i="1"/>
  <c r="G43" i="1"/>
  <c r="G53" i="1"/>
  <c r="N55" i="1"/>
  <c r="K56" i="1"/>
  <c r="G57" i="1"/>
  <c r="I25" i="1"/>
  <c r="G36" i="1"/>
  <c r="G46" i="1"/>
  <c r="J17" i="1"/>
  <c r="M17" i="1" s="1"/>
  <c r="J25" i="1"/>
  <c r="J33" i="1"/>
  <c r="J43" i="1"/>
  <c r="J53" i="1"/>
  <c r="J57" i="1"/>
  <c r="G27" i="1"/>
  <c r="M14" i="1"/>
  <c r="J27" i="1"/>
  <c r="M27" i="1" s="1"/>
  <c r="N16" i="1" l="1"/>
  <c r="T16" i="1"/>
  <c r="N24" i="1"/>
  <c r="O24" i="1" s="1"/>
  <c r="S24" i="1" s="1"/>
  <c r="M44" i="1"/>
  <c r="O16" i="1"/>
  <c r="U16" i="1" s="1"/>
  <c r="P24" i="1"/>
  <c r="R24" i="1"/>
  <c r="R16" i="1"/>
  <c r="T24" i="1"/>
  <c r="H16" i="1"/>
  <c r="M34" i="1"/>
  <c r="O34" i="1" s="1"/>
  <c r="P16" i="1"/>
  <c r="Q16" i="1" s="1"/>
  <c r="T54" i="1"/>
  <c r="T44" i="1"/>
  <c r="U34" i="1"/>
  <c r="U24" i="1"/>
  <c r="N46" i="1"/>
  <c r="H46" i="1"/>
  <c r="T46" i="1"/>
  <c r="M23" i="1"/>
  <c r="O23" i="1" s="1"/>
  <c r="T45" i="1"/>
  <c r="N45" i="1"/>
  <c r="H45" i="1"/>
  <c r="I46" i="1"/>
  <c r="M46" i="1" s="1"/>
  <c r="O46" i="1" s="1"/>
  <c r="U46" i="1" s="1"/>
  <c r="M26" i="1"/>
  <c r="O26" i="1" s="1"/>
  <c r="I33" i="1"/>
  <c r="M13" i="1"/>
  <c r="O13" i="1" s="1"/>
  <c r="T43" i="1"/>
  <c r="N43" i="1"/>
  <c r="H43" i="1"/>
  <c r="O37" i="1"/>
  <c r="U37" i="1" s="1"/>
  <c r="T15" i="1"/>
  <c r="P15" i="1"/>
  <c r="H15" i="1"/>
  <c r="R15" i="1"/>
  <c r="N15" i="1"/>
  <c r="M57" i="1"/>
  <c r="O57" i="1" s="1"/>
  <c r="U57" i="1" s="1"/>
  <c r="M15" i="1"/>
  <c r="O15" i="1" s="1"/>
  <c r="I35" i="1"/>
  <c r="I45" i="1" s="1"/>
  <c r="M45" i="1" s="1"/>
  <c r="O45" i="1" s="1"/>
  <c r="U45" i="1" s="1"/>
  <c r="N36" i="1"/>
  <c r="H36" i="1"/>
  <c r="T36" i="1"/>
  <c r="T57" i="1"/>
  <c r="N57" i="1"/>
  <c r="H57" i="1"/>
  <c r="O14" i="1"/>
  <c r="P25" i="1"/>
  <c r="H25" i="1"/>
  <c r="R25" i="1"/>
  <c r="N25" i="1"/>
  <c r="T25" i="1"/>
  <c r="O44" i="1"/>
  <c r="T33" i="1"/>
  <c r="H33" i="1"/>
  <c r="N33" i="1"/>
  <c r="P17" i="1"/>
  <c r="H17" i="1"/>
  <c r="T17" i="1"/>
  <c r="R17" i="1"/>
  <c r="N17" i="1"/>
  <c r="O17" i="1" s="1"/>
  <c r="T56" i="1"/>
  <c r="N56" i="1"/>
  <c r="H56" i="1"/>
  <c r="I54" i="1"/>
  <c r="M54" i="1" s="1"/>
  <c r="O54" i="1" s="1"/>
  <c r="M25" i="1"/>
  <c r="I36" i="1"/>
  <c r="T53" i="1"/>
  <c r="N53" i="1"/>
  <c r="H53" i="1"/>
  <c r="H27" i="1"/>
  <c r="T27" i="1"/>
  <c r="R27" i="1"/>
  <c r="P27" i="1"/>
  <c r="N27" i="1"/>
  <c r="O27" i="1" s="1"/>
  <c r="R26" i="1"/>
  <c r="P26" i="1"/>
  <c r="N26" i="1"/>
  <c r="T26" i="1"/>
  <c r="H26" i="1"/>
  <c r="U44" i="1" l="1"/>
  <c r="O25" i="1"/>
  <c r="U54" i="1"/>
  <c r="S16" i="1"/>
  <c r="Q24" i="1"/>
  <c r="U17" i="1"/>
  <c r="S17" i="1"/>
  <c r="Q17" i="1"/>
  <c r="I56" i="1"/>
  <c r="M56" i="1" s="1"/>
  <c r="O56" i="1" s="1"/>
  <c r="U56" i="1" s="1"/>
  <c r="M36" i="1"/>
  <c r="O36" i="1" s="1"/>
  <c r="U36" i="1" s="1"/>
  <c r="S15" i="1"/>
  <c r="Q15" i="1"/>
  <c r="U15" i="1"/>
  <c r="U14" i="1"/>
  <c r="S14" i="1"/>
  <c r="Q14" i="1"/>
  <c r="M35" i="1"/>
  <c r="O35" i="1" s="1"/>
  <c r="U35" i="1" s="1"/>
  <c r="I55" i="1"/>
  <c r="M55" i="1" s="1"/>
  <c r="O55" i="1" s="1"/>
  <c r="U55" i="1" s="1"/>
  <c r="S23" i="1"/>
  <c r="Q23" i="1"/>
  <c r="U23" i="1"/>
  <c r="M33" i="1"/>
  <c r="O33" i="1" s="1"/>
  <c r="U33" i="1" s="1"/>
  <c r="U27" i="1"/>
  <c r="S27" i="1"/>
  <c r="Q27" i="1"/>
  <c r="U26" i="1"/>
  <c r="S26" i="1"/>
  <c r="Q26" i="1"/>
  <c r="Q25" i="1"/>
  <c r="U25" i="1"/>
  <c r="S25" i="1"/>
  <c r="I43" i="1"/>
  <c r="M43" i="1" s="1"/>
  <c r="O43" i="1" s="1"/>
  <c r="U43" i="1" s="1"/>
  <c r="S13" i="1"/>
  <c r="Q13" i="1"/>
  <c r="U13" i="1"/>
  <c r="Z802" i="1" l="1"/>
  <c r="Z794" i="1"/>
  <c r="Z786" i="1"/>
  <c r="Z778" i="1"/>
  <c r="Z770" i="1"/>
  <c r="Z762" i="1"/>
  <c r="Z754" i="1"/>
  <c r="Z746" i="1"/>
  <c r="Z738" i="1"/>
  <c r="Z730" i="1"/>
  <c r="Z722" i="1"/>
  <c r="Z714" i="1"/>
  <c r="Z706" i="1"/>
  <c r="Z698" i="1"/>
  <c r="Z690" i="1"/>
  <c r="Z682" i="1"/>
  <c r="Z674" i="1"/>
  <c r="Z797" i="1"/>
  <c r="Z789" i="1"/>
  <c r="Z781" i="1"/>
  <c r="Z773" i="1"/>
  <c r="Z765" i="1"/>
  <c r="Z757" i="1"/>
  <c r="Z749" i="1"/>
  <c r="Z741" i="1"/>
  <c r="Z733" i="1"/>
  <c r="Z725" i="1"/>
  <c r="Z717" i="1"/>
  <c r="Z709" i="1"/>
  <c r="Z701" i="1"/>
  <c r="Z693" i="1"/>
  <c r="Z685" i="1"/>
  <c r="Z800" i="1"/>
  <c r="Z792" i="1"/>
  <c r="Z784" i="1"/>
  <c r="Z776" i="1"/>
  <c r="Z768" i="1"/>
  <c r="Z760" i="1"/>
  <c r="Z752" i="1"/>
  <c r="Z744" i="1"/>
  <c r="Z736" i="1"/>
  <c r="Z728" i="1"/>
  <c r="Z720" i="1"/>
  <c r="Z712" i="1"/>
  <c r="Z704" i="1"/>
  <c r="Z696" i="1"/>
  <c r="Z803" i="1"/>
  <c r="Z795" i="1"/>
  <c r="Z787" i="1"/>
  <c r="Z779" i="1"/>
  <c r="Z771" i="1"/>
  <c r="Z763" i="1"/>
  <c r="Z755" i="1"/>
  <c r="Z747" i="1"/>
  <c r="Z739" i="1"/>
  <c r="Z731" i="1"/>
  <c r="Z723" i="1"/>
  <c r="Z798" i="1"/>
  <c r="Z790" i="1"/>
  <c r="Z782" i="1"/>
  <c r="Z774" i="1"/>
  <c r="Z766" i="1"/>
  <c r="Z758" i="1"/>
  <c r="Z750" i="1"/>
  <c r="Z742" i="1"/>
  <c r="Z734" i="1"/>
  <c r="Z801" i="1"/>
  <c r="Z793" i="1"/>
  <c r="Z785" i="1"/>
  <c r="Z777" i="1"/>
  <c r="Z769" i="1"/>
  <c r="Z796" i="1"/>
  <c r="Z788" i="1"/>
  <c r="Z772" i="1"/>
  <c r="Z708" i="1"/>
  <c r="Z694" i="1"/>
  <c r="Z692" i="1"/>
  <c r="Z684" i="1"/>
  <c r="Z675" i="1"/>
  <c r="Z665" i="1"/>
  <c r="Z657" i="1"/>
  <c r="Z649" i="1"/>
  <c r="Z641" i="1"/>
  <c r="Z633" i="1"/>
  <c r="Z625" i="1"/>
  <c r="Z767" i="1"/>
  <c r="Z753" i="1"/>
  <c r="Z726" i="1"/>
  <c r="Z710" i="1"/>
  <c r="Z799" i="1"/>
  <c r="Z680" i="1"/>
  <c r="Z668" i="1"/>
  <c r="Z660" i="1"/>
  <c r="Z652" i="1"/>
  <c r="Z644" i="1"/>
  <c r="Z636" i="1"/>
  <c r="Z628" i="1"/>
  <c r="Z620" i="1"/>
  <c r="Z612" i="1"/>
  <c r="Z604" i="1"/>
  <c r="Z761" i="1"/>
  <c r="Z740" i="1"/>
  <c r="Z729" i="1"/>
  <c r="Z703" i="1"/>
  <c r="Z673" i="1"/>
  <c r="Z705" i="1"/>
  <c r="Z678" i="1"/>
  <c r="Z663" i="1"/>
  <c r="Z748" i="1"/>
  <c r="Z707" i="1"/>
  <c r="Z732" i="1"/>
  <c r="Z691" i="1"/>
  <c r="Z671" i="1"/>
  <c r="Z666" i="1"/>
  <c r="Z783" i="1"/>
  <c r="Z756" i="1"/>
  <c r="Z700" i="1"/>
  <c r="Z689" i="1"/>
  <c r="Z702" i="1"/>
  <c r="Z687" i="1"/>
  <c r="Z683" i="1"/>
  <c r="Z669" i="1"/>
  <c r="Z661" i="1"/>
  <c r="Z775" i="1"/>
  <c r="Z764" i="1"/>
  <c r="Z743" i="1"/>
  <c r="Z719" i="1"/>
  <c r="Z735" i="1"/>
  <c r="Z695" i="1"/>
  <c r="Z751" i="1"/>
  <c r="Z716" i="1"/>
  <c r="Z791" i="1"/>
  <c r="Z780" i="1"/>
  <c r="Z759" i="1"/>
  <c r="Z697" i="1"/>
  <c r="Z679" i="1"/>
  <c r="Z646" i="1"/>
  <c r="Z640" i="1"/>
  <c r="Z634" i="1"/>
  <c r="Z592" i="1"/>
  <c r="Z584" i="1"/>
  <c r="Z576" i="1"/>
  <c r="Z568" i="1"/>
  <c r="Z560" i="1"/>
  <c r="Z552" i="1"/>
  <c r="Z544" i="1"/>
  <c r="Z536" i="1"/>
  <c r="Z528" i="1"/>
  <c r="Z520" i="1"/>
  <c r="Z512" i="1"/>
  <c r="Z737" i="1"/>
  <c r="Z664" i="1"/>
  <c r="Z638" i="1"/>
  <c r="Z632" i="1"/>
  <c r="Z626" i="1"/>
  <c r="Z611" i="1"/>
  <c r="Z600" i="1"/>
  <c r="Z721" i="1"/>
  <c r="Z667" i="1"/>
  <c r="Z630" i="1"/>
  <c r="Z624" i="1"/>
  <c r="Z595" i="1"/>
  <c r="Z587" i="1"/>
  <c r="Z579" i="1"/>
  <c r="Z571" i="1"/>
  <c r="Z563" i="1"/>
  <c r="Z555" i="1"/>
  <c r="Z547" i="1"/>
  <c r="Z539" i="1"/>
  <c r="Z711" i="1"/>
  <c r="Z622" i="1"/>
  <c r="Z618" i="1"/>
  <c r="Z609" i="1"/>
  <c r="Z607" i="1"/>
  <c r="Z598" i="1"/>
  <c r="Z670" i="1"/>
  <c r="Z655" i="1"/>
  <c r="Z616" i="1"/>
  <c r="Z605" i="1"/>
  <c r="Z659" i="1"/>
  <c r="Z653" i="1"/>
  <c r="Z647" i="1"/>
  <c r="Z718" i="1"/>
  <c r="Z688" i="1"/>
  <c r="Z677" i="1"/>
  <c r="Z651" i="1"/>
  <c r="Z645" i="1"/>
  <c r="Z639" i="1"/>
  <c r="Z614" i="1"/>
  <c r="Z603" i="1"/>
  <c r="Z681" i="1"/>
  <c r="Z643" i="1"/>
  <c r="Z637" i="1"/>
  <c r="Z631" i="1"/>
  <c r="Z596" i="1"/>
  <c r="Z588" i="1"/>
  <c r="Z580" i="1"/>
  <c r="Z635" i="1"/>
  <c r="Z629" i="1"/>
  <c r="Z623" i="1"/>
  <c r="Z610" i="1"/>
  <c r="Z601" i="1"/>
  <c r="Z676" i="1"/>
  <c r="Z627" i="1"/>
  <c r="Z621" i="1"/>
  <c r="Z599" i="1"/>
  <c r="Z745" i="1"/>
  <c r="Z672" i="1"/>
  <c r="Z699" i="1"/>
  <c r="Z727" i="1"/>
  <c r="Z715" i="1"/>
  <c r="Z686" i="1"/>
  <c r="Z658" i="1"/>
  <c r="Z656" i="1"/>
  <c r="Z724" i="1"/>
  <c r="Z713" i="1"/>
  <c r="Z662" i="1"/>
  <c r="Z654" i="1"/>
  <c r="Z648" i="1"/>
  <c r="Z583" i="1"/>
  <c r="Z581" i="1"/>
  <c r="Z557" i="1"/>
  <c r="Z551" i="1"/>
  <c r="Z545" i="1"/>
  <c r="Z529" i="1"/>
  <c r="Z585" i="1"/>
  <c r="Z549" i="1"/>
  <c r="Z543" i="1"/>
  <c r="Z534" i="1"/>
  <c r="Z517" i="1"/>
  <c r="Z505" i="1"/>
  <c r="Z497" i="1"/>
  <c r="Z489" i="1"/>
  <c r="Z481" i="1"/>
  <c r="Z473" i="1"/>
  <c r="Z465" i="1"/>
  <c r="Z457" i="1"/>
  <c r="Z449" i="1"/>
  <c r="Z441" i="1"/>
  <c r="Z433" i="1"/>
  <c r="Z425" i="1"/>
  <c r="Z417" i="1"/>
  <c r="Z409" i="1"/>
  <c r="Z401" i="1"/>
  <c r="Z393" i="1"/>
  <c r="Z385" i="1"/>
  <c r="Z650" i="1"/>
  <c r="Z615" i="1"/>
  <c r="Z594" i="1"/>
  <c r="Z522" i="1"/>
  <c r="Z510" i="1"/>
  <c r="Z541" i="1"/>
  <c r="Z527" i="1"/>
  <c r="Z515" i="1"/>
  <c r="Z500" i="1"/>
  <c r="Z492" i="1"/>
  <c r="Z484" i="1"/>
  <c r="Z476" i="1"/>
  <c r="Z468" i="1"/>
  <c r="Z608" i="1"/>
  <c r="Z591" i="1"/>
  <c r="Z589" i="1"/>
  <c r="Z574" i="1"/>
  <c r="Z532" i="1"/>
  <c r="Z572" i="1"/>
  <c r="Z566" i="1"/>
  <c r="Z537" i="1"/>
  <c r="Z508" i="1"/>
  <c r="Z503" i="1"/>
  <c r="Z495" i="1"/>
  <c r="Z487" i="1"/>
  <c r="Z479" i="1"/>
  <c r="Z471" i="1"/>
  <c r="Z463" i="1"/>
  <c r="Z619" i="1"/>
  <c r="Z597" i="1"/>
  <c r="Z578" i="1"/>
  <c r="Z570" i="1"/>
  <c r="Z564" i="1"/>
  <c r="Z558" i="1"/>
  <c r="Z525" i="1"/>
  <c r="Z513" i="1"/>
  <c r="Z602" i="1"/>
  <c r="Z593" i="1"/>
  <c r="Z582" i="1"/>
  <c r="Z562" i="1"/>
  <c r="Z556" i="1"/>
  <c r="Z550" i="1"/>
  <c r="Z530" i="1"/>
  <c r="Z518" i="1"/>
  <c r="Z498" i="1"/>
  <c r="Z490" i="1"/>
  <c r="Z482" i="1"/>
  <c r="Z474" i="1"/>
  <c r="Z466" i="1"/>
  <c r="Z642" i="1"/>
  <c r="Z554" i="1"/>
  <c r="Z548" i="1"/>
  <c r="Z535" i="1"/>
  <c r="Z523" i="1"/>
  <c r="Z506" i="1"/>
  <c r="Z613" i="1"/>
  <c r="Z546" i="1"/>
  <c r="Z542" i="1"/>
  <c r="Z511" i="1"/>
  <c r="Z501" i="1"/>
  <c r="Z493" i="1"/>
  <c r="Z485" i="1"/>
  <c r="Z477" i="1"/>
  <c r="Z469" i="1"/>
  <c r="Z586" i="1"/>
  <c r="Z516" i="1"/>
  <c r="Z606" i="1"/>
  <c r="Z590" i="1"/>
  <c r="Z540" i="1"/>
  <c r="Z533" i="1"/>
  <c r="Z521" i="1"/>
  <c r="Z526" i="1"/>
  <c r="Z617" i="1"/>
  <c r="Z577" i="1"/>
  <c r="Z575" i="1"/>
  <c r="Z569" i="1"/>
  <c r="Z538" i="1"/>
  <c r="Z531" i="1"/>
  <c r="Z573" i="1"/>
  <c r="Z567" i="1"/>
  <c r="Z561" i="1"/>
  <c r="Z565" i="1"/>
  <c r="Z559" i="1"/>
  <c r="Z553" i="1"/>
  <c r="Z524" i="1"/>
  <c r="Z494" i="1"/>
  <c r="Z488" i="1"/>
  <c r="Z460" i="1"/>
  <c r="Z458" i="1"/>
  <c r="Z456" i="1"/>
  <c r="Z450" i="1"/>
  <c r="Z444" i="1"/>
  <c r="Z387" i="1"/>
  <c r="Z509" i="1"/>
  <c r="Z483" i="1"/>
  <c r="Z454" i="1"/>
  <c r="Z448" i="1"/>
  <c r="Z442" i="1"/>
  <c r="Z436" i="1"/>
  <c r="Z427" i="1"/>
  <c r="Z416" i="1"/>
  <c r="Z405" i="1"/>
  <c r="Z394" i="1"/>
  <c r="Z377" i="1"/>
  <c r="Z369" i="1"/>
  <c r="Z361" i="1"/>
  <c r="Z353" i="1"/>
  <c r="Z345" i="1"/>
  <c r="Z337" i="1"/>
  <c r="Z329" i="1"/>
  <c r="Z321" i="1"/>
  <c r="Z313" i="1"/>
  <c r="Z305" i="1"/>
  <c r="Z297" i="1"/>
  <c r="Z289" i="1"/>
  <c r="Z281" i="1"/>
  <c r="Z273" i="1"/>
  <c r="Z265" i="1"/>
  <c r="Z257" i="1"/>
  <c r="Z478" i="1"/>
  <c r="Z446" i="1"/>
  <c r="Z440" i="1"/>
  <c r="Z472" i="1"/>
  <c r="Z438" i="1"/>
  <c r="Z434" i="1"/>
  <c r="Z423" i="1"/>
  <c r="Z414" i="1"/>
  <c r="Z412" i="1"/>
  <c r="Z403" i="1"/>
  <c r="Z392" i="1"/>
  <c r="Z380" i="1"/>
  <c r="Z372" i="1"/>
  <c r="Z364" i="1"/>
  <c r="Z356" i="1"/>
  <c r="Z348" i="1"/>
  <c r="Z340" i="1"/>
  <c r="Z462" i="1"/>
  <c r="Z432" i="1"/>
  <c r="Z421" i="1"/>
  <c r="Z410" i="1"/>
  <c r="Z399" i="1"/>
  <c r="Z390" i="1"/>
  <c r="Z383" i="1"/>
  <c r="Z375" i="1"/>
  <c r="Z367" i="1"/>
  <c r="Z359" i="1"/>
  <c r="Z351" i="1"/>
  <c r="Z343" i="1"/>
  <c r="Z335" i="1"/>
  <c r="Z514" i="1"/>
  <c r="Z464" i="1"/>
  <c r="Z388" i="1"/>
  <c r="Z507" i="1"/>
  <c r="Z502" i="1"/>
  <c r="Z496" i="1"/>
  <c r="Z455" i="1"/>
  <c r="Z430" i="1"/>
  <c r="Z428" i="1"/>
  <c r="Z419" i="1"/>
  <c r="Z408" i="1"/>
  <c r="Z397" i="1"/>
  <c r="Z378" i="1"/>
  <c r="Z370" i="1"/>
  <c r="Z362" i="1"/>
  <c r="Z354" i="1"/>
  <c r="Z346" i="1"/>
  <c r="Z338" i="1"/>
  <c r="Z491" i="1"/>
  <c r="Z467" i="1"/>
  <c r="Z453" i="1"/>
  <c r="Z447" i="1"/>
  <c r="Z486" i="1"/>
  <c r="Z480" i="1"/>
  <c r="Z461" i="1"/>
  <c r="Z459" i="1"/>
  <c r="Z451" i="1"/>
  <c r="Z445" i="1"/>
  <c r="Z439" i="1"/>
  <c r="Z426" i="1"/>
  <c r="Z415" i="1"/>
  <c r="Z406" i="1"/>
  <c r="Z404" i="1"/>
  <c r="Z395" i="1"/>
  <c r="Z386" i="1"/>
  <c r="Z381" i="1"/>
  <c r="Z373" i="1"/>
  <c r="Z365" i="1"/>
  <c r="Z357" i="1"/>
  <c r="Z349" i="1"/>
  <c r="Z341" i="1"/>
  <c r="Z475" i="1"/>
  <c r="Z443" i="1"/>
  <c r="Z437" i="1"/>
  <c r="Z435" i="1"/>
  <c r="Z424" i="1"/>
  <c r="Z413" i="1"/>
  <c r="Z402" i="1"/>
  <c r="Z391" i="1"/>
  <c r="Z470" i="1"/>
  <c r="Z431" i="1"/>
  <c r="Z422" i="1"/>
  <c r="Z420" i="1"/>
  <c r="Z504" i="1"/>
  <c r="Z519" i="1"/>
  <c r="Z499" i="1"/>
  <c r="Z452" i="1"/>
  <c r="Z429" i="1"/>
  <c r="Z418" i="1"/>
  <c r="Z407" i="1"/>
  <c r="Z398" i="1"/>
  <c r="Z396" i="1"/>
  <c r="Z344" i="1"/>
  <c r="Z331" i="1"/>
  <c r="Z325" i="1"/>
  <c r="Z319" i="1"/>
  <c r="Z272" i="1"/>
  <c r="Z256" i="1"/>
  <c r="Z411" i="1"/>
  <c r="Z323" i="1"/>
  <c r="Z317" i="1"/>
  <c r="Z311" i="1"/>
  <c r="Z261" i="1"/>
  <c r="Z251" i="1"/>
  <c r="Z243" i="1"/>
  <c r="Z235" i="1"/>
  <c r="Z227" i="1"/>
  <c r="Z219" i="1"/>
  <c r="Z211" i="1"/>
  <c r="Z203" i="1"/>
  <c r="Z195" i="1"/>
  <c r="Z187" i="1"/>
  <c r="Z179" i="1"/>
  <c r="Z171" i="1"/>
  <c r="Z163" i="1"/>
  <c r="Z155" i="1"/>
  <c r="Z147" i="1"/>
  <c r="Z315" i="1"/>
  <c r="Z309" i="1"/>
  <c r="Z303" i="1"/>
  <c r="Z270" i="1"/>
  <c r="Z268" i="1"/>
  <c r="Z382" i="1"/>
  <c r="Z376" i="1"/>
  <c r="Z347" i="1"/>
  <c r="Z307" i="1"/>
  <c r="Z301" i="1"/>
  <c r="Z295" i="1"/>
  <c r="Z254" i="1"/>
  <c r="Z246" i="1"/>
  <c r="Z238" i="1"/>
  <c r="Z230" i="1"/>
  <c r="Z222" i="1"/>
  <c r="Z371" i="1"/>
  <c r="Z299" i="1"/>
  <c r="Z293" i="1"/>
  <c r="Z287" i="1"/>
  <c r="Z266" i="1"/>
  <c r="Z259" i="1"/>
  <c r="Z366" i="1"/>
  <c r="Z360" i="1"/>
  <c r="Z291" i="1"/>
  <c r="Z285" i="1"/>
  <c r="Z279" i="1"/>
  <c r="Z249" i="1"/>
  <c r="Z241" i="1"/>
  <c r="Z233" i="1"/>
  <c r="Z225" i="1"/>
  <c r="Z217" i="1"/>
  <c r="Z355" i="1"/>
  <c r="Z332" i="1"/>
  <c r="Z283" i="1"/>
  <c r="Z277" i="1"/>
  <c r="Z264" i="1"/>
  <c r="Z350" i="1"/>
  <c r="Z330" i="1"/>
  <c r="Z324" i="1"/>
  <c r="Z275" i="1"/>
  <c r="Z252" i="1"/>
  <c r="Z244" i="1"/>
  <c r="Z236" i="1"/>
  <c r="Z228" i="1"/>
  <c r="Z220" i="1"/>
  <c r="Z334" i="1"/>
  <c r="Z328" i="1"/>
  <c r="Z322" i="1"/>
  <c r="Z316" i="1"/>
  <c r="Z271" i="1"/>
  <c r="Z262" i="1"/>
  <c r="Z326" i="1"/>
  <c r="Z320" i="1"/>
  <c r="Z314" i="1"/>
  <c r="Z308" i="1"/>
  <c r="Z255" i="1"/>
  <c r="Z247" i="1"/>
  <c r="Z239" i="1"/>
  <c r="Z231" i="1"/>
  <c r="Z223" i="1"/>
  <c r="Z215" i="1"/>
  <c r="Z339" i="1"/>
  <c r="Z336" i="1"/>
  <c r="Z318" i="1"/>
  <c r="Z312" i="1"/>
  <c r="Z306" i="1"/>
  <c r="Z300" i="1"/>
  <c r="Z269" i="1"/>
  <c r="Z260" i="1"/>
  <c r="Z384" i="1"/>
  <c r="Z379" i="1"/>
  <c r="Z310" i="1"/>
  <c r="Z304" i="1"/>
  <c r="Z298" i="1"/>
  <c r="Z292" i="1"/>
  <c r="Z374" i="1"/>
  <c r="Z368" i="1"/>
  <c r="Z342" i="1"/>
  <c r="Z302" i="1"/>
  <c r="Z296" i="1"/>
  <c r="Z290" i="1"/>
  <c r="Z284" i="1"/>
  <c r="Z267" i="1"/>
  <c r="Z400" i="1"/>
  <c r="Z363" i="1"/>
  <c r="Z294" i="1"/>
  <c r="Z288" i="1"/>
  <c r="Z282" i="1"/>
  <c r="Z358" i="1"/>
  <c r="Z352" i="1"/>
  <c r="Z389" i="1"/>
  <c r="Z333" i="1"/>
  <c r="Z327" i="1"/>
  <c r="Z278" i="1"/>
  <c r="Z248" i="1"/>
  <c r="Z242" i="1"/>
  <c r="Z208" i="1"/>
  <c r="Z168" i="1"/>
  <c r="Z162" i="1"/>
  <c r="Z156" i="1"/>
  <c r="Z150" i="1"/>
  <c r="Z136" i="1"/>
  <c r="Z258" i="1"/>
  <c r="Z237" i="1"/>
  <c r="Z210" i="1"/>
  <c r="Z160" i="1"/>
  <c r="Z154" i="1"/>
  <c r="Z148" i="1"/>
  <c r="Z141" i="1"/>
  <c r="Z129" i="1"/>
  <c r="Z121" i="1"/>
  <c r="Z113" i="1"/>
  <c r="Z105" i="1"/>
  <c r="Z97" i="1"/>
  <c r="Z89" i="1"/>
  <c r="Z81" i="1"/>
  <c r="Z73" i="1"/>
  <c r="Z65" i="1"/>
  <c r="Z57" i="1"/>
  <c r="Z286" i="1"/>
  <c r="Z232" i="1"/>
  <c r="Z218" i="1"/>
  <c r="Z152" i="1"/>
  <c r="Z134" i="1"/>
  <c r="Z201" i="1"/>
  <c r="Z199" i="1"/>
  <c r="Z193" i="1"/>
  <c r="Z146" i="1"/>
  <c r="Z139" i="1"/>
  <c r="Z124" i="1"/>
  <c r="Z116" i="1"/>
  <c r="Z108" i="1"/>
  <c r="Z100" i="1"/>
  <c r="Z92" i="1"/>
  <c r="Z84" i="1"/>
  <c r="Z226" i="1"/>
  <c r="Z197" i="1"/>
  <c r="Z191" i="1"/>
  <c r="Z185" i="1"/>
  <c r="Z280" i="1"/>
  <c r="Z212" i="1"/>
  <c r="Z189" i="1"/>
  <c r="Z183" i="1"/>
  <c r="Z177" i="1"/>
  <c r="Z144" i="1"/>
  <c r="Z132" i="1"/>
  <c r="Z127" i="1"/>
  <c r="Z119" i="1"/>
  <c r="Z111" i="1"/>
  <c r="Z103" i="1"/>
  <c r="Z95" i="1"/>
  <c r="Z87" i="1"/>
  <c r="Z79" i="1"/>
  <c r="Z263" i="1"/>
  <c r="Z207" i="1"/>
  <c r="Z205" i="1"/>
  <c r="Z181" i="1"/>
  <c r="Z175" i="1"/>
  <c r="Z169" i="1"/>
  <c r="Z137" i="1"/>
  <c r="Z276" i="1"/>
  <c r="Z250" i="1"/>
  <c r="Z173" i="1"/>
  <c r="Z167" i="1"/>
  <c r="Z161" i="1"/>
  <c r="Z142" i="1"/>
  <c r="Z122" i="1"/>
  <c r="Z114" i="1"/>
  <c r="Z106" i="1"/>
  <c r="Z98" i="1"/>
  <c r="Z90" i="1"/>
  <c r="Z245" i="1"/>
  <c r="Z221" i="1"/>
  <c r="Z214" i="1"/>
  <c r="Z209" i="1"/>
  <c r="Z165" i="1"/>
  <c r="Z159" i="1"/>
  <c r="Z153" i="1"/>
  <c r="Z130" i="1"/>
  <c r="Z240" i="1"/>
  <c r="Z234" i="1"/>
  <c r="Z157" i="1"/>
  <c r="Z151" i="1"/>
  <c r="Z135" i="1"/>
  <c r="Z125" i="1"/>
  <c r="Z117" i="1"/>
  <c r="Z109" i="1"/>
  <c r="Z274" i="1"/>
  <c r="Z229" i="1"/>
  <c r="Z198" i="1"/>
  <c r="Z149" i="1"/>
  <c r="Z140" i="1"/>
  <c r="Z196" i="1"/>
  <c r="Z190" i="1"/>
  <c r="Z145" i="1"/>
  <c r="Z202" i="1"/>
  <c r="Z200" i="1"/>
  <c r="Z194" i="1"/>
  <c r="Z188" i="1"/>
  <c r="Z182" i="1"/>
  <c r="Z206" i="1"/>
  <c r="Z204" i="1"/>
  <c r="Z192" i="1"/>
  <c r="Z186" i="1"/>
  <c r="Z180" i="1"/>
  <c r="Z174" i="1"/>
  <c r="Z224" i="1"/>
  <c r="Z216" i="1"/>
  <c r="Z184" i="1"/>
  <c r="Z178" i="1"/>
  <c r="Z172" i="1"/>
  <c r="Z166" i="1"/>
  <c r="Z253" i="1"/>
  <c r="Z213" i="1"/>
  <c r="Z176" i="1"/>
  <c r="Z170" i="1"/>
  <c r="Z164" i="1"/>
  <c r="Z158" i="1"/>
  <c r="Z102" i="1"/>
  <c r="Z83" i="1"/>
  <c r="Z101" i="1"/>
  <c r="Z88" i="1"/>
  <c r="Z76" i="1"/>
  <c r="Z52" i="1"/>
  <c r="Z42" i="1"/>
  <c r="Z32" i="1"/>
  <c r="Z24" i="1"/>
  <c r="Z16" i="1"/>
  <c r="Z8" i="1"/>
  <c r="Z138" i="1"/>
  <c r="Z85" i="1"/>
  <c r="Z74" i="1"/>
  <c r="Z68" i="1"/>
  <c r="Z131" i="1"/>
  <c r="Z126" i="1"/>
  <c r="Z120" i="1"/>
  <c r="Z91" i="1"/>
  <c r="Z80" i="1"/>
  <c r="Z78" i="1"/>
  <c r="Z72" i="1"/>
  <c r="Z66" i="1"/>
  <c r="Z60" i="1"/>
  <c r="Z55" i="1"/>
  <c r="Z47" i="1"/>
  <c r="Z37" i="1"/>
  <c r="Z27" i="1"/>
  <c r="Z19" i="1"/>
  <c r="Z115" i="1"/>
  <c r="Z70" i="1"/>
  <c r="Z64" i="1"/>
  <c r="Z58" i="1"/>
  <c r="Z110" i="1"/>
  <c r="Z94" i="1"/>
  <c r="Z82" i="1"/>
  <c r="Z62" i="1"/>
  <c r="Z54" i="1"/>
  <c r="Z50" i="1"/>
  <c r="Z44" i="1"/>
  <c r="Z40" i="1"/>
  <c r="Z34" i="1"/>
  <c r="Z30" i="1"/>
  <c r="Z22" i="1"/>
  <c r="Z14" i="1"/>
  <c r="Z6" i="1"/>
  <c r="Z104" i="1"/>
  <c r="Z93" i="1"/>
  <c r="Z25" i="1"/>
  <c r="Z17" i="1"/>
  <c r="Z9" i="1"/>
  <c r="Z4" i="1"/>
  <c r="Z28" i="1"/>
  <c r="Z20" i="1"/>
  <c r="Z12" i="1"/>
  <c r="Z41" i="1"/>
  <c r="Z96" i="1"/>
  <c r="Z48" i="1"/>
  <c r="Z46" i="1"/>
  <c r="Z38" i="1"/>
  <c r="Z36" i="1"/>
  <c r="Z128" i="1"/>
  <c r="Z77" i="1"/>
  <c r="Z71" i="1"/>
  <c r="Z143" i="1"/>
  <c r="Z123" i="1"/>
  <c r="Z99" i="1"/>
  <c r="Z75" i="1"/>
  <c r="Z69" i="1"/>
  <c r="Z63" i="1"/>
  <c r="Z53" i="1"/>
  <c r="Z51" i="1"/>
  <c r="Z43" i="1"/>
  <c r="Z133" i="1"/>
  <c r="Z118" i="1"/>
  <c r="Z112" i="1"/>
  <c r="Z67" i="1"/>
  <c r="Z61" i="1"/>
  <c r="Z107" i="1"/>
  <c r="Z59" i="1"/>
  <c r="Z86" i="1"/>
  <c r="Z56" i="1"/>
  <c r="Z49" i="1"/>
  <c r="Z45" i="1"/>
  <c r="Z39" i="1"/>
  <c r="Z35" i="1"/>
  <c r="Z23" i="1"/>
  <c r="Z21" i="1"/>
  <c r="Z31" i="1"/>
  <c r="Z26" i="1"/>
  <c r="Z18" i="1"/>
  <c r="Z10" i="1"/>
  <c r="Z13" i="1"/>
  <c r="Z29" i="1"/>
  <c r="Z3" i="1"/>
  <c r="Z33" i="1"/>
  <c r="Z15" i="1"/>
  <c r="Z11" i="1"/>
  <c r="Z7" i="1"/>
  <c r="Z5" i="1"/>
  <c r="AC800" i="1"/>
  <c r="AC792" i="1"/>
  <c r="AC784" i="1"/>
  <c r="AC776" i="1"/>
  <c r="AC768" i="1"/>
  <c r="AC760" i="1"/>
  <c r="AC752" i="1"/>
  <c r="AC744" i="1"/>
  <c r="AC736" i="1"/>
  <c r="AC728" i="1"/>
  <c r="AC720" i="1"/>
  <c r="AC712" i="1"/>
  <c r="AC704" i="1"/>
  <c r="AC696" i="1"/>
  <c r="AC688" i="1"/>
  <c r="AC803" i="1"/>
  <c r="AC795" i="1"/>
  <c r="AC787" i="1"/>
  <c r="AC779" i="1"/>
  <c r="AC771" i="1"/>
  <c r="AC763" i="1"/>
  <c r="AC755" i="1"/>
  <c r="AC747" i="1"/>
  <c r="AC739" i="1"/>
  <c r="AC731" i="1"/>
  <c r="AC723" i="1"/>
  <c r="AC715" i="1"/>
  <c r="AC798" i="1"/>
  <c r="AC790" i="1"/>
  <c r="AC782" i="1"/>
  <c r="AC774" i="1"/>
  <c r="AC766" i="1"/>
  <c r="AC758" i="1"/>
  <c r="AC750" i="1"/>
  <c r="AC742" i="1"/>
  <c r="AC734" i="1"/>
  <c r="AC726" i="1"/>
  <c r="AC718" i="1"/>
  <c r="AC710" i="1"/>
  <c r="AC702" i="1"/>
  <c r="AC801" i="1"/>
  <c r="AC793" i="1"/>
  <c r="AC785" i="1"/>
  <c r="AC777" i="1"/>
  <c r="AC769" i="1"/>
  <c r="AC761" i="1"/>
  <c r="AC753" i="1"/>
  <c r="AC745" i="1"/>
  <c r="AC737" i="1"/>
  <c r="AC729" i="1"/>
  <c r="AC721" i="1"/>
  <c r="AC796" i="1"/>
  <c r="AC788" i="1"/>
  <c r="AC780" i="1"/>
  <c r="AC772" i="1"/>
  <c r="AC764" i="1"/>
  <c r="AC756" i="1"/>
  <c r="AC748" i="1"/>
  <c r="AC740" i="1"/>
  <c r="AC799" i="1"/>
  <c r="AC791" i="1"/>
  <c r="AC783" i="1"/>
  <c r="AC775" i="1"/>
  <c r="AC802" i="1"/>
  <c r="AC794" i="1"/>
  <c r="AC786" i="1"/>
  <c r="AC778" i="1"/>
  <c r="AC762" i="1"/>
  <c r="AC741" i="1"/>
  <c r="AC703" i="1"/>
  <c r="AC680" i="1"/>
  <c r="AC673" i="1"/>
  <c r="AC705" i="1"/>
  <c r="AC678" i="1"/>
  <c r="AC663" i="1"/>
  <c r="AC655" i="1"/>
  <c r="AC647" i="1"/>
  <c r="AC639" i="1"/>
  <c r="AC631" i="1"/>
  <c r="AC623" i="1"/>
  <c r="AC615" i="1"/>
  <c r="AC607" i="1"/>
  <c r="AC599" i="1"/>
  <c r="AC749" i="1"/>
  <c r="AC733" i="1"/>
  <c r="AC732" i="1"/>
  <c r="AC698" i="1"/>
  <c r="AC671" i="1"/>
  <c r="AC666" i="1"/>
  <c r="AC757" i="1"/>
  <c r="AC717" i="1"/>
  <c r="AC707" i="1"/>
  <c r="AC700" i="1"/>
  <c r="AC691" i="1"/>
  <c r="AC689" i="1"/>
  <c r="AC676" i="1"/>
  <c r="AC797" i="1"/>
  <c r="AC687" i="1"/>
  <c r="AC683" i="1"/>
  <c r="AC770" i="1"/>
  <c r="AC743" i="1"/>
  <c r="AC722" i="1"/>
  <c r="AC719" i="1"/>
  <c r="AC714" i="1"/>
  <c r="AC685" i="1"/>
  <c r="AC669" i="1"/>
  <c r="AC765" i="1"/>
  <c r="AC735" i="1"/>
  <c r="AC695" i="1"/>
  <c r="AC693" i="1"/>
  <c r="AC681" i="1"/>
  <c r="AC751" i="1"/>
  <c r="AC725" i="1"/>
  <c r="AC716" i="1"/>
  <c r="AC709" i="1"/>
  <c r="AC697" i="1"/>
  <c r="AC711" i="1"/>
  <c r="AC679" i="1"/>
  <c r="AC672" i="1"/>
  <c r="AC759" i="1"/>
  <c r="AC724" i="1"/>
  <c r="AC713" i="1"/>
  <c r="AC781" i="1"/>
  <c r="AC738" i="1"/>
  <c r="AC746" i="1"/>
  <c r="AC789" i="1"/>
  <c r="AC773" i="1"/>
  <c r="AC684" i="1"/>
  <c r="AC628" i="1"/>
  <c r="AC622" i="1"/>
  <c r="AC618" i="1"/>
  <c r="AC609" i="1"/>
  <c r="AC767" i="1"/>
  <c r="AC690" i="1"/>
  <c r="AC674" i="1"/>
  <c r="AC620" i="1"/>
  <c r="AC598" i="1"/>
  <c r="AC590" i="1"/>
  <c r="AC582" i="1"/>
  <c r="AC574" i="1"/>
  <c r="AC566" i="1"/>
  <c r="AC558" i="1"/>
  <c r="AC550" i="1"/>
  <c r="AC670" i="1"/>
  <c r="AC616" i="1"/>
  <c r="AC605" i="1"/>
  <c r="AC661" i="1"/>
  <c r="AC659" i="1"/>
  <c r="AC653" i="1"/>
  <c r="AC593" i="1"/>
  <c r="AC657" i="1"/>
  <c r="AC651" i="1"/>
  <c r="AC645" i="1"/>
  <c r="AC614" i="1"/>
  <c r="AC603" i="1"/>
  <c r="AC677" i="1"/>
  <c r="AC649" i="1"/>
  <c r="AC643" i="1"/>
  <c r="AC637" i="1"/>
  <c r="AC596" i="1"/>
  <c r="AC754" i="1"/>
  <c r="AC641" i="1"/>
  <c r="AC635" i="1"/>
  <c r="AC629" i="1"/>
  <c r="AC612" i="1"/>
  <c r="AC610" i="1"/>
  <c r="AC601" i="1"/>
  <c r="AC694" i="1"/>
  <c r="AC682" i="1"/>
  <c r="AC633" i="1"/>
  <c r="AC627" i="1"/>
  <c r="AC621" i="1"/>
  <c r="AC730" i="1"/>
  <c r="AC625" i="1"/>
  <c r="AC619" i="1"/>
  <c r="AC608" i="1"/>
  <c r="AC708" i="1"/>
  <c r="AC594" i="1"/>
  <c r="AC727" i="1"/>
  <c r="AC701" i="1"/>
  <c r="AC686" i="1"/>
  <c r="AC658" i="1"/>
  <c r="AC617" i="1"/>
  <c r="AC606" i="1"/>
  <c r="AC699" i="1"/>
  <c r="AC665" i="1"/>
  <c r="AC656" i="1"/>
  <c r="AC650" i="1"/>
  <c r="AC692" i="1"/>
  <c r="AC662" i="1"/>
  <c r="AC660" i="1"/>
  <c r="AC654" i="1"/>
  <c r="AC648" i="1"/>
  <c r="AC642" i="1"/>
  <c r="AC706" i="1"/>
  <c r="AC668" i="1"/>
  <c r="AC652" i="1"/>
  <c r="AC646" i="1"/>
  <c r="AC640" i="1"/>
  <c r="AC675" i="1"/>
  <c r="AC667" i="1"/>
  <c r="AC664" i="1"/>
  <c r="AC541" i="1"/>
  <c r="AC527" i="1"/>
  <c r="AC500" i="1"/>
  <c r="AC492" i="1"/>
  <c r="AC484" i="1"/>
  <c r="AC476" i="1"/>
  <c r="AC468" i="1"/>
  <c r="AC460" i="1"/>
  <c r="AC452" i="1"/>
  <c r="AC444" i="1"/>
  <c r="AC436" i="1"/>
  <c r="AC428" i="1"/>
  <c r="AC420" i="1"/>
  <c r="AC412" i="1"/>
  <c r="AC404" i="1"/>
  <c r="AC396" i="1"/>
  <c r="AC634" i="1"/>
  <c r="AC589" i="1"/>
  <c r="AC587" i="1"/>
  <c r="AC532" i="1"/>
  <c r="AC515" i="1"/>
  <c r="AC591" i="1"/>
  <c r="AC572" i="1"/>
  <c r="AC539" i="1"/>
  <c r="AC537" i="1"/>
  <c r="AC520" i="1"/>
  <c r="AC508" i="1"/>
  <c r="AC503" i="1"/>
  <c r="AC495" i="1"/>
  <c r="AC487" i="1"/>
  <c r="AC479" i="1"/>
  <c r="AC471" i="1"/>
  <c r="AC463" i="1"/>
  <c r="AC455" i="1"/>
  <c r="AC447" i="1"/>
  <c r="AC439" i="1"/>
  <c r="AC597" i="1"/>
  <c r="AC578" i="1"/>
  <c r="AC576" i="1"/>
  <c r="AC570" i="1"/>
  <c r="AC564" i="1"/>
  <c r="AC525" i="1"/>
  <c r="AC513" i="1"/>
  <c r="AC602" i="1"/>
  <c r="AC580" i="1"/>
  <c r="AC568" i="1"/>
  <c r="AC562" i="1"/>
  <c r="AC556" i="1"/>
  <c r="AC530" i="1"/>
  <c r="AC518" i="1"/>
  <c r="AC498" i="1"/>
  <c r="AC490" i="1"/>
  <c r="AC482" i="1"/>
  <c r="AC474" i="1"/>
  <c r="AC466" i="1"/>
  <c r="AC644" i="1"/>
  <c r="AC626" i="1"/>
  <c r="AC560" i="1"/>
  <c r="AC554" i="1"/>
  <c r="AC548" i="1"/>
  <c r="AC535" i="1"/>
  <c r="AC506" i="1"/>
  <c r="AC632" i="1"/>
  <c r="AC613" i="1"/>
  <c r="AC552" i="1"/>
  <c r="AC546" i="1"/>
  <c r="AC523" i="1"/>
  <c r="AC511" i="1"/>
  <c r="AC501" i="1"/>
  <c r="AC493" i="1"/>
  <c r="AC485" i="1"/>
  <c r="AC477" i="1"/>
  <c r="AC469" i="1"/>
  <c r="AC586" i="1"/>
  <c r="AC584" i="1"/>
  <c r="AC544" i="1"/>
  <c r="AC542" i="1"/>
  <c r="AC528" i="1"/>
  <c r="AC516" i="1"/>
  <c r="AC588" i="1"/>
  <c r="AC540" i="1"/>
  <c r="AC533" i="1"/>
  <c r="AC521" i="1"/>
  <c r="AC504" i="1"/>
  <c r="AC496" i="1"/>
  <c r="AC488" i="1"/>
  <c r="AC480" i="1"/>
  <c r="AC472" i="1"/>
  <c r="AC464" i="1"/>
  <c r="AC526" i="1"/>
  <c r="AC509" i="1"/>
  <c r="AC577" i="1"/>
  <c r="AC575" i="1"/>
  <c r="AC569" i="1"/>
  <c r="AC538" i="1"/>
  <c r="AC514" i="1"/>
  <c r="AC499" i="1"/>
  <c r="AC491" i="1"/>
  <c r="AC483" i="1"/>
  <c r="AC475" i="1"/>
  <c r="AC638" i="1"/>
  <c r="AC624" i="1"/>
  <c r="AC600" i="1"/>
  <c r="AC573" i="1"/>
  <c r="AC567" i="1"/>
  <c r="AC561" i="1"/>
  <c r="AC531" i="1"/>
  <c r="AC519" i="1"/>
  <c r="AC630" i="1"/>
  <c r="AC592" i="1"/>
  <c r="AC571" i="1"/>
  <c r="AC565" i="1"/>
  <c r="AC559" i="1"/>
  <c r="AC553" i="1"/>
  <c r="AC536" i="1"/>
  <c r="AC524" i="1"/>
  <c r="AC611" i="1"/>
  <c r="AC581" i="1"/>
  <c r="AC579" i="1"/>
  <c r="AC563" i="1"/>
  <c r="AC557" i="1"/>
  <c r="AC551" i="1"/>
  <c r="AC545" i="1"/>
  <c r="AC529" i="1"/>
  <c r="AC595" i="1"/>
  <c r="AC585" i="1"/>
  <c r="AC583" i="1"/>
  <c r="AC555" i="1"/>
  <c r="AC549" i="1"/>
  <c r="AC543" i="1"/>
  <c r="AC636" i="1"/>
  <c r="AC604" i="1"/>
  <c r="AC547" i="1"/>
  <c r="AC522" i="1"/>
  <c r="AC510" i="1"/>
  <c r="AC473" i="1"/>
  <c r="AC465" i="1"/>
  <c r="AC438" i="1"/>
  <c r="AC434" i="1"/>
  <c r="AC425" i="1"/>
  <c r="AC423" i="1"/>
  <c r="AC414" i="1"/>
  <c r="AC403" i="1"/>
  <c r="AC392" i="1"/>
  <c r="AC385" i="1"/>
  <c r="AC380" i="1"/>
  <c r="AC372" i="1"/>
  <c r="AC364" i="1"/>
  <c r="AC356" i="1"/>
  <c r="AC348" i="1"/>
  <c r="AC340" i="1"/>
  <c r="AC332" i="1"/>
  <c r="AC324" i="1"/>
  <c r="AC316" i="1"/>
  <c r="AC308" i="1"/>
  <c r="AC300" i="1"/>
  <c r="AC292" i="1"/>
  <c r="AC284" i="1"/>
  <c r="AC276" i="1"/>
  <c r="AC268" i="1"/>
  <c r="AC517" i="1"/>
  <c r="AC462" i="1"/>
  <c r="AC534" i="1"/>
  <c r="AC432" i="1"/>
  <c r="AC421" i="1"/>
  <c r="AC410" i="1"/>
  <c r="AC401" i="1"/>
  <c r="AC399" i="1"/>
  <c r="AC390" i="1"/>
  <c r="AC383" i="1"/>
  <c r="AC375" i="1"/>
  <c r="AC367" i="1"/>
  <c r="AC359" i="1"/>
  <c r="AC351" i="1"/>
  <c r="AC343" i="1"/>
  <c r="AC335" i="1"/>
  <c r="AC327" i="1"/>
  <c r="AC319" i="1"/>
  <c r="AC311" i="1"/>
  <c r="AC303" i="1"/>
  <c r="AC295" i="1"/>
  <c r="AC287" i="1"/>
  <c r="AC279" i="1"/>
  <c r="AC502" i="1"/>
  <c r="AC430" i="1"/>
  <c r="AC419" i="1"/>
  <c r="AC408" i="1"/>
  <c r="AC397" i="1"/>
  <c r="AC388" i="1"/>
  <c r="AC378" i="1"/>
  <c r="AC370" i="1"/>
  <c r="AC362" i="1"/>
  <c r="AC354" i="1"/>
  <c r="AC346" i="1"/>
  <c r="AC507" i="1"/>
  <c r="AC497" i="1"/>
  <c r="AC467" i="1"/>
  <c r="AC453" i="1"/>
  <c r="AC486" i="1"/>
  <c r="AC459" i="1"/>
  <c r="AC457" i="1"/>
  <c r="AC451" i="1"/>
  <c r="AC445" i="1"/>
  <c r="AC426" i="1"/>
  <c r="AC417" i="1"/>
  <c r="AC415" i="1"/>
  <c r="AC406" i="1"/>
  <c r="AC395" i="1"/>
  <c r="AC386" i="1"/>
  <c r="AC381" i="1"/>
  <c r="AC373" i="1"/>
  <c r="AC365" i="1"/>
  <c r="AC357" i="1"/>
  <c r="AC481" i="1"/>
  <c r="AC461" i="1"/>
  <c r="AC449" i="1"/>
  <c r="AC443" i="1"/>
  <c r="AC437" i="1"/>
  <c r="AC441" i="1"/>
  <c r="AC435" i="1"/>
  <c r="AC424" i="1"/>
  <c r="AC413" i="1"/>
  <c r="AC402" i="1"/>
  <c r="AC393" i="1"/>
  <c r="AC391" i="1"/>
  <c r="AC376" i="1"/>
  <c r="AC368" i="1"/>
  <c r="AC360" i="1"/>
  <c r="AC352" i="1"/>
  <c r="AC344" i="1"/>
  <c r="AC384" i="1"/>
  <c r="AC512" i="1"/>
  <c r="AC470" i="1"/>
  <c r="AC433" i="1"/>
  <c r="AC431" i="1"/>
  <c r="AC422" i="1"/>
  <c r="AC411" i="1"/>
  <c r="AC400" i="1"/>
  <c r="AC389" i="1"/>
  <c r="AC379" i="1"/>
  <c r="AC371" i="1"/>
  <c r="AC363" i="1"/>
  <c r="AC355" i="1"/>
  <c r="AC505" i="1"/>
  <c r="AC429" i="1"/>
  <c r="AC418" i="1"/>
  <c r="AC409" i="1"/>
  <c r="AC407" i="1"/>
  <c r="AC494" i="1"/>
  <c r="AC458" i="1"/>
  <c r="AC456" i="1"/>
  <c r="AC450" i="1"/>
  <c r="AC489" i="1"/>
  <c r="AC454" i="1"/>
  <c r="AC448" i="1"/>
  <c r="AC442" i="1"/>
  <c r="AC427" i="1"/>
  <c r="AC416" i="1"/>
  <c r="AC478" i="1"/>
  <c r="AC446" i="1"/>
  <c r="AC440" i="1"/>
  <c r="AC382" i="1"/>
  <c r="AC347" i="1"/>
  <c r="AC313" i="1"/>
  <c r="AC307" i="1"/>
  <c r="AC301" i="1"/>
  <c r="AC254" i="1"/>
  <c r="AC246" i="1"/>
  <c r="AC238" i="1"/>
  <c r="AC230" i="1"/>
  <c r="AC222" i="1"/>
  <c r="AC214" i="1"/>
  <c r="AC206" i="1"/>
  <c r="AC198" i="1"/>
  <c r="AC190" i="1"/>
  <c r="AC182" i="1"/>
  <c r="AC174" i="1"/>
  <c r="AC166" i="1"/>
  <c r="AC158" i="1"/>
  <c r="AC150" i="1"/>
  <c r="AC142" i="1"/>
  <c r="AC134" i="1"/>
  <c r="AC377" i="1"/>
  <c r="AC305" i="1"/>
  <c r="AC299" i="1"/>
  <c r="AC293" i="1"/>
  <c r="AC266" i="1"/>
  <c r="AC259" i="1"/>
  <c r="AC387" i="1"/>
  <c r="AC366" i="1"/>
  <c r="AC297" i="1"/>
  <c r="AC291" i="1"/>
  <c r="AC285" i="1"/>
  <c r="AC249" i="1"/>
  <c r="AC241" i="1"/>
  <c r="AC233" i="1"/>
  <c r="AC225" i="1"/>
  <c r="AC217" i="1"/>
  <c r="AC209" i="1"/>
  <c r="AC201" i="1"/>
  <c r="AC193" i="1"/>
  <c r="AC185" i="1"/>
  <c r="AC177" i="1"/>
  <c r="AC169" i="1"/>
  <c r="AC161" i="1"/>
  <c r="AC153" i="1"/>
  <c r="AC361" i="1"/>
  <c r="AC289" i="1"/>
  <c r="AC283" i="1"/>
  <c r="AC277" i="1"/>
  <c r="AC264" i="1"/>
  <c r="AC350" i="1"/>
  <c r="AC337" i="1"/>
  <c r="AC330" i="1"/>
  <c r="AC281" i="1"/>
  <c r="AC275" i="1"/>
  <c r="AC257" i="1"/>
  <c r="AC252" i="1"/>
  <c r="AC244" i="1"/>
  <c r="AC236" i="1"/>
  <c r="AC228" i="1"/>
  <c r="AC220" i="1"/>
  <c r="AC334" i="1"/>
  <c r="AC328" i="1"/>
  <c r="AC322" i="1"/>
  <c r="AC273" i="1"/>
  <c r="AC271" i="1"/>
  <c r="AC262" i="1"/>
  <c r="AC326" i="1"/>
  <c r="AC320" i="1"/>
  <c r="AC314" i="1"/>
  <c r="AC255" i="1"/>
  <c r="AC247" i="1"/>
  <c r="AC239" i="1"/>
  <c r="AC231" i="1"/>
  <c r="AC394" i="1"/>
  <c r="AC339" i="1"/>
  <c r="AC318" i="1"/>
  <c r="AC312" i="1"/>
  <c r="AC306" i="1"/>
  <c r="AC269" i="1"/>
  <c r="AC405" i="1"/>
  <c r="AC349" i="1"/>
  <c r="AC336" i="1"/>
  <c r="AC310" i="1"/>
  <c r="AC304" i="1"/>
  <c r="AC298" i="1"/>
  <c r="AC260" i="1"/>
  <c r="AC250" i="1"/>
  <c r="AC242" i="1"/>
  <c r="AC234" i="1"/>
  <c r="AC226" i="1"/>
  <c r="AC218" i="1"/>
  <c r="AC210" i="1"/>
  <c r="AC202" i="1"/>
  <c r="AC374" i="1"/>
  <c r="AC342" i="1"/>
  <c r="AC302" i="1"/>
  <c r="AC296" i="1"/>
  <c r="AC290" i="1"/>
  <c r="AC267" i="1"/>
  <c r="AC369" i="1"/>
  <c r="AC294" i="1"/>
  <c r="AC288" i="1"/>
  <c r="AC282" i="1"/>
  <c r="AC258" i="1"/>
  <c r="AC253" i="1"/>
  <c r="AC245" i="1"/>
  <c r="AC237" i="1"/>
  <c r="AC229" i="1"/>
  <c r="AC221" i="1"/>
  <c r="AC358" i="1"/>
  <c r="AC345" i="1"/>
  <c r="AC286" i="1"/>
  <c r="AC280" i="1"/>
  <c r="AC274" i="1"/>
  <c r="AC265" i="1"/>
  <c r="AC263" i="1"/>
  <c r="AC353" i="1"/>
  <c r="AC333" i="1"/>
  <c r="AC278" i="1"/>
  <c r="AC338" i="1"/>
  <c r="AC331" i="1"/>
  <c r="AC325" i="1"/>
  <c r="AC341" i="1"/>
  <c r="AC329" i="1"/>
  <c r="AC323" i="1"/>
  <c r="AC317" i="1"/>
  <c r="AC398" i="1"/>
  <c r="AC321" i="1"/>
  <c r="AC315" i="1"/>
  <c r="AC309" i="1"/>
  <c r="AC270" i="1"/>
  <c r="AC215" i="1"/>
  <c r="AC199" i="1"/>
  <c r="AC146" i="1"/>
  <c r="AC124" i="1"/>
  <c r="AC116" i="1"/>
  <c r="AC108" i="1"/>
  <c r="AC100" i="1"/>
  <c r="AC92" i="1"/>
  <c r="AC84" i="1"/>
  <c r="AC76" i="1"/>
  <c r="AC68" i="1"/>
  <c r="AC60" i="1"/>
  <c r="AC227" i="1"/>
  <c r="AC197" i="1"/>
  <c r="AC191" i="1"/>
  <c r="AC139" i="1"/>
  <c r="AC195" i="1"/>
  <c r="AC189" i="1"/>
  <c r="AC183" i="1"/>
  <c r="AC144" i="1"/>
  <c r="AC132" i="1"/>
  <c r="AC127" i="1"/>
  <c r="AC119" i="1"/>
  <c r="AC111" i="1"/>
  <c r="AC103" i="1"/>
  <c r="AC95" i="1"/>
  <c r="AC87" i="1"/>
  <c r="AC79" i="1"/>
  <c r="AC71" i="1"/>
  <c r="AC63" i="1"/>
  <c r="AC212" i="1"/>
  <c r="AC205" i="1"/>
  <c r="AC203" i="1"/>
  <c r="AC187" i="1"/>
  <c r="AC181" i="1"/>
  <c r="AC175" i="1"/>
  <c r="AC137" i="1"/>
  <c r="AC207" i="1"/>
  <c r="AC179" i="1"/>
  <c r="AC173" i="1"/>
  <c r="AC167" i="1"/>
  <c r="AC122" i="1"/>
  <c r="AC114" i="1"/>
  <c r="AC106" i="1"/>
  <c r="AC98" i="1"/>
  <c r="AC90" i="1"/>
  <c r="AC256" i="1"/>
  <c r="AC251" i="1"/>
  <c r="AC171" i="1"/>
  <c r="AC165" i="1"/>
  <c r="AC159" i="1"/>
  <c r="AC130" i="1"/>
  <c r="AC240" i="1"/>
  <c r="AC163" i="1"/>
  <c r="AC157" i="1"/>
  <c r="AC151" i="1"/>
  <c r="AC135" i="1"/>
  <c r="AC125" i="1"/>
  <c r="AC117" i="1"/>
  <c r="AC109" i="1"/>
  <c r="AC101" i="1"/>
  <c r="AC235" i="1"/>
  <c r="AC155" i="1"/>
  <c r="AC149" i="1"/>
  <c r="AC140" i="1"/>
  <c r="AC196" i="1"/>
  <c r="AC147" i="1"/>
  <c r="AC145" i="1"/>
  <c r="AC128" i="1"/>
  <c r="AC120" i="1"/>
  <c r="AC112" i="1"/>
  <c r="AC104" i="1"/>
  <c r="AC96" i="1"/>
  <c r="AC88" i="1"/>
  <c r="AC80" i="1"/>
  <c r="AC200" i="1"/>
  <c r="AC194" i="1"/>
  <c r="AC188" i="1"/>
  <c r="AC133" i="1"/>
  <c r="AC261" i="1"/>
  <c r="AC211" i="1"/>
  <c r="AC204" i="1"/>
  <c r="AC192" i="1"/>
  <c r="AC186" i="1"/>
  <c r="AC180" i="1"/>
  <c r="AC138" i="1"/>
  <c r="AC123" i="1"/>
  <c r="AC115" i="1"/>
  <c r="AC107" i="1"/>
  <c r="AC272" i="1"/>
  <c r="AC224" i="1"/>
  <c r="AC216" i="1"/>
  <c r="AC184" i="1"/>
  <c r="AC178" i="1"/>
  <c r="AC172" i="1"/>
  <c r="AC143" i="1"/>
  <c r="AC213" i="1"/>
  <c r="AC176" i="1"/>
  <c r="AC170" i="1"/>
  <c r="AC164" i="1"/>
  <c r="AC248" i="1"/>
  <c r="AC208" i="1"/>
  <c r="AC168" i="1"/>
  <c r="AC162" i="1"/>
  <c r="AC156" i="1"/>
  <c r="AC243" i="1"/>
  <c r="AC160" i="1"/>
  <c r="AC232" i="1"/>
  <c r="AC223" i="1"/>
  <c r="AC219" i="1"/>
  <c r="AC152" i="1"/>
  <c r="AC126" i="1"/>
  <c r="AC91" i="1"/>
  <c r="AC85" i="1"/>
  <c r="AC78" i="1"/>
  <c r="AC72" i="1"/>
  <c r="AC66" i="1"/>
  <c r="AC55" i="1"/>
  <c r="AC47" i="1"/>
  <c r="AC37" i="1"/>
  <c r="AC27" i="1"/>
  <c r="AC19" i="1"/>
  <c r="AC11" i="1"/>
  <c r="AC3" i="1"/>
  <c r="AC44" i="1"/>
  <c r="AC131" i="1"/>
  <c r="AC121" i="1"/>
  <c r="AC70" i="1"/>
  <c r="AC64" i="1"/>
  <c r="AC58" i="1"/>
  <c r="AC50" i="1"/>
  <c r="AC40" i="1"/>
  <c r="AC34" i="1"/>
  <c r="AC154" i="1"/>
  <c r="AC110" i="1"/>
  <c r="AC94" i="1"/>
  <c r="AC62" i="1"/>
  <c r="AC105" i="1"/>
  <c r="AC82" i="1"/>
  <c r="AC97" i="1"/>
  <c r="AC54" i="1"/>
  <c r="AC25" i="1"/>
  <c r="AC17" i="1"/>
  <c r="AC148" i="1"/>
  <c r="AC136" i="1"/>
  <c r="AC93" i="1"/>
  <c r="AC48" i="1"/>
  <c r="AC46" i="1"/>
  <c r="AC38" i="1"/>
  <c r="AC36" i="1"/>
  <c r="AC28" i="1"/>
  <c r="AC20" i="1"/>
  <c r="AC77" i="1"/>
  <c r="AC129" i="1"/>
  <c r="AC99" i="1"/>
  <c r="AC75" i="1"/>
  <c r="AC69" i="1"/>
  <c r="AC53" i="1"/>
  <c r="AC51" i="1"/>
  <c r="AC43" i="1"/>
  <c r="AC41" i="1"/>
  <c r="AC33" i="1"/>
  <c r="AC31" i="1"/>
  <c r="AC23" i="1"/>
  <c r="AC15" i="1"/>
  <c r="AC7" i="1"/>
  <c r="AC118" i="1"/>
  <c r="AC73" i="1"/>
  <c r="AC67" i="1"/>
  <c r="AC61" i="1"/>
  <c r="AC113" i="1"/>
  <c r="AC65" i="1"/>
  <c r="AC59" i="1"/>
  <c r="AC26" i="1"/>
  <c r="AC18" i="1"/>
  <c r="AC10" i="1"/>
  <c r="AC86" i="1"/>
  <c r="AC81" i="1"/>
  <c r="AC57" i="1"/>
  <c r="AC89" i="1"/>
  <c r="AC56" i="1"/>
  <c r="AC49" i="1"/>
  <c r="AC45" i="1"/>
  <c r="AC39" i="1"/>
  <c r="AC141" i="1"/>
  <c r="AC102" i="1"/>
  <c r="AC83" i="1"/>
  <c r="AC74" i="1"/>
  <c r="AC52" i="1"/>
  <c r="AC12" i="1"/>
  <c r="AC22" i="1"/>
  <c r="AC32" i="1"/>
  <c r="AC13" i="1"/>
  <c r="AC14" i="1"/>
  <c r="AC9" i="1"/>
  <c r="AC6" i="1"/>
  <c r="AC30" i="1"/>
  <c r="AC24" i="1"/>
  <c r="AC8" i="1"/>
  <c r="AC5" i="1"/>
  <c r="AC4" i="1"/>
  <c r="AC42" i="1"/>
  <c r="AC16" i="1"/>
  <c r="AC21" i="1"/>
  <c r="AC35" i="1"/>
  <c r="AC29" i="1"/>
  <c r="AB797" i="1"/>
  <c r="AB789" i="1"/>
  <c r="AB781" i="1"/>
  <c r="AB773" i="1"/>
  <c r="AB765" i="1"/>
  <c r="AB757" i="1"/>
  <c r="AB749" i="1"/>
  <c r="AB741" i="1"/>
  <c r="AB733" i="1"/>
  <c r="AB725" i="1"/>
  <c r="AB717" i="1"/>
  <c r="AB709" i="1"/>
  <c r="AB701" i="1"/>
  <c r="AB693" i="1"/>
  <c r="AB685" i="1"/>
  <c r="AB677" i="1"/>
  <c r="AB669" i="1"/>
  <c r="AB800" i="1"/>
  <c r="AB792" i="1"/>
  <c r="AB784" i="1"/>
  <c r="AB776" i="1"/>
  <c r="AB768" i="1"/>
  <c r="AB760" i="1"/>
  <c r="AB752" i="1"/>
  <c r="AB744" i="1"/>
  <c r="AB736" i="1"/>
  <c r="AB728" i="1"/>
  <c r="AB720" i="1"/>
  <c r="AB712" i="1"/>
  <c r="AB704" i="1"/>
  <c r="AB696" i="1"/>
  <c r="AB688" i="1"/>
  <c r="AB680" i="1"/>
  <c r="AB803" i="1"/>
  <c r="AB795" i="1"/>
  <c r="AB787" i="1"/>
  <c r="AB779" i="1"/>
  <c r="AB771" i="1"/>
  <c r="AB763" i="1"/>
  <c r="AB755" i="1"/>
  <c r="AB747" i="1"/>
  <c r="AB739" i="1"/>
  <c r="AB731" i="1"/>
  <c r="AB723" i="1"/>
  <c r="AB715" i="1"/>
  <c r="AB707" i="1"/>
  <c r="AB699" i="1"/>
  <c r="AB691" i="1"/>
  <c r="AB798" i="1"/>
  <c r="AB790" i="1"/>
  <c r="AB782" i="1"/>
  <c r="AB774" i="1"/>
  <c r="AB766" i="1"/>
  <c r="AB758" i="1"/>
  <c r="AB750" i="1"/>
  <c r="AB742" i="1"/>
  <c r="AB734" i="1"/>
  <c r="AB726" i="1"/>
  <c r="AB801" i="1"/>
  <c r="AB793" i="1"/>
  <c r="AB785" i="1"/>
  <c r="AB777" i="1"/>
  <c r="AB769" i="1"/>
  <c r="AB761" i="1"/>
  <c r="AB753" i="1"/>
  <c r="AB745" i="1"/>
  <c r="AB737" i="1"/>
  <c r="AB796" i="1"/>
  <c r="AB788" i="1"/>
  <c r="AB780" i="1"/>
  <c r="AB772" i="1"/>
  <c r="AB764" i="1"/>
  <c r="AB799" i="1"/>
  <c r="AB791" i="1"/>
  <c r="AB802" i="1"/>
  <c r="AB682" i="1"/>
  <c r="AB668" i="1"/>
  <c r="AB660" i="1"/>
  <c r="AB652" i="1"/>
  <c r="AB644" i="1"/>
  <c r="AB636" i="1"/>
  <c r="AB628" i="1"/>
  <c r="AB620" i="1"/>
  <c r="AB778" i="1"/>
  <c r="AB762" i="1"/>
  <c r="AB740" i="1"/>
  <c r="AB729" i="1"/>
  <c r="AB703" i="1"/>
  <c r="AB673" i="1"/>
  <c r="AB786" i="1"/>
  <c r="AB705" i="1"/>
  <c r="AB678" i="1"/>
  <c r="AB663" i="1"/>
  <c r="AB655" i="1"/>
  <c r="AB647" i="1"/>
  <c r="AB639" i="1"/>
  <c r="AB631" i="1"/>
  <c r="AB623" i="1"/>
  <c r="AB615" i="1"/>
  <c r="AB607" i="1"/>
  <c r="AB748" i="1"/>
  <c r="AB732" i="1"/>
  <c r="AB698" i="1"/>
  <c r="AB671" i="1"/>
  <c r="AB666" i="1"/>
  <c r="AB756" i="1"/>
  <c r="AB700" i="1"/>
  <c r="AB689" i="1"/>
  <c r="AB676" i="1"/>
  <c r="AB783" i="1"/>
  <c r="AB702" i="1"/>
  <c r="AB687" i="1"/>
  <c r="AB683" i="1"/>
  <c r="AB775" i="1"/>
  <c r="AB770" i="1"/>
  <c r="AB743" i="1"/>
  <c r="AB722" i="1"/>
  <c r="AB719" i="1"/>
  <c r="AB714" i="1"/>
  <c r="AB794" i="1"/>
  <c r="AB735" i="1"/>
  <c r="AB695" i="1"/>
  <c r="AB681" i="1"/>
  <c r="AB674" i="1"/>
  <c r="AB664" i="1"/>
  <c r="AB751" i="1"/>
  <c r="AB716" i="1"/>
  <c r="AB697" i="1"/>
  <c r="AB721" i="1"/>
  <c r="AB711" i="1"/>
  <c r="AB759" i="1"/>
  <c r="AB724" i="1"/>
  <c r="AB718" i="1"/>
  <c r="AB713" i="1"/>
  <c r="AB738" i="1"/>
  <c r="AB746" i="1"/>
  <c r="AB767" i="1"/>
  <c r="AB667" i="1"/>
  <c r="AB630" i="1"/>
  <c r="AB624" i="1"/>
  <c r="AB595" i="1"/>
  <c r="AB587" i="1"/>
  <c r="AB579" i="1"/>
  <c r="AB571" i="1"/>
  <c r="AB563" i="1"/>
  <c r="AB555" i="1"/>
  <c r="AB547" i="1"/>
  <c r="AB539" i="1"/>
  <c r="AB531" i="1"/>
  <c r="AB523" i="1"/>
  <c r="AB515" i="1"/>
  <c r="AB507" i="1"/>
  <c r="AB684" i="1"/>
  <c r="AB622" i="1"/>
  <c r="AB618" i="1"/>
  <c r="AB609" i="1"/>
  <c r="AB690" i="1"/>
  <c r="AB598" i="1"/>
  <c r="AB590" i="1"/>
  <c r="AB582" i="1"/>
  <c r="AB574" i="1"/>
  <c r="AB566" i="1"/>
  <c r="AB558" i="1"/>
  <c r="AB550" i="1"/>
  <c r="AB542" i="1"/>
  <c r="AB670" i="1"/>
  <c r="AB616" i="1"/>
  <c r="AB605" i="1"/>
  <c r="AB661" i="1"/>
  <c r="AB659" i="1"/>
  <c r="AB653" i="1"/>
  <c r="AB657" i="1"/>
  <c r="AB651" i="1"/>
  <c r="AB645" i="1"/>
  <c r="AB614" i="1"/>
  <c r="AB603" i="1"/>
  <c r="AB710" i="1"/>
  <c r="AB649" i="1"/>
  <c r="AB643" i="1"/>
  <c r="AB637" i="1"/>
  <c r="AB596" i="1"/>
  <c r="AB754" i="1"/>
  <c r="AB641" i="1"/>
  <c r="AB635" i="1"/>
  <c r="AB629" i="1"/>
  <c r="AB612" i="1"/>
  <c r="AB610" i="1"/>
  <c r="AB601" i="1"/>
  <c r="AB694" i="1"/>
  <c r="AB633" i="1"/>
  <c r="AB627" i="1"/>
  <c r="AB621" i="1"/>
  <c r="AB599" i="1"/>
  <c r="AB591" i="1"/>
  <c r="AB583" i="1"/>
  <c r="AB730" i="1"/>
  <c r="AB672" i="1"/>
  <c r="AB625" i="1"/>
  <c r="AB619" i="1"/>
  <c r="AB608" i="1"/>
  <c r="AB708" i="1"/>
  <c r="AB727" i="1"/>
  <c r="AB686" i="1"/>
  <c r="AB658" i="1"/>
  <c r="AB665" i="1"/>
  <c r="AB656" i="1"/>
  <c r="AB650" i="1"/>
  <c r="AB692" i="1"/>
  <c r="AB662" i="1"/>
  <c r="AB654" i="1"/>
  <c r="AB648" i="1"/>
  <c r="AB642" i="1"/>
  <c r="AB706" i="1"/>
  <c r="AB679" i="1"/>
  <c r="AB675" i="1"/>
  <c r="AB604" i="1"/>
  <c r="AB594" i="1"/>
  <c r="AB522" i="1"/>
  <c r="AB510" i="1"/>
  <c r="AB541" i="1"/>
  <c r="AB527" i="1"/>
  <c r="AB500" i="1"/>
  <c r="AB492" i="1"/>
  <c r="AB484" i="1"/>
  <c r="AB476" i="1"/>
  <c r="AB468" i="1"/>
  <c r="AB460" i="1"/>
  <c r="AB452" i="1"/>
  <c r="AB444" i="1"/>
  <c r="AB436" i="1"/>
  <c r="AB428" i="1"/>
  <c r="AB420" i="1"/>
  <c r="AB412" i="1"/>
  <c r="AB404" i="1"/>
  <c r="AB396" i="1"/>
  <c r="AB388" i="1"/>
  <c r="AB634" i="1"/>
  <c r="AB589" i="1"/>
  <c r="AB532" i="1"/>
  <c r="AB572" i="1"/>
  <c r="AB537" i="1"/>
  <c r="AB520" i="1"/>
  <c r="AB508" i="1"/>
  <c r="AB503" i="1"/>
  <c r="AB495" i="1"/>
  <c r="AB487" i="1"/>
  <c r="AB479" i="1"/>
  <c r="AB471" i="1"/>
  <c r="AB463" i="1"/>
  <c r="AB646" i="1"/>
  <c r="AB597" i="1"/>
  <c r="AB578" i="1"/>
  <c r="AB576" i="1"/>
  <c r="AB570" i="1"/>
  <c r="AB564" i="1"/>
  <c r="AB525" i="1"/>
  <c r="AB513" i="1"/>
  <c r="AB602" i="1"/>
  <c r="AB580" i="1"/>
  <c r="AB568" i="1"/>
  <c r="AB562" i="1"/>
  <c r="AB556" i="1"/>
  <c r="AB530" i="1"/>
  <c r="AB518" i="1"/>
  <c r="AB498" i="1"/>
  <c r="AB490" i="1"/>
  <c r="AB482" i="1"/>
  <c r="AB474" i="1"/>
  <c r="AB466" i="1"/>
  <c r="AB626" i="1"/>
  <c r="AB593" i="1"/>
  <c r="AB560" i="1"/>
  <c r="AB554" i="1"/>
  <c r="AB548" i="1"/>
  <c r="AB535" i="1"/>
  <c r="AB506" i="1"/>
  <c r="AB632" i="1"/>
  <c r="AB613" i="1"/>
  <c r="AB552" i="1"/>
  <c r="AB546" i="1"/>
  <c r="AB511" i="1"/>
  <c r="AB501" i="1"/>
  <c r="AB493" i="1"/>
  <c r="AB485" i="1"/>
  <c r="AB477" i="1"/>
  <c r="AB469" i="1"/>
  <c r="AB586" i="1"/>
  <c r="AB584" i="1"/>
  <c r="AB544" i="1"/>
  <c r="AB528" i="1"/>
  <c r="AB516" i="1"/>
  <c r="AB640" i="1"/>
  <c r="AB606" i="1"/>
  <c r="AB588" i="1"/>
  <c r="AB540" i="1"/>
  <c r="AB533" i="1"/>
  <c r="AB521" i="1"/>
  <c r="AB504" i="1"/>
  <c r="AB496" i="1"/>
  <c r="AB488" i="1"/>
  <c r="AB480" i="1"/>
  <c r="AB472" i="1"/>
  <c r="AB464" i="1"/>
  <c r="AB526" i="1"/>
  <c r="AB509" i="1"/>
  <c r="AB617" i="1"/>
  <c r="AB577" i="1"/>
  <c r="AB575" i="1"/>
  <c r="AB569" i="1"/>
  <c r="AB538" i="1"/>
  <c r="AB514" i="1"/>
  <c r="AB638" i="1"/>
  <c r="AB600" i="1"/>
  <c r="AB573" i="1"/>
  <c r="AB567" i="1"/>
  <c r="AB561" i="1"/>
  <c r="AB519" i="1"/>
  <c r="AB592" i="1"/>
  <c r="AB565" i="1"/>
  <c r="AB559" i="1"/>
  <c r="AB553" i="1"/>
  <c r="AB536" i="1"/>
  <c r="AB611" i="1"/>
  <c r="AB581" i="1"/>
  <c r="AB557" i="1"/>
  <c r="AB551" i="1"/>
  <c r="AB545" i="1"/>
  <c r="AB585" i="1"/>
  <c r="AB549" i="1"/>
  <c r="AB543" i="1"/>
  <c r="AB534" i="1"/>
  <c r="AB517" i="1"/>
  <c r="AB478" i="1"/>
  <c r="AB446" i="1"/>
  <c r="AB440" i="1"/>
  <c r="AB473" i="1"/>
  <c r="AB465" i="1"/>
  <c r="AB438" i="1"/>
  <c r="AB434" i="1"/>
  <c r="AB425" i="1"/>
  <c r="AB423" i="1"/>
  <c r="AB414" i="1"/>
  <c r="AB403" i="1"/>
  <c r="AB392" i="1"/>
  <c r="AB385" i="1"/>
  <c r="AB380" i="1"/>
  <c r="AB372" i="1"/>
  <c r="AB364" i="1"/>
  <c r="AB356" i="1"/>
  <c r="AB348" i="1"/>
  <c r="AB340" i="1"/>
  <c r="AB332" i="1"/>
  <c r="AB324" i="1"/>
  <c r="AB316" i="1"/>
  <c r="AB308" i="1"/>
  <c r="AB300" i="1"/>
  <c r="AB292" i="1"/>
  <c r="AB284" i="1"/>
  <c r="AB276" i="1"/>
  <c r="AB268" i="1"/>
  <c r="AB260" i="1"/>
  <c r="AB462" i="1"/>
  <c r="AB432" i="1"/>
  <c r="AB421" i="1"/>
  <c r="AB410" i="1"/>
  <c r="AB401" i="1"/>
  <c r="AB399" i="1"/>
  <c r="AB390" i="1"/>
  <c r="AB383" i="1"/>
  <c r="AB375" i="1"/>
  <c r="AB367" i="1"/>
  <c r="AB359" i="1"/>
  <c r="AB351" i="1"/>
  <c r="AB343" i="1"/>
  <c r="AB335" i="1"/>
  <c r="AB529" i="1"/>
  <c r="AB502" i="1"/>
  <c r="AB455" i="1"/>
  <c r="AB430" i="1"/>
  <c r="AB419" i="1"/>
  <c r="AB408" i="1"/>
  <c r="AB397" i="1"/>
  <c r="AB378" i="1"/>
  <c r="AB370" i="1"/>
  <c r="AB362" i="1"/>
  <c r="AB354" i="1"/>
  <c r="AB346" i="1"/>
  <c r="AB338" i="1"/>
  <c r="AB497" i="1"/>
  <c r="AB491" i="1"/>
  <c r="AB467" i="1"/>
  <c r="AB453" i="1"/>
  <c r="AB447" i="1"/>
  <c r="AB486" i="1"/>
  <c r="AB459" i="1"/>
  <c r="AB457" i="1"/>
  <c r="AB451" i="1"/>
  <c r="AB445" i="1"/>
  <c r="AB439" i="1"/>
  <c r="AB426" i="1"/>
  <c r="AB417" i="1"/>
  <c r="AB415" i="1"/>
  <c r="AB406" i="1"/>
  <c r="AB395" i="1"/>
  <c r="AB386" i="1"/>
  <c r="AB381" i="1"/>
  <c r="AB373" i="1"/>
  <c r="AB365" i="1"/>
  <c r="AB357" i="1"/>
  <c r="AB349" i="1"/>
  <c r="AB341" i="1"/>
  <c r="AB524" i="1"/>
  <c r="AB481" i="1"/>
  <c r="AB475" i="1"/>
  <c r="AB461" i="1"/>
  <c r="AB449" i="1"/>
  <c r="AB443" i="1"/>
  <c r="AB437" i="1"/>
  <c r="AB441" i="1"/>
  <c r="AB435" i="1"/>
  <c r="AB424" i="1"/>
  <c r="AB413" i="1"/>
  <c r="AB402" i="1"/>
  <c r="AB393" i="1"/>
  <c r="AB391" i="1"/>
  <c r="AB376" i="1"/>
  <c r="AB368" i="1"/>
  <c r="AB360" i="1"/>
  <c r="AB352" i="1"/>
  <c r="AB344" i="1"/>
  <c r="AB336" i="1"/>
  <c r="AB384" i="1"/>
  <c r="AB512" i="1"/>
  <c r="AB470" i="1"/>
  <c r="AB433" i="1"/>
  <c r="AB431" i="1"/>
  <c r="AB422" i="1"/>
  <c r="AB411" i="1"/>
  <c r="AB400" i="1"/>
  <c r="AB389" i="1"/>
  <c r="AB505" i="1"/>
  <c r="AB499" i="1"/>
  <c r="AB429" i="1"/>
  <c r="AB418" i="1"/>
  <c r="AB494" i="1"/>
  <c r="AB458" i="1"/>
  <c r="AB456" i="1"/>
  <c r="AB450" i="1"/>
  <c r="AB489" i="1"/>
  <c r="AB483" i="1"/>
  <c r="AB454" i="1"/>
  <c r="AB448" i="1"/>
  <c r="AB442" i="1"/>
  <c r="AB427" i="1"/>
  <c r="AB416" i="1"/>
  <c r="AB405" i="1"/>
  <c r="AB394" i="1"/>
  <c r="AB398" i="1"/>
  <c r="AB321" i="1"/>
  <c r="AB315" i="1"/>
  <c r="AB309" i="1"/>
  <c r="AB303" i="1"/>
  <c r="AB270" i="1"/>
  <c r="AB382" i="1"/>
  <c r="AB347" i="1"/>
  <c r="AB313" i="1"/>
  <c r="AB307" i="1"/>
  <c r="AB301" i="1"/>
  <c r="AB295" i="1"/>
  <c r="AB254" i="1"/>
  <c r="AB246" i="1"/>
  <c r="AB238" i="1"/>
  <c r="AB230" i="1"/>
  <c r="AB222" i="1"/>
  <c r="AB214" i="1"/>
  <c r="AB206" i="1"/>
  <c r="AB198" i="1"/>
  <c r="AB190" i="1"/>
  <c r="AB182" i="1"/>
  <c r="AB174" i="1"/>
  <c r="AB166" i="1"/>
  <c r="AB158" i="1"/>
  <c r="AB150" i="1"/>
  <c r="AB377" i="1"/>
  <c r="AB371" i="1"/>
  <c r="AB305" i="1"/>
  <c r="AB299" i="1"/>
  <c r="AB293" i="1"/>
  <c r="AB287" i="1"/>
  <c r="AB266" i="1"/>
  <c r="AB259" i="1"/>
  <c r="AB409" i="1"/>
  <c r="AB387" i="1"/>
  <c r="AB366" i="1"/>
  <c r="AB297" i="1"/>
  <c r="AB291" i="1"/>
  <c r="AB285" i="1"/>
  <c r="AB279" i="1"/>
  <c r="AB249" i="1"/>
  <c r="AB241" i="1"/>
  <c r="AB233" i="1"/>
  <c r="AB225" i="1"/>
  <c r="AB217" i="1"/>
  <c r="AB361" i="1"/>
  <c r="AB355" i="1"/>
  <c r="AB289" i="1"/>
  <c r="AB283" i="1"/>
  <c r="AB277" i="1"/>
  <c r="AB264" i="1"/>
  <c r="AB407" i="1"/>
  <c r="AB350" i="1"/>
  <c r="AB337" i="1"/>
  <c r="AB330" i="1"/>
  <c r="AB281" i="1"/>
  <c r="AB275" i="1"/>
  <c r="AB257" i="1"/>
  <c r="AB252" i="1"/>
  <c r="AB244" i="1"/>
  <c r="AB236" i="1"/>
  <c r="AB228" i="1"/>
  <c r="AB220" i="1"/>
  <c r="AB212" i="1"/>
  <c r="AB334" i="1"/>
  <c r="AB328" i="1"/>
  <c r="AB322" i="1"/>
  <c r="AB273" i="1"/>
  <c r="AB271" i="1"/>
  <c r="AB262" i="1"/>
  <c r="AB326" i="1"/>
  <c r="AB320" i="1"/>
  <c r="AB314" i="1"/>
  <c r="AB255" i="1"/>
  <c r="AB247" i="1"/>
  <c r="AB239" i="1"/>
  <c r="AB231" i="1"/>
  <c r="AB223" i="1"/>
  <c r="AB339" i="1"/>
  <c r="AB318" i="1"/>
  <c r="AB312" i="1"/>
  <c r="AB306" i="1"/>
  <c r="AB269" i="1"/>
  <c r="AB379" i="1"/>
  <c r="AB310" i="1"/>
  <c r="AB304" i="1"/>
  <c r="AB298" i="1"/>
  <c r="AB250" i="1"/>
  <c r="AB242" i="1"/>
  <c r="AB234" i="1"/>
  <c r="AB226" i="1"/>
  <c r="AB218" i="1"/>
  <c r="AB210" i="1"/>
  <c r="AB374" i="1"/>
  <c r="AB342" i="1"/>
  <c r="AB302" i="1"/>
  <c r="AB296" i="1"/>
  <c r="AB290" i="1"/>
  <c r="AB267" i="1"/>
  <c r="AB369" i="1"/>
  <c r="AB363" i="1"/>
  <c r="AB294" i="1"/>
  <c r="AB288" i="1"/>
  <c r="AB282" i="1"/>
  <c r="AB258" i="1"/>
  <c r="AB358" i="1"/>
  <c r="AB345" i="1"/>
  <c r="AB286" i="1"/>
  <c r="AB280" i="1"/>
  <c r="AB274" i="1"/>
  <c r="AB265" i="1"/>
  <c r="AB263" i="1"/>
  <c r="AB353" i="1"/>
  <c r="AB333" i="1"/>
  <c r="AB327" i="1"/>
  <c r="AB278" i="1"/>
  <c r="AB331" i="1"/>
  <c r="AB325" i="1"/>
  <c r="AB319" i="1"/>
  <c r="AB329" i="1"/>
  <c r="AB323" i="1"/>
  <c r="AB317" i="1"/>
  <c r="AB311" i="1"/>
  <c r="AB232" i="1"/>
  <c r="AB219" i="1"/>
  <c r="AB152" i="1"/>
  <c r="AB134" i="1"/>
  <c r="AB215" i="1"/>
  <c r="AB201" i="1"/>
  <c r="AB199" i="1"/>
  <c r="AB193" i="1"/>
  <c r="AB146" i="1"/>
  <c r="AB124" i="1"/>
  <c r="AB116" i="1"/>
  <c r="AB108" i="1"/>
  <c r="AB100" i="1"/>
  <c r="AB92" i="1"/>
  <c r="AB84" i="1"/>
  <c r="AB76" i="1"/>
  <c r="AB68" i="1"/>
  <c r="AB60" i="1"/>
  <c r="AB54" i="1"/>
  <c r="AB227" i="1"/>
  <c r="AB197" i="1"/>
  <c r="AB191" i="1"/>
  <c r="AB185" i="1"/>
  <c r="AB139" i="1"/>
  <c r="AB195" i="1"/>
  <c r="AB189" i="1"/>
  <c r="AB183" i="1"/>
  <c r="AB177" i="1"/>
  <c r="AB144" i="1"/>
  <c r="AB132" i="1"/>
  <c r="AB127" i="1"/>
  <c r="AB119" i="1"/>
  <c r="AB111" i="1"/>
  <c r="AB103" i="1"/>
  <c r="AB95" i="1"/>
  <c r="AB87" i="1"/>
  <c r="AB205" i="1"/>
  <c r="AB203" i="1"/>
  <c r="AB187" i="1"/>
  <c r="AB181" i="1"/>
  <c r="AB175" i="1"/>
  <c r="AB169" i="1"/>
  <c r="AB137" i="1"/>
  <c r="AB207" i="1"/>
  <c r="AB179" i="1"/>
  <c r="AB173" i="1"/>
  <c r="AB167" i="1"/>
  <c r="AB161" i="1"/>
  <c r="AB142" i="1"/>
  <c r="AB122" i="1"/>
  <c r="AB114" i="1"/>
  <c r="AB106" i="1"/>
  <c r="AB98" i="1"/>
  <c r="AB90" i="1"/>
  <c r="AB82" i="1"/>
  <c r="AB256" i="1"/>
  <c r="AB251" i="1"/>
  <c r="AB245" i="1"/>
  <c r="AB221" i="1"/>
  <c r="AB209" i="1"/>
  <c r="AB171" i="1"/>
  <c r="AB165" i="1"/>
  <c r="AB159" i="1"/>
  <c r="AB153" i="1"/>
  <c r="AB130" i="1"/>
  <c r="AB240" i="1"/>
  <c r="AB163" i="1"/>
  <c r="AB157" i="1"/>
  <c r="AB151" i="1"/>
  <c r="AB135" i="1"/>
  <c r="AB125" i="1"/>
  <c r="AB117" i="1"/>
  <c r="AB109" i="1"/>
  <c r="AB101" i="1"/>
  <c r="AB93" i="1"/>
  <c r="AB235" i="1"/>
  <c r="AB229" i="1"/>
  <c r="AB155" i="1"/>
  <c r="AB149" i="1"/>
  <c r="AB140" i="1"/>
  <c r="AB196" i="1"/>
  <c r="AB147" i="1"/>
  <c r="AB145" i="1"/>
  <c r="AB128" i="1"/>
  <c r="AB120" i="1"/>
  <c r="AB112" i="1"/>
  <c r="AB202" i="1"/>
  <c r="AB200" i="1"/>
  <c r="AB194" i="1"/>
  <c r="AB188" i="1"/>
  <c r="AB133" i="1"/>
  <c r="AB261" i="1"/>
  <c r="AB211" i="1"/>
  <c r="AB204" i="1"/>
  <c r="AB192" i="1"/>
  <c r="AB186" i="1"/>
  <c r="AB180" i="1"/>
  <c r="AB138" i="1"/>
  <c r="AB272" i="1"/>
  <c r="AB224" i="1"/>
  <c r="AB216" i="1"/>
  <c r="AB184" i="1"/>
  <c r="AB178" i="1"/>
  <c r="AB172" i="1"/>
  <c r="AB143" i="1"/>
  <c r="AB253" i="1"/>
  <c r="AB213" i="1"/>
  <c r="AB176" i="1"/>
  <c r="AB170" i="1"/>
  <c r="AB164" i="1"/>
  <c r="AB248" i="1"/>
  <c r="AB208" i="1"/>
  <c r="AB168" i="1"/>
  <c r="AB162" i="1"/>
  <c r="AB243" i="1"/>
  <c r="AB237" i="1"/>
  <c r="AB160" i="1"/>
  <c r="AB154" i="1"/>
  <c r="AB148" i="1"/>
  <c r="AB141" i="1"/>
  <c r="AB74" i="1"/>
  <c r="AB156" i="1"/>
  <c r="AB126" i="1"/>
  <c r="AB91" i="1"/>
  <c r="AB85" i="1"/>
  <c r="AB80" i="1"/>
  <c r="AB78" i="1"/>
  <c r="AB72" i="1"/>
  <c r="AB66" i="1"/>
  <c r="AB55" i="1"/>
  <c r="AB47" i="1"/>
  <c r="AB37" i="1"/>
  <c r="AB27" i="1"/>
  <c r="AB19" i="1"/>
  <c r="AB11" i="1"/>
  <c r="AB3" i="1"/>
  <c r="AB131" i="1"/>
  <c r="AB121" i="1"/>
  <c r="AB115" i="1"/>
  <c r="AB70" i="1"/>
  <c r="AB64" i="1"/>
  <c r="AB58" i="1"/>
  <c r="AB110" i="1"/>
  <c r="AB94" i="1"/>
  <c r="AB62" i="1"/>
  <c r="AB50" i="1"/>
  <c r="AB44" i="1"/>
  <c r="AB40" i="1"/>
  <c r="AB34" i="1"/>
  <c r="AB30" i="1"/>
  <c r="AB22" i="1"/>
  <c r="AB14" i="1"/>
  <c r="AB105" i="1"/>
  <c r="AB104" i="1"/>
  <c r="AB97" i="1"/>
  <c r="AB25" i="1"/>
  <c r="AB17" i="1"/>
  <c r="AB9" i="1"/>
  <c r="AB136" i="1"/>
  <c r="AB96" i="1"/>
  <c r="AB48" i="1"/>
  <c r="AB46" i="1"/>
  <c r="AB38" i="1"/>
  <c r="AB36" i="1"/>
  <c r="AB28" i="1"/>
  <c r="AB20" i="1"/>
  <c r="AB12" i="1"/>
  <c r="AB4" i="1"/>
  <c r="AB23" i="1"/>
  <c r="AB79" i="1"/>
  <c r="AB77" i="1"/>
  <c r="AB71" i="1"/>
  <c r="AB31" i="1"/>
  <c r="AB15" i="1"/>
  <c r="AB129" i="1"/>
  <c r="AB123" i="1"/>
  <c r="AB99" i="1"/>
  <c r="AB75" i="1"/>
  <c r="AB69" i="1"/>
  <c r="AB63" i="1"/>
  <c r="AB53" i="1"/>
  <c r="AB51" i="1"/>
  <c r="AB43" i="1"/>
  <c r="AB41" i="1"/>
  <c r="AB33" i="1"/>
  <c r="AB7" i="1"/>
  <c r="AB118" i="1"/>
  <c r="AB73" i="1"/>
  <c r="AB67" i="1"/>
  <c r="AB61" i="1"/>
  <c r="AB113" i="1"/>
  <c r="AB107" i="1"/>
  <c r="AB65" i="1"/>
  <c r="AB59" i="1"/>
  <c r="AB86" i="1"/>
  <c r="AB81" i="1"/>
  <c r="AB57" i="1"/>
  <c r="AB89" i="1"/>
  <c r="AB56" i="1"/>
  <c r="AB49" i="1"/>
  <c r="AB45" i="1"/>
  <c r="AB39" i="1"/>
  <c r="AB102" i="1"/>
  <c r="AB83" i="1"/>
  <c r="AB88" i="1"/>
  <c r="AB52" i="1"/>
  <c r="AB42" i="1"/>
  <c r="AB21" i="1"/>
  <c r="AB18" i="1"/>
  <c r="AB10" i="1"/>
  <c r="AB6" i="1"/>
  <c r="AB16" i="1"/>
  <c r="AB32" i="1"/>
  <c r="AB13" i="1"/>
  <c r="AB29" i="1"/>
  <c r="AB5" i="1"/>
  <c r="AB35" i="1"/>
  <c r="AB26" i="1"/>
  <c r="AB24" i="1"/>
  <c r="AB8" i="1"/>
  <c r="AA797" i="1"/>
  <c r="AA789" i="1"/>
  <c r="AA781" i="1"/>
  <c r="AA773" i="1"/>
  <c r="AA765" i="1"/>
  <c r="AA757" i="1"/>
  <c r="AA749" i="1"/>
  <c r="AA741" i="1"/>
  <c r="AA733" i="1"/>
  <c r="AA725" i="1"/>
  <c r="AA717" i="1"/>
  <c r="AA709" i="1"/>
  <c r="AA701" i="1"/>
  <c r="AA693" i="1"/>
  <c r="AA685" i="1"/>
  <c r="AA800" i="1"/>
  <c r="AA792" i="1"/>
  <c r="AA784" i="1"/>
  <c r="AA776" i="1"/>
  <c r="AA768" i="1"/>
  <c r="AA760" i="1"/>
  <c r="AA752" i="1"/>
  <c r="AA744" i="1"/>
  <c r="AA736" i="1"/>
  <c r="AA728" i="1"/>
  <c r="AA720" i="1"/>
  <c r="AA803" i="1"/>
  <c r="AA795" i="1"/>
  <c r="AA787" i="1"/>
  <c r="AA779" i="1"/>
  <c r="AA771" i="1"/>
  <c r="AA763" i="1"/>
  <c r="AA755" i="1"/>
  <c r="AA747" i="1"/>
  <c r="AA739" i="1"/>
  <c r="AA731" i="1"/>
  <c r="AA723" i="1"/>
  <c r="AA715" i="1"/>
  <c r="AA707" i="1"/>
  <c r="AA699" i="1"/>
  <c r="AA798" i="1"/>
  <c r="AA790" i="1"/>
  <c r="AA782" i="1"/>
  <c r="AA774" i="1"/>
  <c r="AA766" i="1"/>
  <c r="AA758" i="1"/>
  <c r="AA750" i="1"/>
  <c r="AA742" i="1"/>
  <c r="AA734" i="1"/>
  <c r="AA726" i="1"/>
  <c r="AA801" i="1"/>
  <c r="AA793" i="1"/>
  <c r="AA785" i="1"/>
  <c r="AA777" i="1"/>
  <c r="AA769" i="1"/>
  <c r="AA761" i="1"/>
  <c r="AA753" i="1"/>
  <c r="AA745" i="1"/>
  <c r="AA796" i="1"/>
  <c r="AA788" i="1"/>
  <c r="AA780" i="1"/>
  <c r="AA799" i="1"/>
  <c r="AA791" i="1"/>
  <c r="AA783" i="1"/>
  <c r="AA802" i="1"/>
  <c r="AA767" i="1"/>
  <c r="AA754" i="1"/>
  <c r="AA730" i="1"/>
  <c r="AA710" i="1"/>
  <c r="AA696" i="1"/>
  <c r="AA682" i="1"/>
  <c r="AA680" i="1"/>
  <c r="AA668" i="1"/>
  <c r="AA660" i="1"/>
  <c r="AA652" i="1"/>
  <c r="AA644" i="1"/>
  <c r="AA636" i="1"/>
  <c r="AA628" i="1"/>
  <c r="AA620" i="1"/>
  <c r="AA612" i="1"/>
  <c r="AA604" i="1"/>
  <c r="AA778" i="1"/>
  <c r="AA762" i="1"/>
  <c r="AA740" i="1"/>
  <c r="AA729" i="1"/>
  <c r="AA703" i="1"/>
  <c r="AA673" i="1"/>
  <c r="AA786" i="1"/>
  <c r="AA712" i="1"/>
  <c r="AA705" i="1"/>
  <c r="AA678" i="1"/>
  <c r="AA748" i="1"/>
  <c r="AA732" i="1"/>
  <c r="AA698" i="1"/>
  <c r="AA691" i="1"/>
  <c r="AA671" i="1"/>
  <c r="AA666" i="1"/>
  <c r="AA756" i="1"/>
  <c r="AA700" i="1"/>
  <c r="AA689" i="1"/>
  <c r="AA676" i="1"/>
  <c r="AA702" i="1"/>
  <c r="AA687" i="1"/>
  <c r="AA683" i="1"/>
  <c r="AA775" i="1"/>
  <c r="AA770" i="1"/>
  <c r="AA764" i="1"/>
  <c r="AA743" i="1"/>
  <c r="AA722" i="1"/>
  <c r="AA719" i="1"/>
  <c r="AA714" i="1"/>
  <c r="AA794" i="1"/>
  <c r="AA735" i="1"/>
  <c r="AA695" i="1"/>
  <c r="AA681" i="1"/>
  <c r="AA674" i="1"/>
  <c r="AA751" i="1"/>
  <c r="AA716" i="1"/>
  <c r="AA704" i="1"/>
  <c r="AA697" i="1"/>
  <c r="AA721" i="1"/>
  <c r="AA759" i="1"/>
  <c r="AA772" i="1"/>
  <c r="AA737" i="1"/>
  <c r="AA675" i="1"/>
  <c r="AA664" i="1"/>
  <c r="AA638" i="1"/>
  <c r="AA632" i="1"/>
  <c r="AA626" i="1"/>
  <c r="AA611" i="1"/>
  <c r="AA600" i="1"/>
  <c r="AA667" i="1"/>
  <c r="AA630" i="1"/>
  <c r="AA624" i="1"/>
  <c r="AA595" i="1"/>
  <c r="AA587" i="1"/>
  <c r="AA579" i="1"/>
  <c r="AA571" i="1"/>
  <c r="AA563" i="1"/>
  <c r="AA555" i="1"/>
  <c r="AA547" i="1"/>
  <c r="AA711" i="1"/>
  <c r="AA684" i="1"/>
  <c r="AA622" i="1"/>
  <c r="AA618" i="1"/>
  <c r="AA609" i="1"/>
  <c r="AA607" i="1"/>
  <c r="AA690" i="1"/>
  <c r="AA598" i="1"/>
  <c r="AA670" i="1"/>
  <c r="AA655" i="1"/>
  <c r="AA616" i="1"/>
  <c r="AA605" i="1"/>
  <c r="AA661" i="1"/>
  <c r="AA659" i="1"/>
  <c r="AA653" i="1"/>
  <c r="AA647" i="1"/>
  <c r="AA593" i="1"/>
  <c r="AA718" i="1"/>
  <c r="AA688" i="1"/>
  <c r="AA677" i="1"/>
  <c r="AA669" i="1"/>
  <c r="AA657" i="1"/>
  <c r="AA651" i="1"/>
  <c r="AA645" i="1"/>
  <c r="AA639" i="1"/>
  <c r="AA614" i="1"/>
  <c r="AA603" i="1"/>
  <c r="AA663" i="1"/>
  <c r="AA649" i="1"/>
  <c r="AA643" i="1"/>
  <c r="AA637" i="1"/>
  <c r="AA631" i="1"/>
  <c r="AA596" i="1"/>
  <c r="AA641" i="1"/>
  <c r="AA635" i="1"/>
  <c r="AA629" i="1"/>
  <c r="AA623" i="1"/>
  <c r="AA610" i="1"/>
  <c r="AA601" i="1"/>
  <c r="AA694" i="1"/>
  <c r="AA633" i="1"/>
  <c r="AA627" i="1"/>
  <c r="AA621" i="1"/>
  <c r="AA599" i="1"/>
  <c r="AA746" i="1"/>
  <c r="AA672" i="1"/>
  <c r="AA625" i="1"/>
  <c r="AA619" i="1"/>
  <c r="AA608" i="1"/>
  <c r="AA708" i="1"/>
  <c r="AA727" i="1"/>
  <c r="AA686" i="1"/>
  <c r="AA658" i="1"/>
  <c r="AA665" i="1"/>
  <c r="AA656" i="1"/>
  <c r="AA650" i="1"/>
  <c r="AA724" i="1"/>
  <c r="AA713" i="1"/>
  <c r="AA692" i="1"/>
  <c r="AA662" i="1"/>
  <c r="AA738" i="1"/>
  <c r="AA706" i="1"/>
  <c r="AA679" i="1"/>
  <c r="AA646" i="1"/>
  <c r="AA654" i="1"/>
  <c r="AA585" i="1"/>
  <c r="AA549" i="1"/>
  <c r="AA543" i="1"/>
  <c r="AA534" i="1"/>
  <c r="AA517" i="1"/>
  <c r="AA505" i="1"/>
  <c r="AA497" i="1"/>
  <c r="AA489" i="1"/>
  <c r="AA481" i="1"/>
  <c r="AA473" i="1"/>
  <c r="AA465" i="1"/>
  <c r="AA457" i="1"/>
  <c r="AA449" i="1"/>
  <c r="AA441" i="1"/>
  <c r="AA433" i="1"/>
  <c r="AA425" i="1"/>
  <c r="AA417" i="1"/>
  <c r="AA409" i="1"/>
  <c r="AA401" i="1"/>
  <c r="AA393" i="1"/>
  <c r="AA615" i="1"/>
  <c r="AA594" i="1"/>
  <c r="AA522" i="1"/>
  <c r="AA510" i="1"/>
  <c r="AA541" i="1"/>
  <c r="AA527" i="1"/>
  <c r="AA515" i="1"/>
  <c r="AA500" i="1"/>
  <c r="AA492" i="1"/>
  <c r="AA484" i="1"/>
  <c r="AA476" i="1"/>
  <c r="AA468" i="1"/>
  <c r="AA460" i="1"/>
  <c r="AA452" i="1"/>
  <c r="AA444" i="1"/>
  <c r="AA436" i="1"/>
  <c r="AA648" i="1"/>
  <c r="AA634" i="1"/>
  <c r="AA591" i="1"/>
  <c r="AA589" i="1"/>
  <c r="AA574" i="1"/>
  <c r="AA539" i="1"/>
  <c r="AA532" i="1"/>
  <c r="AA572" i="1"/>
  <c r="AA566" i="1"/>
  <c r="AA537" i="1"/>
  <c r="AA520" i="1"/>
  <c r="AA508" i="1"/>
  <c r="AA503" i="1"/>
  <c r="AA495" i="1"/>
  <c r="AA487" i="1"/>
  <c r="AA479" i="1"/>
  <c r="AA471" i="1"/>
  <c r="AA597" i="1"/>
  <c r="AA578" i="1"/>
  <c r="AA576" i="1"/>
  <c r="AA570" i="1"/>
  <c r="AA564" i="1"/>
  <c r="AA558" i="1"/>
  <c r="AA525" i="1"/>
  <c r="AA513" i="1"/>
  <c r="AA602" i="1"/>
  <c r="AA582" i="1"/>
  <c r="AA580" i="1"/>
  <c r="AA568" i="1"/>
  <c r="AA562" i="1"/>
  <c r="AA556" i="1"/>
  <c r="AA550" i="1"/>
  <c r="AA530" i="1"/>
  <c r="AA518" i="1"/>
  <c r="AA498" i="1"/>
  <c r="AA490" i="1"/>
  <c r="AA482" i="1"/>
  <c r="AA474" i="1"/>
  <c r="AA642" i="1"/>
  <c r="AA560" i="1"/>
  <c r="AA554" i="1"/>
  <c r="AA548" i="1"/>
  <c r="AA535" i="1"/>
  <c r="AA523" i="1"/>
  <c r="AA506" i="1"/>
  <c r="AA613" i="1"/>
  <c r="AA552" i="1"/>
  <c r="AA546" i="1"/>
  <c r="AA542" i="1"/>
  <c r="AA511" i="1"/>
  <c r="AA501" i="1"/>
  <c r="AA493" i="1"/>
  <c r="AA485" i="1"/>
  <c r="AA477" i="1"/>
  <c r="AA469" i="1"/>
  <c r="AA461" i="1"/>
  <c r="AA586" i="1"/>
  <c r="AA584" i="1"/>
  <c r="AA544" i="1"/>
  <c r="AA528" i="1"/>
  <c r="AA516" i="1"/>
  <c r="AA640" i="1"/>
  <c r="AA606" i="1"/>
  <c r="AA590" i="1"/>
  <c r="AA588" i="1"/>
  <c r="AA540" i="1"/>
  <c r="AA533" i="1"/>
  <c r="AA521" i="1"/>
  <c r="AA504" i="1"/>
  <c r="AA496" i="1"/>
  <c r="AA488" i="1"/>
  <c r="AA480" i="1"/>
  <c r="AA526" i="1"/>
  <c r="AA509" i="1"/>
  <c r="AA617" i="1"/>
  <c r="AA577" i="1"/>
  <c r="AA575" i="1"/>
  <c r="AA569" i="1"/>
  <c r="AA538" i="1"/>
  <c r="AA531" i="1"/>
  <c r="AA573" i="1"/>
  <c r="AA567" i="1"/>
  <c r="AA561" i="1"/>
  <c r="AA592" i="1"/>
  <c r="AA565" i="1"/>
  <c r="AA559" i="1"/>
  <c r="AA553" i="1"/>
  <c r="AA583" i="1"/>
  <c r="AA581" i="1"/>
  <c r="AA557" i="1"/>
  <c r="AA551" i="1"/>
  <c r="AA545" i="1"/>
  <c r="AA529" i="1"/>
  <c r="AA483" i="1"/>
  <c r="AA454" i="1"/>
  <c r="AA448" i="1"/>
  <c r="AA442" i="1"/>
  <c r="AA427" i="1"/>
  <c r="AA416" i="1"/>
  <c r="AA405" i="1"/>
  <c r="AA394" i="1"/>
  <c r="AA377" i="1"/>
  <c r="AA369" i="1"/>
  <c r="AA361" i="1"/>
  <c r="AA353" i="1"/>
  <c r="AA345" i="1"/>
  <c r="AA337" i="1"/>
  <c r="AA329" i="1"/>
  <c r="AA321" i="1"/>
  <c r="AA313" i="1"/>
  <c r="AA305" i="1"/>
  <c r="AA297" i="1"/>
  <c r="AA289" i="1"/>
  <c r="AA281" i="1"/>
  <c r="AA273" i="1"/>
  <c r="AA265" i="1"/>
  <c r="AA536" i="1"/>
  <c r="AA478" i="1"/>
  <c r="AA446" i="1"/>
  <c r="AA440" i="1"/>
  <c r="AA472" i="1"/>
  <c r="AA438" i="1"/>
  <c r="AA434" i="1"/>
  <c r="AA423" i="1"/>
  <c r="AA414" i="1"/>
  <c r="AA412" i="1"/>
  <c r="AA403" i="1"/>
  <c r="AA392" i="1"/>
  <c r="AA385" i="1"/>
  <c r="AA380" i="1"/>
  <c r="AA372" i="1"/>
  <c r="AA364" i="1"/>
  <c r="AA356" i="1"/>
  <c r="AA348" i="1"/>
  <c r="AA340" i="1"/>
  <c r="AA332" i="1"/>
  <c r="AA324" i="1"/>
  <c r="AA316" i="1"/>
  <c r="AA308" i="1"/>
  <c r="AA300" i="1"/>
  <c r="AA292" i="1"/>
  <c r="AA284" i="1"/>
  <c r="AA276" i="1"/>
  <c r="AA462" i="1"/>
  <c r="AA432" i="1"/>
  <c r="AA421" i="1"/>
  <c r="AA410" i="1"/>
  <c r="AA399" i="1"/>
  <c r="AA390" i="1"/>
  <c r="AA383" i="1"/>
  <c r="AA375" i="1"/>
  <c r="AA367" i="1"/>
  <c r="AA359" i="1"/>
  <c r="AA351" i="1"/>
  <c r="AA514" i="1"/>
  <c r="AA464" i="1"/>
  <c r="AA388" i="1"/>
  <c r="AA507" i="1"/>
  <c r="AA502" i="1"/>
  <c r="AA455" i="1"/>
  <c r="AA430" i="1"/>
  <c r="AA428" i="1"/>
  <c r="AA419" i="1"/>
  <c r="AA408" i="1"/>
  <c r="AA397" i="1"/>
  <c r="AA378" i="1"/>
  <c r="AA370" i="1"/>
  <c r="AA362" i="1"/>
  <c r="AA354" i="1"/>
  <c r="AA491" i="1"/>
  <c r="AA467" i="1"/>
  <c r="AA453" i="1"/>
  <c r="AA447" i="1"/>
  <c r="AA486" i="1"/>
  <c r="AA459" i="1"/>
  <c r="AA451" i="1"/>
  <c r="AA445" i="1"/>
  <c r="AA439" i="1"/>
  <c r="AA426" i="1"/>
  <c r="AA415" i="1"/>
  <c r="AA406" i="1"/>
  <c r="AA404" i="1"/>
  <c r="AA395" i="1"/>
  <c r="AA386" i="1"/>
  <c r="AA381" i="1"/>
  <c r="AA373" i="1"/>
  <c r="AA365" i="1"/>
  <c r="AA357" i="1"/>
  <c r="AA349" i="1"/>
  <c r="AA341" i="1"/>
  <c r="AA524" i="1"/>
  <c r="AA475" i="1"/>
  <c r="AA443" i="1"/>
  <c r="AA437" i="1"/>
  <c r="AA435" i="1"/>
  <c r="AA424" i="1"/>
  <c r="AA413" i="1"/>
  <c r="AA402" i="1"/>
  <c r="AA391" i="1"/>
  <c r="AA376" i="1"/>
  <c r="AA368" i="1"/>
  <c r="AA360" i="1"/>
  <c r="AA352" i="1"/>
  <c r="AA466" i="1"/>
  <c r="AA463" i="1"/>
  <c r="AA512" i="1"/>
  <c r="AA470" i="1"/>
  <c r="AA431" i="1"/>
  <c r="AA422" i="1"/>
  <c r="AA420" i="1"/>
  <c r="AA411" i="1"/>
  <c r="AA400" i="1"/>
  <c r="AA519" i="1"/>
  <c r="AA499" i="1"/>
  <c r="AA429" i="1"/>
  <c r="AA418" i="1"/>
  <c r="AA494" i="1"/>
  <c r="AA458" i="1"/>
  <c r="AA456" i="1"/>
  <c r="AA450" i="1"/>
  <c r="AA323" i="1"/>
  <c r="AA317" i="1"/>
  <c r="AA311" i="1"/>
  <c r="AA261" i="1"/>
  <c r="AA251" i="1"/>
  <c r="AA243" i="1"/>
  <c r="AA235" i="1"/>
  <c r="AA227" i="1"/>
  <c r="AA219" i="1"/>
  <c r="AA211" i="1"/>
  <c r="AA203" i="1"/>
  <c r="AA195" i="1"/>
  <c r="AA187" i="1"/>
  <c r="AA179" i="1"/>
  <c r="AA171" i="1"/>
  <c r="AA163" i="1"/>
  <c r="AA155" i="1"/>
  <c r="AA147" i="1"/>
  <c r="AA139" i="1"/>
  <c r="AA131" i="1"/>
  <c r="AA398" i="1"/>
  <c r="AA315" i="1"/>
  <c r="AA309" i="1"/>
  <c r="AA303" i="1"/>
  <c r="AA270" i="1"/>
  <c r="AA268" i="1"/>
  <c r="AA382" i="1"/>
  <c r="AA347" i="1"/>
  <c r="AA307" i="1"/>
  <c r="AA301" i="1"/>
  <c r="AA295" i="1"/>
  <c r="AA254" i="1"/>
  <c r="AA246" i="1"/>
  <c r="AA238" i="1"/>
  <c r="AA230" i="1"/>
  <c r="AA222" i="1"/>
  <c r="AA214" i="1"/>
  <c r="AA206" i="1"/>
  <c r="AA198" i="1"/>
  <c r="AA190" i="1"/>
  <c r="AA182" i="1"/>
  <c r="AA174" i="1"/>
  <c r="AA166" i="1"/>
  <c r="AA158" i="1"/>
  <c r="AA150" i="1"/>
  <c r="AA371" i="1"/>
  <c r="AA299" i="1"/>
  <c r="AA293" i="1"/>
  <c r="AA287" i="1"/>
  <c r="AA266" i="1"/>
  <c r="AA259" i="1"/>
  <c r="AA396" i="1"/>
  <c r="AA387" i="1"/>
  <c r="AA366" i="1"/>
  <c r="AA291" i="1"/>
  <c r="AA285" i="1"/>
  <c r="AA279" i="1"/>
  <c r="AA249" i="1"/>
  <c r="AA241" i="1"/>
  <c r="AA233" i="1"/>
  <c r="AA225" i="1"/>
  <c r="AA217" i="1"/>
  <c r="AA355" i="1"/>
  <c r="AA343" i="1"/>
  <c r="AA283" i="1"/>
  <c r="AA277" i="1"/>
  <c r="AA264" i="1"/>
  <c r="AA407" i="1"/>
  <c r="AA350" i="1"/>
  <c r="AA346" i="1"/>
  <c r="AA330" i="1"/>
  <c r="AA275" i="1"/>
  <c r="AA257" i="1"/>
  <c r="AA252" i="1"/>
  <c r="AA244" i="1"/>
  <c r="AA236" i="1"/>
  <c r="AA334" i="1"/>
  <c r="AA328" i="1"/>
  <c r="AA322" i="1"/>
  <c r="AA271" i="1"/>
  <c r="AA262" i="1"/>
  <c r="AA326" i="1"/>
  <c r="AA320" i="1"/>
  <c r="AA314" i="1"/>
  <c r="AA255" i="1"/>
  <c r="AA247" i="1"/>
  <c r="AA239" i="1"/>
  <c r="AA231" i="1"/>
  <c r="AA223" i="1"/>
  <c r="AA215" i="1"/>
  <c r="AA207" i="1"/>
  <c r="AA339" i="1"/>
  <c r="AA336" i="1"/>
  <c r="AA318" i="1"/>
  <c r="AA312" i="1"/>
  <c r="AA306" i="1"/>
  <c r="AA269" i="1"/>
  <c r="AA260" i="1"/>
  <c r="AA384" i="1"/>
  <c r="AA379" i="1"/>
  <c r="AA310" i="1"/>
  <c r="AA304" i="1"/>
  <c r="AA298" i="1"/>
  <c r="AA250" i="1"/>
  <c r="AA242" i="1"/>
  <c r="AA234" i="1"/>
  <c r="AA226" i="1"/>
  <c r="AA218" i="1"/>
  <c r="AA374" i="1"/>
  <c r="AA342" i="1"/>
  <c r="AA302" i="1"/>
  <c r="AA296" i="1"/>
  <c r="AA290" i="1"/>
  <c r="AA267" i="1"/>
  <c r="AA363" i="1"/>
  <c r="AA294" i="1"/>
  <c r="AA288" i="1"/>
  <c r="AA282" i="1"/>
  <c r="AA358" i="1"/>
  <c r="AA286" i="1"/>
  <c r="AA280" i="1"/>
  <c r="AA389" i="1"/>
  <c r="AA338" i="1"/>
  <c r="AA333" i="1"/>
  <c r="AA327" i="1"/>
  <c r="AA344" i="1"/>
  <c r="AA335" i="1"/>
  <c r="AA331" i="1"/>
  <c r="AA325" i="1"/>
  <c r="AA319" i="1"/>
  <c r="AA272" i="1"/>
  <c r="AA258" i="1"/>
  <c r="AA237" i="1"/>
  <c r="AA210" i="1"/>
  <c r="AA160" i="1"/>
  <c r="AA154" i="1"/>
  <c r="AA148" i="1"/>
  <c r="AA141" i="1"/>
  <c r="AA129" i="1"/>
  <c r="AA121" i="1"/>
  <c r="AA113" i="1"/>
  <c r="AA105" i="1"/>
  <c r="AA97" i="1"/>
  <c r="AA89" i="1"/>
  <c r="AA81" i="1"/>
  <c r="AA73" i="1"/>
  <c r="AA65" i="1"/>
  <c r="AA57" i="1"/>
  <c r="AA232" i="1"/>
  <c r="AA152" i="1"/>
  <c r="AA134" i="1"/>
  <c r="AA201" i="1"/>
  <c r="AA199" i="1"/>
  <c r="AA193" i="1"/>
  <c r="AA146" i="1"/>
  <c r="AA124" i="1"/>
  <c r="AA116" i="1"/>
  <c r="AA108" i="1"/>
  <c r="AA100" i="1"/>
  <c r="AA92" i="1"/>
  <c r="AA84" i="1"/>
  <c r="AA76" i="1"/>
  <c r="AA68" i="1"/>
  <c r="AA60" i="1"/>
  <c r="AA54" i="1"/>
  <c r="AA197" i="1"/>
  <c r="AA191" i="1"/>
  <c r="AA185" i="1"/>
  <c r="AA212" i="1"/>
  <c r="AA189" i="1"/>
  <c r="AA183" i="1"/>
  <c r="AA177" i="1"/>
  <c r="AA144" i="1"/>
  <c r="AA132" i="1"/>
  <c r="AA127" i="1"/>
  <c r="AA119" i="1"/>
  <c r="AA111" i="1"/>
  <c r="AA103" i="1"/>
  <c r="AA95" i="1"/>
  <c r="AA263" i="1"/>
  <c r="AA205" i="1"/>
  <c r="AA181" i="1"/>
  <c r="AA175" i="1"/>
  <c r="AA169" i="1"/>
  <c r="AA137" i="1"/>
  <c r="AA278" i="1"/>
  <c r="AA173" i="1"/>
  <c r="AA167" i="1"/>
  <c r="AA161" i="1"/>
  <c r="AA142" i="1"/>
  <c r="AA122" i="1"/>
  <c r="AA114" i="1"/>
  <c r="AA106" i="1"/>
  <c r="AA256" i="1"/>
  <c r="AA245" i="1"/>
  <c r="AA221" i="1"/>
  <c r="AA209" i="1"/>
  <c r="AA165" i="1"/>
  <c r="AA159" i="1"/>
  <c r="AA153" i="1"/>
  <c r="AA130" i="1"/>
  <c r="AA240" i="1"/>
  <c r="AA157" i="1"/>
  <c r="AA151" i="1"/>
  <c r="AA135" i="1"/>
  <c r="AA125" i="1"/>
  <c r="AA117" i="1"/>
  <c r="AA109" i="1"/>
  <c r="AA101" i="1"/>
  <c r="AA93" i="1"/>
  <c r="AA85" i="1"/>
  <c r="AA274" i="1"/>
  <c r="AA229" i="1"/>
  <c r="AA149" i="1"/>
  <c r="AA140" i="1"/>
  <c r="AA196" i="1"/>
  <c r="AA145" i="1"/>
  <c r="AA128" i="1"/>
  <c r="AA120" i="1"/>
  <c r="AA112" i="1"/>
  <c r="AA104" i="1"/>
  <c r="AA220" i="1"/>
  <c r="AA202" i="1"/>
  <c r="AA200" i="1"/>
  <c r="AA194" i="1"/>
  <c r="AA188" i="1"/>
  <c r="AA133" i="1"/>
  <c r="AA204" i="1"/>
  <c r="AA192" i="1"/>
  <c r="AA186" i="1"/>
  <c r="AA180" i="1"/>
  <c r="AA228" i="1"/>
  <c r="AA224" i="1"/>
  <c r="AA216" i="1"/>
  <c r="AA184" i="1"/>
  <c r="AA178" i="1"/>
  <c r="AA172" i="1"/>
  <c r="AA253" i="1"/>
  <c r="AA213" i="1"/>
  <c r="AA176" i="1"/>
  <c r="AA170" i="1"/>
  <c r="AA164" i="1"/>
  <c r="AA248" i="1"/>
  <c r="AA208" i="1"/>
  <c r="AA168" i="1"/>
  <c r="AA162" i="1"/>
  <c r="AA156" i="1"/>
  <c r="AA88" i="1"/>
  <c r="AA52" i="1"/>
  <c r="AA42" i="1"/>
  <c r="AA32" i="1"/>
  <c r="AA24" i="1"/>
  <c r="AA16" i="1"/>
  <c r="AA8" i="1"/>
  <c r="AA138" i="1"/>
  <c r="AA74" i="1"/>
  <c r="AA47" i="1"/>
  <c r="AA37" i="1"/>
  <c r="AA126" i="1"/>
  <c r="AA91" i="1"/>
  <c r="AA80" i="1"/>
  <c r="AA78" i="1"/>
  <c r="AA72" i="1"/>
  <c r="AA66" i="1"/>
  <c r="AA55" i="1"/>
  <c r="AA115" i="1"/>
  <c r="AA70" i="1"/>
  <c r="AA64" i="1"/>
  <c r="AA58" i="1"/>
  <c r="AA110" i="1"/>
  <c r="AA94" i="1"/>
  <c r="AA82" i="1"/>
  <c r="AA62" i="1"/>
  <c r="AA50" i="1"/>
  <c r="AA44" i="1"/>
  <c r="AA40" i="1"/>
  <c r="AA34" i="1"/>
  <c r="AA30" i="1"/>
  <c r="AA22" i="1"/>
  <c r="AA14" i="1"/>
  <c r="AA90" i="1"/>
  <c r="AA87" i="1"/>
  <c r="AA25" i="1"/>
  <c r="AA17" i="1"/>
  <c r="AA136" i="1"/>
  <c r="AA96" i="1"/>
  <c r="AA48" i="1"/>
  <c r="AA46" i="1"/>
  <c r="AA38" i="1"/>
  <c r="AA36" i="1"/>
  <c r="AA28" i="1"/>
  <c r="AA20" i="1"/>
  <c r="AA12" i="1"/>
  <c r="AA4" i="1"/>
  <c r="AA79" i="1"/>
  <c r="AA77" i="1"/>
  <c r="AA71" i="1"/>
  <c r="AA143" i="1"/>
  <c r="AA123" i="1"/>
  <c r="AA99" i="1"/>
  <c r="AA75" i="1"/>
  <c r="AA69" i="1"/>
  <c r="AA63" i="1"/>
  <c r="AA53" i="1"/>
  <c r="AA51" i="1"/>
  <c r="AA43" i="1"/>
  <c r="AA41" i="1"/>
  <c r="AA33" i="1"/>
  <c r="AA31" i="1"/>
  <c r="AA23" i="1"/>
  <c r="AA15" i="1"/>
  <c r="AA7" i="1"/>
  <c r="AA118" i="1"/>
  <c r="AA67" i="1"/>
  <c r="AA61" i="1"/>
  <c r="AA107" i="1"/>
  <c r="AA59" i="1"/>
  <c r="AA86" i="1"/>
  <c r="AA98" i="1"/>
  <c r="AA56" i="1"/>
  <c r="AA102" i="1"/>
  <c r="AA83" i="1"/>
  <c r="AA26" i="1"/>
  <c r="AA13" i="1"/>
  <c r="AA9" i="1"/>
  <c r="AA3" i="1"/>
  <c r="AA45" i="1"/>
  <c r="AA21" i="1"/>
  <c r="AA5" i="1"/>
  <c r="AA49" i="1"/>
  <c r="AA6" i="1"/>
  <c r="AA27" i="1"/>
  <c r="AA11" i="1"/>
  <c r="AA19" i="1"/>
  <c r="AA39" i="1"/>
  <c r="AA35" i="1"/>
  <c r="AA18" i="1"/>
  <c r="AA10" i="1"/>
  <c r="AA29" i="1"/>
  <c r="X799" i="1"/>
  <c r="X791" i="1"/>
  <c r="X783" i="1"/>
  <c r="X775" i="1"/>
  <c r="X767" i="1"/>
  <c r="X759" i="1"/>
  <c r="X751" i="1"/>
  <c r="X743" i="1"/>
  <c r="X735" i="1"/>
  <c r="X727" i="1"/>
  <c r="X719" i="1"/>
  <c r="X711" i="1"/>
  <c r="X703" i="1"/>
  <c r="X695" i="1"/>
  <c r="X687" i="1"/>
  <c r="X679" i="1"/>
  <c r="X671" i="1"/>
  <c r="X802" i="1"/>
  <c r="X794" i="1"/>
  <c r="X786" i="1"/>
  <c r="X778" i="1"/>
  <c r="X770" i="1"/>
  <c r="X762" i="1"/>
  <c r="X754" i="1"/>
  <c r="X746" i="1"/>
  <c r="X738" i="1"/>
  <c r="X730" i="1"/>
  <c r="X722" i="1"/>
  <c r="X714" i="1"/>
  <c r="X706" i="1"/>
  <c r="X698" i="1"/>
  <c r="X690" i="1"/>
  <c r="X682" i="1"/>
  <c r="X797" i="1"/>
  <c r="X789" i="1"/>
  <c r="X781" i="1"/>
  <c r="X773" i="1"/>
  <c r="X765" i="1"/>
  <c r="X757" i="1"/>
  <c r="X749" i="1"/>
  <c r="X741" i="1"/>
  <c r="X733" i="1"/>
  <c r="X725" i="1"/>
  <c r="X717" i="1"/>
  <c r="X709" i="1"/>
  <c r="X701" i="1"/>
  <c r="X693" i="1"/>
  <c r="X800" i="1"/>
  <c r="X792" i="1"/>
  <c r="X784" i="1"/>
  <c r="X776" i="1"/>
  <c r="X768" i="1"/>
  <c r="X760" i="1"/>
  <c r="X752" i="1"/>
  <c r="X744" i="1"/>
  <c r="X736" i="1"/>
  <c r="X728" i="1"/>
  <c r="X803" i="1"/>
  <c r="X795" i="1"/>
  <c r="X787" i="1"/>
  <c r="X779" i="1"/>
  <c r="X771" i="1"/>
  <c r="X763" i="1"/>
  <c r="X755" i="1"/>
  <c r="X747" i="1"/>
  <c r="X739" i="1"/>
  <c r="X731" i="1"/>
  <c r="X798" i="1"/>
  <c r="X790" i="1"/>
  <c r="X782" i="1"/>
  <c r="X774" i="1"/>
  <c r="X766" i="1"/>
  <c r="X801" i="1"/>
  <c r="X793" i="1"/>
  <c r="X785" i="1"/>
  <c r="X788" i="1"/>
  <c r="X688" i="1"/>
  <c r="X662" i="1"/>
  <c r="X654" i="1"/>
  <c r="X646" i="1"/>
  <c r="X638" i="1"/>
  <c r="X630" i="1"/>
  <c r="X622" i="1"/>
  <c r="X745" i="1"/>
  <c r="X737" i="1"/>
  <c r="X723" i="1"/>
  <c r="X715" i="1"/>
  <c r="X686" i="1"/>
  <c r="X670" i="1"/>
  <c r="X772" i="1"/>
  <c r="X720" i="1"/>
  <c r="X708" i="1"/>
  <c r="X696" i="1"/>
  <c r="X694" i="1"/>
  <c r="X692" i="1"/>
  <c r="X684" i="1"/>
  <c r="X675" i="1"/>
  <c r="X665" i="1"/>
  <c r="X657" i="1"/>
  <c r="X649" i="1"/>
  <c r="X641" i="1"/>
  <c r="X633" i="1"/>
  <c r="X625" i="1"/>
  <c r="X617" i="1"/>
  <c r="X609" i="1"/>
  <c r="X601" i="1"/>
  <c r="X777" i="1"/>
  <c r="X753" i="1"/>
  <c r="X726" i="1"/>
  <c r="X710" i="1"/>
  <c r="X712" i="1"/>
  <c r="X680" i="1"/>
  <c r="X668" i="1"/>
  <c r="X761" i="1"/>
  <c r="X740" i="1"/>
  <c r="X729" i="1"/>
  <c r="X673" i="1"/>
  <c r="X796" i="1"/>
  <c r="X705" i="1"/>
  <c r="X678" i="1"/>
  <c r="X748" i="1"/>
  <c r="X707" i="1"/>
  <c r="X732" i="1"/>
  <c r="X691" i="1"/>
  <c r="X685" i="1"/>
  <c r="X666" i="1"/>
  <c r="X756" i="1"/>
  <c r="X700" i="1"/>
  <c r="X689" i="1"/>
  <c r="X676" i="1"/>
  <c r="X769" i="1"/>
  <c r="X702" i="1"/>
  <c r="X683" i="1"/>
  <c r="X764" i="1"/>
  <c r="X742" i="1"/>
  <c r="X780" i="1"/>
  <c r="X750" i="1"/>
  <c r="X656" i="1"/>
  <c r="X650" i="1"/>
  <c r="X644" i="1"/>
  <c r="X597" i="1"/>
  <c r="X589" i="1"/>
  <c r="X581" i="1"/>
  <c r="X573" i="1"/>
  <c r="X565" i="1"/>
  <c r="X557" i="1"/>
  <c r="X549" i="1"/>
  <c r="X541" i="1"/>
  <c r="X533" i="1"/>
  <c r="X525" i="1"/>
  <c r="X517" i="1"/>
  <c r="X509" i="1"/>
  <c r="X724" i="1"/>
  <c r="X713" i="1"/>
  <c r="X704" i="1"/>
  <c r="X648" i="1"/>
  <c r="X642" i="1"/>
  <c r="X636" i="1"/>
  <c r="X613" i="1"/>
  <c r="X602" i="1"/>
  <c r="X697" i="1"/>
  <c r="X640" i="1"/>
  <c r="X634" i="1"/>
  <c r="X628" i="1"/>
  <c r="X592" i="1"/>
  <c r="X584" i="1"/>
  <c r="X576" i="1"/>
  <c r="X568" i="1"/>
  <c r="X560" i="1"/>
  <c r="X552" i="1"/>
  <c r="X544" i="1"/>
  <c r="X734" i="1"/>
  <c r="X674" i="1"/>
  <c r="X664" i="1"/>
  <c r="X632" i="1"/>
  <c r="X626" i="1"/>
  <c r="X620" i="1"/>
  <c r="X611" i="1"/>
  <c r="X600" i="1"/>
  <c r="X721" i="1"/>
  <c r="X667" i="1"/>
  <c r="X624" i="1"/>
  <c r="X758" i="1"/>
  <c r="X618" i="1"/>
  <c r="X607" i="1"/>
  <c r="X598" i="1"/>
  <c r="X661" i="1"/>
  <c r="X655" i="1"/>
  <c r="X616" i="1"/>
  <c r="X605" i="1"/>
  <c r="X669" i="1"/>
  <c r="X663" i="1"/>
  <c r="X659" i="1"/>
  <c r="X653" i="1"/>
  <c r="X647" i="1"/>
  <c r="X593" i="1"/>
  <c r="X585" i="1"/>
  <c r="X577" i="1"/>
  <c r="X718" i="1"/>
  <c r="X677" i="1"/>
  <c r="X651" i="1"/>
  <c r="X645" i="1"/>
  <c r="X639" i="1"/>
  <c r="X614" i="1"/>
  <c r="X612" i="1"/>
  <c r="X603" i="1"/>
  <c r="X681" i="1"/>
  <c r="X643" i="1"/>
  <c r="X637" i="1"/>
  <c r="X631" i="1"/>
  <c r="X716" i="1"/>
  <c r="X672" i="1"/>
  <c r="X699" i="1"/>
  <c r="X660" i="1"/>
  <c r="X658" i="1"/>
  <c r="X652" i="1"/>
  <c r="X635" i="1"/>
  <c r="X567" i="1"/>
  <c r="X561" i="1"/>
  <c r="X555" i="1"/>
  <c r="X536" i="1"/>
  <c r="X519" i="1"/>
  <c r="X507" i="1"/>
  <c r="X559" i="1"/>
  <c r="X553" i="1"/>
  <c r="X547" i="1"/>
  <c r="X524" i="1"/>
  <c r="X512" i="1"/>
  <c r="X502" i="1"/>
  <c r="X494" i="1"/>
  <c r="X486" i="1"/>
  <c r="X478" i="1"/>
  <c r="X470" i="1"/>
  <c r="X462" i="1"/>
  <c r="X454" i="1"/>
  <c r="X446" i="1"/>
  <c r="X438" i="1"/>
  <c r="X430" i="1"/>
  <c r="X422" i="1"/>
  <c r="X414" i="1"/>
  <c r="X406" i="1"/>
  <c r="X398" i="1"/>
  <c r="X390" i="1"/>
  <c r="X621" i="1"/>
  <c r="X604" i="1"/>
  <c r="X583" i="1"/>
  <c r="X551" i="1"/>
  <c r="X545" i="1"/>
  <c r="X529" i="1"/>
  <c r="X627" i="1"/>
  <c r="X587" i="1"/>
  <c r="X543" i="1"/>
  <c r="X534" i="1"/>
  <c r="X505" i="1"/>
  <c r="X497" i="1"/>
  <c r="X489" i="1"/>
  <c r="X481" i="1"/>
  <c r="X473" i="1"/>
  <c r="X465" i="1"/>
  <c r="X615" i="1"/>
  <c r="X594" i="1"/>
  <c r="X522" i="1"/>
  <c r="X510" i="1"/>
  <c r="X539" i="1"/>
  <c r="X527" i="1"/>
  <c r="X515" i="1"/>
  <c r="X500" i="1"/>
  <c r="X492" i="1"/>
  <c r="X484" i="1"/>
  <c r="X476" i="1"/>
  <c r="X468" i="1"/>
  <c r="X608" i="1"/>
  <c r="X591" i="1"/>
  <c r="X574" i="1"/>
  <c r="X532" i="1"/>
  <c r="X520" i="1"/>
  <c r="X572" i="1"/>
  <c r="X566" i="1"/>
  <c r="X537" i="1"/>
  <c r="X508" i="1"/>
  <c r="X503" i="1"/>
  <c r="X495" i="1"/>
  <c r="X487" i="1"/>
  <c r="X479" i="1"/>
  <c r="X471" i="1"/>
  <c r="X619" i="1"/>
  <c r="X580" i="1"/>
  <c r="X578" i="1"/>
  <c r="X570" i="1"/>
  <c r="X564" i="1"/>
  <c r="X558" i="1"/>
  <c r="X513" i="1"/>
  <c r="X596" i="1"/>
  <c r="X582" i="1"/>
  <c r="X562" i="1"/>
  <c r="X556" i="1"/>
  <c r="X550" i="1"/>
  <c r="X530" i="1"/>
  <c r="X518" i="1"/>
  <c r="X498" i="1"/>
  <c r="X490" i="1"/>
  <c r="X482" i="1"/>
  <c r="X474" i="1"/>
  <c r="X466" i="1"/>
  <c r="X554" i="1"/>
  <c r="X548" i="1"/>
  <c r="X535" i="1"/>
  <c r="X523" i="1"/>
  <c r="X506" i="1"/>
  <c r="X546" i="1"/>
  <c r="X542" i="1"/>
  <c r="X528" i="1"/>
  <c r="X511" i="1"/>
  <c r="X623" i="1"/>
  <c r="X588" i="1"/>
  <c r="X586" i="1"/>
  <c r="X629" i="1"/>
  <c r="X606" i="1"/>
  <c r="X590" i="1"/>
  <c r="X540" i="1"/>
  <c r="X599" i="1"/>
  <c r="X571" i="1"/>
  <c r="X610" i="1"/>
  <c r="X595" i="1"/>
  <c r="X579" i="1"/>
  <c r="X575" i="1"/>
  <c r="X569" i="1"/>
  <c r="X563" i="1"/>
  <c r="X538" i="1"/>
  <c r="X531" i="1"/>
  <c r="X504" i="1"/>
  <c r="X499" i="1"/>
  <c r="X493" i="1"/>
  <c r="X458" i="1"/>
  <c r="X452" i="1"/>
  <c r="X429" i="1"/>
  <c r="X418" i="1"/>
  <c r="X407" i="1"/>
  <c r="X396" i="1"/>
  <c r="X382" i="1"/>
  <c r="X374" i="1"/>
  <c r="X366" i="1"/>
  <c r="X358" i="1"/>
  <c r="X350" i="1"/>
  <c r="X342" i="1"/>
  <c r="X334" i="1"/>
  <c r="X326" i="1"/>
  <c r="X318" i="1"/>
  <c r="X310" i="1"/>
  <c r="X302" i="1"/>
  <c r="X294" i="1"/>
  <c r="X286" i="1"/>
  <c r="X278" i="1"/>
  <c r="X270" i="1"/>
  <c r="X262" i="1"/>
  <c r="X516" i="1"/>
  <c r="X488" i="1"/>
  <c r="X460" i="1"/>
  <c r="X456" i="1"/>
  <c r="X450" i="1"/>
  <c r="X444" i="1"/>
  <c r="X387" i="1"/>
  <c r="X483" i="1"/>
  <c r="X477" i="1"/>
  <c r="X448" i="1"/>
  <c r="X442" i="1"/>
  <c r="X436" i="1"/>
  <c r="X427" i="1"/>
  <c r="X425" i="1"/>
  <c r="X416" i="1"/>
  <c r="X405" i="1"/>
  <c r="X394" i="1"/>
  <c r="X377" i="1"/>
  <c r="X369" i="1"/>
  <c r="X361" i="1"/>
  <c r="X353" i="1"/>
  <c r="X345" i="1"/>
  <c r="X337" i="1"/>
  <c r="X440" i="1"/>
  <c r="X385" i="1"/>
  <c r="X472" i="1"/>
  <c r="X434" i="1"/>
  <c r="X423" i="1"/>
  <c r="X412" i="1"/>
  <c r="X403" i="1"/>
  <c r="X401" i="1"/>
  <c r="X392" i="1"/>
  <c r="X380" i="1"/>
  <c r="X372" i="1"/>
  <c r="X364" i="1"/>
  <c r="X356" i="1"/>
  <c r="X348" i="1"/>
  <c r="X340" i="1"/>
  <c r="X526" i="1"/>
  <c r="X432" i="1"/>
  <c r="X421" i="1"/>
  <c r="X410" i="1"/>
  <c r="X399" i="1"/>
  <c r="X383" i="1"/>
  <c r="X375" i="1"/>
  <c r="X367" i="1"/>
  <c r="X359" i="1"/>
  <c r="X351" i="1"/>
  <c r="X343" i="1"/>
  <c r="X335" i="1"/>
  <c r="X514" i="1"/>
  <c r="X501" i="1"/>
  <c r="X464" i="1"/>
  <c r="X457" i="1"/>
  <c r="X388" i="1"/>
  <c r="X496" i="1"/>
  <c r="X455" i="1"/>
  <c r="X449" i="1"/>
  <c r="X428" i="1"/>
  <c r="X419" i="1"/>
  <c r="X417" i="1"/>
  <c r="X408" i="1"/>
  <c r="X397" i="1"/>
  <c r="X378" i="1"/>
  <c r="X370" i="1"/>
  <c r="X362" i="1"/>
  <c r="X354" i="1"/>
  <c r="X346" i="1"/>
  <c r="X338" i="1"/>
  <c r="X491" i="1"/>
  <c r="X485" i="1"/>
  <c r="X467" i="1"/>
  <c r="X453" i="1"/>
  <c r="X447" i="1"/>
  <c r="X441" i="1"/>
  <c r="X480" i="1"/>
  <c r="X461" i="1"/>
  <c r="X459" i="1"/>
  <c r="X451" i="1"/>
  <c r="X445" i="1"/>
  <c r="X439" i="1"/>
  <c r="X426" i="1"/>
  <c r="X415" i="1"/>
  <c r="X404" i="1"/>
  <c r="X395" i="1"/>
  <c r="X393" i="1"/>
  <c r="X521" i="1"/>
  <c r="X475" i="1"/>
  <c r="X443" i="1"/>
  <c r="X437" i="1"/>
  <c r="X463" i="1"/>
  <c r="X435" i="1"/>
  <c r="X433" i="1"/>
  <c r="X424" i="1"/>
  <c r="X413" i="1"/>
  <c r="X469" i="1"/>
  <c r="X431" i="1"/>
  <c r="X420" i="1"/>
  <c r="X411" i="1"/>
  <c r="X409" i="1"/>
  <c r="X400" i="1"/>
  <c r="X389" i="1"/>
  <c r="X352" i="1"/>
  <c r="X341" i="1"/>
  <c r="X329" i="1"/>
  <c r="X280" i="1"/>
  <c r="X274" i="1"/>
  <c r="X263" i="1"/>
  <c r="X333" i="1"/>
  <c r="X327" i="1"/>
  <c r="X321" i="1"/>
  <c r="X248" i="1"/>
  <c r="X240" i="1"/>
  <c r="X232" i="1"/>
  <c r="X224" i="1"/>
  <c r="X216" i="1"/>
  <c r="X208" i="1"/>
  <c r="X200" i="1"/>
  <c r="X192" i="1"/>
  <c r="X184" i="1"/>
  <c r="X176" i="1"/>
  <c r="X168" i="1"/>
  <c r="X160" i="1"/>
  <c r="X152" i="1"/>
  <c r="X344" i="1"/>
  <c r="X331" i="1"/>
  <c r="X325" i="1"/>
  <c r="X319" i="1"/>
  <c r="X313" i="1"/>
  <c r="X272" i="1"/>
  <c r="X256" i="1"/>
  <c r="X323" i="1"/>
  <c r="X317" i="1"/>
  <c r="X311" i="1"/>
  <c r="X305" i="1"/>
  <c r="X261" i="1"/>
  <c r="X251" i="1"/>
  <c r="X243" i="1"/>
  <c r="X235" i="1"/>
  <c r="X227" i="1"/>
  <c r="X219" i="1"/>
  <c r="X381" i="1"/>
  <c r="X315" i="1"/>
  <c r="X309" i="1"/>
  <c r="X303" i="1"/>
  <c r="X297" i="1"/>
  <c r="X268" i="1"/>
  <c r="X386" i="1"/>
  <c r="X376" i="1"/>
  <c r="X347" i="1"/>
  <c r="X307" i="1"/>
  <c r="X301" i="1"/>
  <c r="X295" i="1"/>
  <c r="X289" i="1"/>
  <c r="X254" i="1"/>
  <c r="X246" i="1"/>
  <c r="X238" i="1"/>
  <c r="X230" i="1"/>
  <c r="X222" i="1"/>
  <c r="X214" i="1"/>
  <c r="X371" i="1"/>
  <c r="X365" i="1"/>
  <c r="X299" i="1"/>
  <c r="X293" i="1"/>
  <c r="X287" i="1"/>
  <c r="X281" i="1"/>
  <c r="X266" i="1"/>
  <c r="X259" i="1"/>
  <c r="X360" i="1"/>
  <c r="X291" i="1"/>
  <c r="X285" i="1"/>
  <c r="X279" i="1"/>
  <c r="X249" i="1"/>
  <c r="X241" i="1"/>
  <c r="X233" i="1"/>
  <c r="X225" i="1"/>
  <c r="X355" i="1"/>
  <c r="X332" i="1"/>
  <c r="X283" i="1"/>
  <c r="X277" i="1"/>
  <c r="X273" i="1"/>
  <c r="X264" i="1"/>
  <c r="X257" i="1"/>
  <c r="X330" i="1"/>
  <c r="X324" i="1"/>
  <c r="X275" i="1"/>
  <c r="X252" i="1"/>
  <c r="X244" i="1"/>
  <c r="X236" i="1"/>
  <c r="X228" i="1"/>
  <c r="X220" i="1"/>
  <c r="X212" i="1"/>
  <c r="X349" i="1"/>
  <c r="X328" i="1"/>
  <c r="X322" i="1"/>
  <c r="X316" i="1"/>
  <c r="X271" i="1"/>
  <c r="X402" i="1"/>
  <c r="X320" i="1"/>
  <c r="X314" i="1"/>
  <c r="X308" i="1"/>
  <c r="X391" i="1"/>
  <c r="X339" i="1"/>
  <c r="X336" i="1"/>
  <c r="X312" i="1"/>
  <c r="X306" i="1"/>
  <c r="X300" i="1"/>
  <c r="X269" i="1"/>
  <c r="X384" i="1"/>
  <c r="X379" i="1"/>
  <c r="X373" i="1"/>
  <c r="X304" i="1"/>
  <c r="X298" i="1"/>
  <c r="X292" i="1"/>
  <c r="X368" i="1"/>
  <c r="X296" i="1"/>
  <c r="X363" i="1"/>
  <c r="X357" i="1"/>
  <c r="X288" i="1"/>
  <c r="X282" i="1"/>
  <c r="X276" i="1"/>
  <c r="X290" i="1"/>
  <c r="X223" i="1"/>
  <c r="X178" i="1"/>
  <c r="X172" i="1"/>
  <c r="X166" i="1"/>
  <c r="X143" i="1"/>
  <c r="X131" i="1"/>
  <c r="X253" i="1"/>
  <c r="X247" i="1"/>
  <c r="X213" i="1"/>
  <c r="X170" i="1"/>
  <c r="X164" i="1"/>
  <c r="X158" i="1"/>
  <c r="X136" i="1"/>
  <c r="X126" i="1"/>
  <c r="X118" i="1"/>
  <c r="X110" i="1"/>
  <c r="X102" i="1"/>
  <c r="X94" i="1"/>
  <c r="X86" i="1"/>
  <c r="X78" i="1"/>
  <c r="X70" i="1"/>
  <c r="X62" i="1"/>
  <c r="X267" i="1"/>
  <c r="X242" i="1"/>
  <c r="X162" i="1"/>
  <c r="X156" i="1"/>
  <c r="X150" i="1"/>
  <c r="X284" i="1"/>
  <c r="X258" i="1"/>
  <c r="X237" i="1"/>
  <c r="X231" i="1"/>
  <c r="X215" i="1"/>
  <c r="X210" i="1"/>
  <c r="X154" i="1"/>
  <c r="X148" i="1"/>
  <c r="X141" i="1"/>
  <c r="X129" i="1"/>
  <c r="X121" i="1"/>
  <c r="X113" i="1"/>
  <c r="X105" i="1"/>
  <c r="X97" i="1"/>
  <c r="X89" i="1"/>
  <c r="X265" i="1"/>
  <c r="X218" i="1"/>
  <c r="X195" i="1"/>
  <c r="X134" i="1"/>
  <c r="X203" i="1"/>
  <c r="X201" i="1"/>
  <c r="X199" i="1"/>
  <c r="X193" i="1"/>
  <c r="X187" i="1"/>
  <c r="X146" i="1"/>
  <c r="X139" i="1"/>
  <c r="X124" i="1"/>
  <c r="X116" i="1"/>
  <c r="X108" i="1"/>
  <c r="X100" i="1"/>
  <c r="X92" i="1"/>
  <c r="X84" i="1"/>
  <c r="X226" i="1"/>
  <c r="X197" i="1"/>
  <c r="X191" i="1"/>
  <c r="X185" i="1"/>
  <c r="X179" i="1"/>
  <c r="X144" i="1"/>
  <c r="X189" i="1"/>
  <c r="X183" i="1"/>
  <c r="X177" i="1"/>
  <c r="X171" i="1"/>
  <c r="X132" i="1"/>
  <c r="X127" i="1"/>
  <c r="X119" i="1"/>
  <c r="X111" i="1"/>
  <c r="X103" i="1"/>
  <c r="X95" i="1"/>
  <c r="X87" i="1"/>
  <c r="X255" i="1"/>
  <c r="X217" i="1"/>
  <c r="X207" i="1"/>
  <c r="X205" i="1"/>
  <c r="X181" i="1"/>
  <c r="X175" i="1"/>
  <c r="X169" i="1"/>
  <c r="X163" i="1"/>
  <c r="X137" i="1"/>
  <c r="X250" i="1"/>
  <c r="X173" i="1"/>
  <c r="X167" i="1"/>
  <c r="X161" i="1"/>
  <c r="X155" i="1"/>
  <c r="X142" i="1"/>
  <c r="X122" i="1"/>
  <c r="X114" i="1"/>
  <c r="X106" i="1"/>
  <c r="X245" i="1"/>
  <c r="X239" i="1"/>
  <c r="X221" i="1"/>
  <c r="X209" i="1"/>
  <c r="X165" i="1"/>
  <c r="X159" i="1"/>
  <c r="X153" i="1"/>
  <c r="X130" i="1"/>
  <c r="X234" i="1"/>
  <c r="X157" i="1"/>
  <c r="X151" i="1"/>
  <c r="X147" i="1"/>
  <c r="X135" i="1"/>
  <c r="X260" i="1"/>
  <c r="X229" i="1"/>
  <c r="X211" i="1"/>
  <c r="X198" i="1"/>
  <c r="X149" i="1"/>
  <c r="X196" i="1"/>
  <c r="X190" i="1"/>
  <c r="X204" i="1"/>
  <c r="X202" i="1"/>
  <c r="X194" i="1"/>
  <c r="X188" i="1"/>
  <c r="X182" i="1"/>
  <c r="X206" i="1"/>
  <c r="X186" i="1"/>
  <c r="X180" i="1"/>
  <c r="X174" i="1"/>
  <c r="X138" i="1"/>
  <c r="X56" i="1"/>
  <c r="X49" i="1"/>
  <c r="X45" i="1"/>
  <c r="X39" i="1"/>
  <c r="X35" i="1"/>
  <c r="X29" i="1"/>
  <c r="X21" i="1"/>
  <c r="X13" i="1"/>
  <c r="X5" i="1"/>
  <c r="X101" i="1"/>
  <c r="X83" i="1"/>
  <c r="X88" i="1"/>
  <c r="X76" i="1"/>
  <c r="X52" i="1"/>
  <c r="X42" i="1"/>
  <c r="X32" i="1"/>
  <c r="X24" i="1"/>
  <c r="X16" i="1"/>
  <c r="X125" i="1"/>
  <c r="X85" i="1"/>
  <c r="X74" i="1"/>
  <c r="X68" i="1"/>
  <c r="X120" i="1"/>
  <c r="X91" i="1"/>
  <c r="X80" i="1"/>
  <c r="X72" i="1"/>
  <c r="X66" i="1"/>
  <c r="X60" i="1"/>
  <c r="X55" i="1"/>
  <c r="X47" i="1"/>
  <c r="X37" i="1"/>
  <c r="X27" i="1"/>
  <c r="X19" i="1"/>
  <c r="X11" i="1"/>
  <c r="X3" i="1"/>
  <c r="X115" i="1"/>
  <c r="X109" i="1"/>
  <c r="X82" i="1"/>
  <c r="X64" i="1"/>
  <c r="X58" i="1"/>
  <c r="X90" i="1"/>
  <c r="X54" i="1"/>
  <c r="X50" i="1"/>
  <c r="X44" i="1"/>
  <c r="X40" i="1"/>
  <c r="X34" i="1"/>
  <c r="X30" i="1"/>
  <c r="X22" i="1"/>
  <c r="X14" i="1"/>
  <c r="X6" i="1"/>
  <c r="X145" i="1"/>
  <c r="X104" i="1"/>
  <c r="X25" i="1"/>
  <c r="X17" i="1"/>
  <c r="X9" i="1"/>
  <c r="X93" i="1"/>
  <c r="X96" i="1"/>
  <c r="X79" i="1"/>
  <c r="X73" i="1"/>
  <c r="X48" i="1"/>
  <c r="X46" i="1"/>
  <c r="X128" i="1"/>
  <c r="X77" i="1"/>
  <c r="X71" i="1"/>
  <c r="X65" i="1"/>
  <c r="X123" i="1"/>
  <c r="X117" i="1"/>
  <c r="X99" i="1"/>
  <c r="X81" i="1"/>
  <c r="X75" i="1"/>
  <c r="X69" i="1"/>
  <c r="X63" i="1"/>
  <c r="X57" i="1"/>
  <c r="X53" i="1"/>
  <c r="X51" i="1"/>
  <c r="X43" i="1"/>
  <c r="X41" i="1"/>
  <c r="X140" i="1"/>
  <c r="X133" i="1"/>
  <c r="X112" i="1"/>
  <c r="X67" i="1"/>
  <c r="X61" i="1"/>
  <c r="X107" i="1"/>
  <c r="X98" i="1"/>
  <c r="X59" i="1"/>
  <c r="X10" i="1"/>
  <c r="X7" i="1"/>
  <c r="X4" i="1"/>
  <c r="X23" i="1"/>
  <c r="X28" i="1"/>
  <c r="X36" i="1"/>
  <c r="X20" i="1"/>
  <c r="X15" i="1"/>
  <c r="X8" i="1"/>
  <c r="X18" i="1"/>
  <c r="X26" i="1"/>
  <c r="X12" i="1"/>
  <c r="X31" i="1"/>
  <c r="X33" i="1"/>
  <c r="X38" i="1"/>
  <c r="AG803" i="1"/>
  <c r="AG795" i="1"/>
  <c r="AG787" i="1"/>
  <c r="AG779" i="1"/>
  <c r="AG771" i="1"/>
  <c r="AG763" i="1"/>
  <c r="AG755" i="1"/>
  <c r="AG747" i="1"/>
  <c r="AG739" i="1"/>
  <c r="AG731" i="1"/>
  <c r="AG723" i="1"/>
  <c r="AG715" i="1"/>
  <c r="AG707" i="1"/>
  <c r="AG699" i="1"/>
  <c r="AG691" i="1"/>
  <c r="AG798" i="1"/>
  <c r="AG790" i="1"/>
  <c r="AG782" i="1"/>
  <c r="AG774" i="1"/>
  <c r="AG766" i="1"/>
  <c r="AG758" i="1"/>
  <c r="AG750" i="1"/>
  <c r="AG742" i="1"/>
  <c r="AG734" i="1"/>
  <c r="AG726" i="1"/>
  <c r="AG718" i="1"/>
  <c r="AG801" i="1"/>
  <c r="AG793" i="1"/>
  <c r="AG785" i="1"/>
  <c r="AG777" i="1"/>
  <c r="AG769" i="1"/>
  <c r="AG761" i="1"/>
  <c r="AG753" i="1"/>
  <c r="AG745" i="1"/>
  <c r="AG737" i="1"/>
  <c r="AG729" i="1"/>
  <c r="AG721" i="1"/>
  <c r="AG713" i="1"/>
  <c r="AG705" i="1"/>
  <c r="AG697" i="1"/>
  <c r="AG796" i="1"/>
  <c r="AG788" i="1"/>
  <c r="AG780" i="1"/>
  <c r="AG772" i="1"/>
  <c r="AG764" i="1"/>
  <c r="AG756" i="1"/>
  <c r="AG748" i="1"/>
  <c r="AG740" i="1"/>
  <c r="AG732" i="1"/>
  <c r="AG724" i="1"/>
  <c r="AG799" i="1"/>
  <c r="AG791" i="1"/>
  <c r="AG783" i="1"/>
  <c r="AG775" i="1"/>
  <c r="AG767" i="1"/>
  <c r="AG759" i="1"/>
  <c r="AG751" i="1"/>
  <c r="AG743" i="1"/>
  <c r="AG802" i="1"/>
  <c r="AG794" i="1"/>
  <c r="AG786" i="1"/>
  <c r="AG778" i="1"/>
  <c r="AG797" i="1"/>
  <c r="AG789" i="1"/>
  <c r="AG781" i="1"/>
  <c r="AG749" i="1"/>
  <c r="AG733" i="1"/>
  <c r="AG696" i="1"/>
  <c r="AG800" i="1"/>
  <c r="AG720" i="1"/>
  <c r="AG698" i="1"/>
  <c r="AG671" i="1"/>
  <c r="AG666" i="1"/>
  <c r="AG658" i="1"/>
  <c r="AG650" i="1"/>
  <c r="AG642" i="1"/>
  <c r="AG634" i="1"/>
  <c r="AG626" i="1"/>
  <c r="AG618" i="1"/>
  <c r="AG610" i="1"/>
  <c r="AG602" i="1"/>
  <c r="AG757" i="1"/>
  <c r="AG717" i="1"/>
  <c r="AG712" i="1"/>
  <c r="AG700" i="1"/>
  <c r="AG689" i="1"/>
  <c r="AG676" i="1"/>
  <c r="AG687" i="1"/>
  <c r="AG770" i="1"/>
  <c r="AG744" i="1"/>
  <c r="AG736" i="1"/>
  <c r="AG722" i="1"/>
  <c r="AG719" i="1"/>
  <c r="AG714" i="1"/>
  <c r="AG685" i="1"/>
  <c r="AG683" i="1"/>
  <c r="AG669" i="1"/>
  <c r="AG784" i="1"/>
  <c r="AG765" i="1"/>
  <c r="AG735" i="1"/>
  <c r="AG702" i="1"/>
  <c r="AG695" i="1"/>
  <c r="AG693" i="1"/>
  <c r="AG681" i="1"/>
  <c r="AG674" i="1"/>
  <c r="AG664" i="1"/>
  <c r="AG776" i="1"/>
  <c r="AG752" i="1"/>
  <c r="AG725" i="1"/>
  <c r="AG716" i="1"/>
  <c r="AG709" i="1"/>
  <c r="AG711" i="1"/>
  <c r="AG679" i="1"/>
  <c r="AG760" i="1"/>
  <c r="AG728" i="1"/>
  <c r="AG672" i="1"/>
  <c r="AG738" i="1"/>
  <c r="AG704" i="1"/>
  <c r="AG677" i="1"/>
  <c r="AG746" i="1"/>
  <c r="AG727" i="1"/>
  <c r="AG706" i="1"/>
  <c r="AG686" i="1"/>
  <c r="AG792" i="1"/>
  <c r="AG773" i="1"/>
  <c r="AG754" i="1"/>
  <c r="AG768" i="1"/>
  <c r="AG670" i="1"/>
  <c r="AG616" i="1"/>
  <c r="AG607" i="1"/>
  <c r="AG605" i="1"/>
  <c r="AG661" i="1"/>
  <c r="AG659" i="1"/>
  <c r="AG653" i="1"/>
  <c r="AG593" i="1"/>
  <c r="AG585" i="1"/>
  <c r="AG577" i="1"/>
  <c r="AG569" i="1"/>
  <c r="AG561" i="1"/>
  <c r="AG553" i="1"/>
  <c r="AG545" i="1"/>
  <c r="AG762" i="1"/>
  <c r="AG657" i="1"/>
  <c r="AG651" i="1"/>
  <c r="AG645" i="1"/>
  <c r="AG614" i="1"/>
  <c r="AG603" i="1"/>
  <c r="AG678" i="1"/>
  <c r="AG655" i="1"/>
  <c r="AG649" i="1"/>
  <c r="AG643" i="1"/>
  <c r="AG637" i="1"/>
  <c r="AG596" i="1"/>
  <c r="AG703" i="1"/>
  <c r="AG647" i="1"/>
  <c r="AG641" i="1"/>
  <c r="AG635" i="1"/>
  <c r="AG629" i="1"/>
  <c r="AG612" i="1"/>
  <c r="AG601" i="1"/>
  <c r="AG710" i="1"/>
  <c r="AG688" i="1"/>
  <c r="AG682" i="1"/>
  <c r="AG639" i="1"/>
  <c r="AG633" i="1"/>
  <c r="AG627" i="1"/>
  <c r="AG621" i="1"/>
  <c r="AG730" i="1"/>
  <c r="AG694" i="1"/>
  <c r="AG673" i="1"/>
  <c r="AG663" i="1"/>
  <c r="AG631" i="1"/>
  <c r="AG625" i="1"/>
  <c r="AG619" i="1"/>
  <c r="AG608" i="1"/>
  <c r="AG599" i="1"/>
  <c r="AG708" i="1"/>
  <c r="AG623" i="1"/>
  <c r="AG594" i="1"/>
  <c r="AG701" i="1"/>
  <c r="AG617" i="1"/>
  <c r="AG606" i="1"/>
  <c r="AG665" i="1"/>
  <c r="AG656" i="1"/>
  <c r="AG597" i="1"/>
  <c r="AG692" i="1"/>
  <c r="AG662" i="1"/>
  <c r="AG660" i="1"/>
  <c r="AG654" i="1"/>
  <c r="AG648" i="1"/>
  <c r="AG615" i="1"/>
  <c r="AG613" i="1"/>
  <c r="AG604" i="1"/>
  <c r="AG668" i="1"/>
  <c r="AG652" i="1"/>
  <c r="AG646" i="1"/>
  <c r="AG640" i="1"/>
  <c r="AG675" i="1"/>
  <c r="AG644" i="1"/>
  <c r="AG638" i="1"/>
  <c r="AG632" i="1"/>
  <c r="AG741" i="1"/>
  <c r="AG680" i="1"/>
  <c r="AG684" i="1"/>
  <c r="AG667" i="1"/>
  <c r="AG690" i="1"/>
  <c r="AG628" i="1"/>
  <c r="AG591" i="1"/>
  <c r="AG572" i="1"/>
  <c r="AG539" i="1"/>
  <c r="AG520" i="1"/>
  <c r="AG508" i="1"/>
  <c r="AG503" i="1"/>
  <c r="AG495" i="1"/>
  <c r="AG487" i="1"/>
  <c r="AG479" i="1"/>
  <c r="AG471" i="1"/>
  <c r="AG463" i="1"/>
  <c r="AG455" i="1"/>
  <c r="AG447" i="1"/>
  <c r="AG439" i="1"/>
  <c r="AG431" i="1"/>
  <c r="AG423" i="1"/>
  <c r="AG415" i="1"/>
  <c r="AG407" i="1"/>
  <c r="AG399" i="1"/>
  <c r="AG391" i="1"/>
  <c r="AG598" i="1"/>
  <c r="AG576" i="1"/>
  <c r="AG570" i="1"/>
  <c r="AG564" i="1"/>
  <c r="AG537" i="1"/>
  <c r="AG525" i="1"/>
  <c r="AG513" i="1"/>
  <c r="AG609" i="1"/>
  <c r="AG580" i="1"/>
  <c r="AG578" i="1"/>
  <c r="AG574" i="1"/>
  <c r="AG568" i="1"/>
  <c r="AG562" i="1"/>
  <c r="AG556" i="1"/>
  <c r="AG530" i="1"/>
  <c r="AG498" i="1"/>
  <c r="AG490" i="1"/>
  <c r="AG482" i="1"/>
  <c r="AG474" i="1"/>
  <c r="AG466" i="1"/>
  <c r="AG458" i="1"/>
  <c r="AG450" i="1"/>
  <c r="AG442" i="1"/>
  <c r="AG566" i="1"/>
  <c r="AG560" i="1"/>
  <c r="AG554" i="1"/>
  <c r="AG548" i="1"/>
  <c r="AG535" i="1"/>
  <c r="AG518" i="1"/>
  <c r="AG506" i="1"/>
  <c r="AG558" i="1"/>
  <c r="AG552" i="1"/>
  <c r="AG546" i="1"/>
  <c r="AG523" i="1"/>
  <c r="AG511" i="1"/>
  <c r="AG501" i="1"/>
  <c r="AG493" i="1"/>
  <c r="AG485" i="1"/>
  <c r="AG477" i="1"/>
  <c r="AG469" i="1"/>
  <c r="AG620" i="1"/>
  <c r="AG584" i="1"/>
  <c r="AG582" i="1"/>
  <c r="AG550" i="1"/>
  <c r="AG544" i="1"/>
  <c r="AG528" i="1"/>
  <c r="AG516" i="1"/>
  <c r="AG588" i="1"/>
  <c r="AG586" i="1"/>
  <c r="AG542" i="1"/>
  <c r="AG540" i="1"/>
  <c r="AG533" i="1"/>
  <c r="AG521" i="1"/>
  <c r="AG504" i="1"/>
  <c r="AG496" i="1"/>
  <c r="AG488" i="1"/>
  <c r="AG480" i="1"/>
  <c r="AG472" i="1"/>
  <c r="AG509" i="1"/>
  <c r="AG575" i="1"/>
  <c r="AG538" i="1"/>
  <c r="AG526" i="1"/>
  <c r="AG514" i="1"/>
  <c r="AG499" i="1"/>
  <c r="AG491" i="1"/>
  <c r="AG483" i="1"/>
  <c r="AG475" i="1"/>
  <c r="AG467" i="1"/>
  <c r="AG459" i="1"/>
  <c r="AG624" i="1"/>
  <c r="AG600" i="1"/>
  <c r="AG590" i="1"/>
  <c r="AG573" i="1"/>
  <c r="AG567" i="1"/>
  <c r="AG531" i="1"/>
  <c r="AG519" i="1"/>
  <c r="AG630" i="1"/>
  <c r="AG592" i="1"/>
  <c r="AG571" i="1"/>
  <c r="AG565" i="1"/>
  <c r="AG559" i="1"/>
  <c r="AG536" i="1"/>
  <c r="AG524" i="1"/>
  <c r="AG507" i="1"/>
  <c r="AG502" i="1"/>
  <c r="AG494" i="1"/>
  <c r="AG486" i="1"/>
  <c r="AG478" i="1"/>
  <c r="AG611" i="1"/>
  <c r="AG581" i="1"/>
  <c r="AG579" i="1"/>
  <c r="AG563" i="1"/>
  <c r="AG557" i="1"/>
  <c r="AG551" i="1"/>
  <c r="AG529" i="1"/>
  <c r="AG512" i="1"/>
  <c r="AG595" i="1"/>
  <c r="AG583" i="1"/>
  <c r="AG555" i="1"/>
  <c r="AG549" i="1"/>
  <c r="AG543" i="1"/>
  <c r="AG517" i="1"/>
  <c r="AG636" i="1"/>
  <c r="AG547" i="1"/>
  <c r="AG534" i="1"/>
  <c r="AG541" i="1"/>
  <c r="AG622" i="1"/>
  <c r="AG589" i="1"/>
  <c r="AG587" i="1"/>
  <c r="AG532" i="1"/>
  <c r="AG515" i="1"/>
  <c r="AG432" i="1"/>
  <c r="AG421" i="1"/>
  <c r="AG412" i="1"/>
  <c r="AG410" i="1"/>
  <c r="AG401" i="1"/>
  <c r="AG390" i="1"/>
  <c r="AG375" i="1"/>
  <c r="AG367" i="1"/>
  <c r="AG359" i="1"/>
  <c r="AG351" i="1"/>
  <c r="AG343" i="1"/>
  <c r="AG335" i="1"/>
  <c r="AG327" i="1"/>
  <c r="AG319" i="1"/>
  <c r="AG311" i="1"/>
  <c r="AG303" i="1"/>
  <c r="AG295" i="1"/>
  <c r="AG287" i="1"/>
  <c r="AG279" i="1"/>
  <c r="AG271" i="1"/>
  <c r="AG263" i="1"/>
  <c r="AG383" i="1"/>
  <c r="AG468" i="1"/>
  <c r="AG430" i="1"/>
  <c r="AG419" i="1"/>
  <c r="AG408" i="1"/>
  <c r="AG397" i="1"/>
  <c r="AG388" i="1"/>
  <c r="AG378" i="1"/>
  <c r="AG370" i="1"/>
  <c r="AG362" i="1"/>
  <c r="AG354" i="1"/>
  <c r="AG346" i="1"/>
  <c r="AG338" i="1"/>
  <c r="AG330" i="1"/>
  <c r="AG322" i="1"/>
  <c r="AG314" i="1"/>
  <c r="AG306" i="1"/>
  <c r="AG298" i="1"/>
  <c r="AG290" i="1"/>
  <c r="AG282" i="1"/>
  <c r="AG274" i="1"/>
  <c r="AG497" i="1"/>
  <c r="AG464" i="1"/>
  <c r="AG453" i="1"/>
  <c r="AG492" i="1"/>
  <c r="AG457" i="1"/>
  <c r="AG451" i="1"/>
  <c r="AG445" i="1"/>
  <c r="AG428" i="1"/>
  <c r="AG426" i="1"/>
  <c r="AG417" i="1"/>
  <c r="AG406" i="1"/>
  <c r="AG395" i="1"/>
  <c r="AG386" i="1"/>
  <c r="AG381" i="1"/>
  <c r="AG373" i="1"/>
  <c r="AG365" i="1"/>
  <c r="AG357" i="1"/>
  <c r="AG349" i="1"/>
  <c r="AG481" i="1"/>
  <c r="AG461" i="1"/>
  <c r="AG449" i="1"/>
  <c r="AG443" i="1"/>
  <c r="AG437" i="1"/>
  <c r="AG527" i="1"/>
  <c r="AG476" i="1"/>
  <c r="AG441" i="1"/>
  <c r="AG435" i="1"/>
  <c r="AG424" i="1"/>
  <c r="AG413" i="1"/>
  <c r="AG404" i="1"/>
  <c r="AG402" i="1"/>
  <c r="AG393" i="1"/>
  <c r="AG376" i="1"/>
  <c r="AG368" i="1"/>
  <c r="AG360" i="1"/>
  <c r="AG352" i="1"/>
  <c r="AG384" i="1"/>
  <c r="AG470" i="1"/>
  <c r="AG433" i="1"/>
  <c r="AG422" i="1"/>
  <c r="AG411" i="1"/>
  <c r="AG400" i="1"/>
  <c r="AG389" i="1"/>
  <c r="AG379" i="1"/>
  <c r="AG371" i="1"/>
  <c r="AG363" i="1"/>
  <c r="AG355" i="1"/>
  <c r="AG347" i="1"/>
  <c r="AG339" i="1"/>
  <c r="AG522" i="1"/>
  <c r="AG505" i="1"/>
  <c r="AG429" i="1"/>
  <c r="AG420" i="1"/>
  <c r="AG418" i="1"/>
  <c r="AG409" i="1"/>
  <c r="AG398" i="1"/>
  <c r="AG382" i="1"/>
  <c r="AG374" i="1"/>
  <c r="AG366" i="1"/>
  <c r="AG358" i="1"/>
  <c r="AG350" i="1"/>
  <c r="AG500" i="1"/>
  <c r="AG456" i="1"/>
  <c r="AG387" i="1"/>
  <c r="AG489" i="1"/>
  <c r="AG454" i="1"/>
  <c r="AG448" i="1"/>
  <c r="AG427" i="1"/>
  <c r="AG416" i="1"/>
  <c r="AG405" i="1"/>
  <c r="AG484" i="1"/>
  <c r="AG452" i="1"/>
  <c r="AG446" i="1"/>
  <c r="AG440" i="1"/>
  <c r="AG473" i="1"/>
  <c r="AG465" i="1"/>
  <c r="AG460" i="1"/>
  <c r="AG444" i="1"/>
  <c r="AG438" i="1"/>
  <c r="AG434" i="1"/>
  <c r="AG425" i="1"/>
  <c r="AG414" i="1"/>
  <c r="AG510" i="1"/>
  <c r="AG462" i="1"/>
  <c r="AG436" i="1"/>
  <c r="AG372" i="1"/>
  <c r="AG297" i="1"/>
  <c r="AG291" i="1"/>
  <c r="AG285" i="1"/>
  <c r="AG249" i="1"/>
  <c r="AG241" i="1"/>
  <c r="AG233" i="1"/>
  <c r="AG225" i="1"/>
  <c r="AG217" i="1"/>
  <c r="AG209" i="1"/>
  <c r="AG201" i="1"/>
  <c r="AG193" i="1"/>
  <c r="AG185" i="1"/>
  <c r="AG177" i="1"/>
  <c r="AG169" i="1"/>
  <c r="AG161" i="1"/>
  <c r="AG153" i="1"/>
  <c r="AG145" i="1"/>
  <c r="AG137" i="1"/>
  <c r="AG129" i="1"/>
  <c r="AG361" i="1"/>
  <c r="AG289" i="1"/>
  <c r="AG283" i="1"/>
  <c r="AG277" i="1"/>
  <c r="AG264" i="1"/>
  <c r="AG396" i="1"/>
  <c r="AG356" i="1"/>
  <c r="AG337" i="1"/>
  <c r="AG281" i="1"/>
  <c r="AG275" i="1"/>
  <c r="AG257" i="1"/>
  <c r="AG252" i="1"/>
  <c r="AG244" i="1"/>
  <c r="AG236" i="1"/>
  <c r="AG228" i="1"/>
  <c r="AG220" i="1"/>
  <c r="AG212" i="1"/>
  <c r="AG204" i="1"/>
  <c r="AG196" i="1"/>
  <c r="AG188" i="1"/>
  <c r="AG180" i="1"/>
  <c r="AG172" i="1"/>
  <c r="AG164" i="1"/>
  <c r="AG156" i="1"/>
  <c r="AG148" i="1"/>
  <c r="AG340" i="1"/>
  <c r="AG334" i="1"/>
  <c r="AG328" i="1"/>
  <c r="AG273" i="1"/>
  <c r="AG262" i="1"/>
  <c r="AG332" i="1"/>
  <c r="AG326" i="1"/>
  <c r="AG320" i="1"/>
  <c r="AG247" i="1"/>
  <c r="AG239" i="1"/>
  <c r="AG231" i="1"/>
  <c r="AG223" i="1"/>
  <c r="AG215" i="1"/>
  <c r="AG394" i="1"/>
  <c r="AG324" i="1"/>
  <c r="AG318" i="1"/>
  <c r="AG312" i="1"/>
  <c r="AG269" i="1"/>
  <c r="AG255" i="1"/>
  <c r="AG316" i="1"/>
  <c r="AG310" i="1"/>
  <c r="AG304" i="1"/>
  <c r="AG260" i="1"/>
  <c r="AG250" i="1"/>
  <c r="AG242" i="1"/>
  <c r="AG234" i="1"/>
  <c r="AG380" i="1"/>
  <c r="AG342" i="1"/>
  <c r="AG336" i="1"/>
  <c r="AG308" i="1"/>
  <c r="AG302" i="1"/>
  <c r="AG296" i="1"/>
  <c r="AG267" i="1"/>
  <c r="AG385" i="1"/>
  <c r="AG369" i="1"/>
  <c r="AG300" i="1"/>
  <c r="AG294" i="1"/>
  <c r="AG288" i="1"/>
  <c r="AG258" i="1"/>
  <c r="AG253" i="1"/>
  <c r="AG245" i="1"/>
  <c r="AG237" i="1"/>
  <c r="AG229" i="1"/>
  <c r="AG221" i="1"/>
  <c r="AG213" i="1"/>
  <c r="AG205" i="1"/>
  <c r="AG364" i="1"/>
  <c r="AG345" i="1"/>
  <c r="AG292" i="1"/>
  <c r="AG286" i="1"/>
  <c r="AG280" i="1"/>
  <c r="AG265" i="1"/>
  <c r="AG403" i="1"/>
  <c r="AG392" i="1"/>
  <c r="AG353" i="1"/>
  <c r="AG333" i="1"/>
  <c r="AG284" i="1"/>
  <c r="AG278" i="1"/>
  <c r="AG248" i="1"/>
  <c r="AG240" i="1"/>
  <c r="AG232" i="1"/>
  <c r="AG224" i="1"/>
  <c r="AG331" i="1"/>
  <c r="AG325" i="1"/>
  <c r="AG276" i="1"/>
  <c r="AG272" i="1"/>
  <c r="AG256" i="1"/>
  <c r="AG329" i="1"/>
  <c r="AG323" i="1"/>
  <c r="AG317" i="1"/>
  <c r="AG348" i="1"/>
  <c r="AG341" i="1"/>
  <c r="AG321" i="1"/>
  <c r="AG315" i="1"/>
  <c r="AG309" i="1"/>
  <c r="AG344" i="1"/>
  <c r="AG313" i="1"/>
  <c r="AG307" i="1"/>
  <c r="AG301" i="1"/>
  <c r="AG377" i="1"/>
  <c r="AG305" i="1"/>
  <c r="AG299" i="1"/>
  <c r="AG293" i="1"/>
  <c r="AG268" i="1"/>
  <c r="AG266" i="1"/>
  <c r="AG195" i="1"/>
  <c r="AG189" i="1"/>
  <c r="AG183" i="1"/>
  <c r="AG144" i="1"/>
  <c r="AG132" i="1"/>
  <c r="AG127" i="1"/>
  <c r="AG119" i="1"/>
  <c r="AG111" i="1"/>
  <c r="AG103" i="1"/>
  <c r="AG95" i="1"/>
  <c r="AG87" i="1"/>
  <c r="AG79" i="1"/>
  <c r="AG71" i="1"/>
  <c r="AG63" i="1"/>
  <c r="AG218" i="1"/>
  <c r="AG203" i="1"/>
  <c r="AG187" i="1"/>
  <c r="AG181" i="1"/>
  <c r="AG175" i="1"/>
  <c r="AG207" i="1"/>
  <c r="AG179" i="1"/>
  <c r="AG173" i="1"/>
  <c r="AG167" i="1"/>
  <c r="AG122" i="1"/>
  <c r="AG114" i="1"/>
  <c r="AG106" i="1"/>
  <c r="AG98" i="1"/>
  <c r="AG90" i="1"/>
  <c r="AG82" i="1"/>
  <c r="AG74" i="1"/>
  <c r="AG66" i="1"/>
  <c r="AG58" i="1"/>
  <c r="AG56" i="1"/>
  <c r="AG251" i="1"/>
  <c r="AG226" i="1"/>
  <c r="AG222" i="1"/>
  <c r="AG171" i="1"/>
  <c r="AG165" i="1"/>
  <c r="AG159" i="1"/>
  <c r="AG142" i="1"/>
  <c r="AG130" i="1"/>
  <c r="AG246" i="1"/>
  <c r="AG163" i="1"/>
  <c r="AG157" i="1"/>
  <c r="AG151" i="1"/>
  <c r="AG135" i="1"/>
  <c r="AG125" i="1"/>
  <c r="AG117" i="1"/>
  <c r="AG109" i="1"/>
  <c r="AG101" i="1"/>
  <c r="AG93" i="1"/>
  <c r="AG235" i="1"/>
  <c r="AG155" i="1"/>
  <c r="AG149" i="1"/>
  <c r="AG140" i="1"/>
  <c r="AG230" i="1"/>
  <c r="AG214" i="1"/>
  <c r="AG147" i="1"/>
  <c r="AG128" i="1"/>
  <c r="AG120" i="1"/>
  <c r="AG112" i="1"/>
  <c r="AG104" i="1"/>
  <c r="AG200" i="1"/>
  <c r="AG194" i="1"/>
  <c r="AG133" i="1"/>
  <c r="AG261" i="1"/>
  <c r="AG211" i="1"/>
  <c r="AG202" i="1"/>
  <c r="AG198" i="1"/>
  <c r="AG192" i="1"/>
  <c r="AG186" i="1"/>
  <c r="AG138" i="1"/>
  <c r="AG123" i="1"/>
  <c r="AG115" i="1"/>
  <c r="AG107" i="1"/>
  <c r="AG99" i="1"/>
  <c r="AG91" i="1"/>
  <c r="AG83" i="1"/>
  <c r="AG216" i="1"/>
  <c r="AG190" i="1"/>
  <c r="AG184" i="1"/>
  <c r="AG178" i="1"/>
  <c r="AG143" i="1"/>
  <c r="AG182" i="1"/>
  <c r="AG176" i="1"/>
  <c r="AG170" i="1"/>
  <c r="AG131" i="1"/>
  <c r="AG126" i="1"/>
  <c r="AG118" i="1"/>
  <c r="AG110" i="1"/>
  <c r="AG102" i="1"/>
  <c r="AG254" i="1"/>
  <c r="AG208" i="1"/>
  <c r="AG206" i="1"/>
  <c r="AG174" i="1"/>
  <c r="AG168" i="1"/>
  <c r="AG162" i="1"/>
  <c r="AG136" i="1"/>
  <c r="AG243" i="1"/>
  <c r="AG166" i="1"/>
  <c r="AG160" i="1"/>
  <c r="AG154" i="1"/>
  <c r="AG141" i="1"/>
  <c r="AG270" i="1"/>
  <c r="AG238" i="1"/>
  <c r="AG219" i="1"/>
  <c r="AG158" i="1"/>
  <c r="AG152" i="1"/>
  <c r="AG210" i="1"/>
  <c r="AG199" i="1"/>
  <c r="AG259" i="1"/>
  <c r="AG227" i="1"/>
  <c r="AG197" i="1"/>
  <c r="AG191" i="1"/>
  <c r="AG139" i="1"/>
  <c r="AG116" i="1"/>
  <c r="AG94" i="1"/>
  <c r="AG68" i="1"/>
  <c r="AG62" i="1"/>
  <c r="AG50" i="1"/>
  <c r="AG44" i="1"/>
  <c r="AG40" i="1"/>
  <c r="AG34" i="1"/>
  <c r="AG30" i="1"/>
  <c r="AG22" i="1"/>
  <c r="AG14" i="1"/>
  <c r="AG6" i="1"/>
  <c r="AG105" i="1"/>
  <c r="AG60" i="1"/>
  <c r="AG97" i="1"/>
  <c r="AG54" i="1"/>
  <c r="AG150" i="1"/>
  <c r="AG48" i="1"/>
  <c r="AG46" i="1"/>
  <c r="AG38" i="1"/>
  <c r="AG36" i="1"/>
  <c r="AG28" i="1"/>
  <c r="AG20" i="1"/>
  <c r="AG100" i="1"/>
  <c r="AG77" i="1"/>
  <c r="AG96" i="1"/>
  <c r="AG75" i="1"/>
  <c r="AG69" i="1"/>
  <c r="AG53" i="1"/>
  <c r="AG51" i="1"/>
  <c r="AG43" i="1"/>
  <c r="AG41" i="1"/>
  <c r="AG33" i="1"/>
  <c r="AG31" i="1"/>
  <c r="AG23" i="1"/>
  <c r="AG146" i="1"/>
  <c r="AG124" i="1"/>
  <c r="AG84" i="1"/>
  <c r="AG73" i="1"/>
  <c r="AG67" i="1"/>
  <c r="AG61" i="1"/>
  <c r="AG113" i="1"/>
  <c r="AG65" i="1"/>
  <c r="AG59" i="1"/>
  <c r="AG26" i="1"/>
  <c r="AG18" i="1"/>
  <c r="AG10" i="1"/>
  <c r="AG108" i="1"/>
  <c r="AG86" i="1"/>
  <c r="AG81" i="1"/>
  <c r="AG57" i="1"/>
  <c r="AG134" i="1"/>
  <c r="AG89" i="1"/>
  <c r="AG49" i="1"/>
  <c r="AG45" i="1"/>
  <c r="AG39" i="1"/>
  <c r="AG35" i="1"/>
  <c r="AG29" i="1"/>
  <c r="AG21" i="1"/>
  <c r="AG13" i="1"/>
  <c r="AG5" i="1"/>
  <c r="AG92" i="1"/>
  <c r="AG52" i="1"/>
  <c r="AG42" i="1"/>
  <c r="AG88" i="1"/>
  <c r="AG78" i="1"/>
  <c r="AG72" i="1"/>
  <c r="AG55" i="1"/>
  <c r="AG121" i="1"/>
  <c r="AG85" i="1"/>
  <c r="AG80" i="1"/>
  <c r="AG76" i="1"/>
  <c r="AG70" i="1"/>
  <c r="AG64" i="1"/>
  <c r="AG32" i="1"/>
  <c r="AG24" i="1"/>
  <c r="AG12" i="1"/>
  <c r="AG9" i="1"/>
  <c r="AG27" i="1"/>
  <c r="AG7" i="1"/>
  <c r="AG47" i="1"/>
  <c r="AG3" i="1"/>
  <c r="AG4" i="1"/>
  <c r="AG11" i="1"/>
  <c r="AG8" i="1"/>
  <c r="AG19" i="1"/>
  <c r="AG15" i="1"/>
  <c r="AG17" i="1"/>
  <c r="AG16" i="1"/>
  <c r="AG25" i="1"/>
  <c r="AG37" i="1"/>
  <c r="I53" i="1"/>
  <c r="M53" i="1" s="1"/>
  <c r="O53" i="1" s="1"/>
  <c r="U53" i="1" s="1"/>
  <c r="Y802" i="1"/>
  <c r="Y794" i="1"/>
  <c r="Y786" i="1"/>
  <c r="Y778" i="1"/>
  <c r="Y770" i="1"/>
  <c r="Y762" i="1"/>
  <c r="Y754" i="1"/>
  <c r="Y746" i="1"/>
  <c r="Y738" i="1"/>
  <c r="Y730" i="1"/>
  <c r="Y722" i="1"/>
  <c r="Y714" i="1"/>
  <c r="Y706" i="1"/>
  <c r="Y698" i="1"/>
  <c r="Y690" i="1"/>
  <c r="Y797" i="1"/>
  <c r="Y789" i="1"/>
  <c r="Y781" i="1"/>
  <c r="Y773" i="1"/>
  <c r="Y765" i="1"/>
  <c r="Y757" i="1"/>
  <c r="Y749" i="1"/>
  <c r="Y741" i="1"/>
  <c r="Y733" i="1"/>
  <c r="Y725" i="1"/>
  <c r="Y717" i="1"/>
  <c r="Y800" i="1"/>
  <c r="Y792" i="1"/>
  <c r="Y784" i="1"/>
  <c r="Y776" i="1"/>
  <c r="Y768" i="1"/>
  <c r="Y760" i="1"/>
  <c r="Y752" i="1"/>
  <c r="Y744" i="1"/>
  <c r="Y736" i="1"/>
  <c r="Y728" i="1"/>
  <c r="Y720" i="1"/>
  <c r="Y712" i="1"/>
  <c r="Y704" i="1"/>
  <c r="Y696" i="1"/>
  <c r="Y803" i="1"/>
  <c r="Y795" i="1"/>
  <c r="Y787" i="1"/>
  <c r="Y779" i="1"/>
  <c r="Y771" i="1"/>
  <c r="Y763" i="1"/>
  <c r="Y755" i="1"/>
  <c r="Y747" i="1"/>
  <c r="Y739" i="1"/>
  <c r="Y731" i="1"/>
  <c r="Y723" i="1"/>
  <c r="Y798" i="1"/>
  <c r="Y790" i="1"/>
  <c r="Y782" i="1"/>
  <c r="Y774" i="1"/>
  <c r="Y766" i="1"/>
  <c r="Y758" i="1"/>
  <c r="Y750" i="1"/>
  <c r="Y742" i="1"/>
  <c r="Y801" i="1"/>
  <c r="Y793" i="1"/>
  <c r="Y785" i="1"/>
  <c r="Y777" i="1"/>
  <c r="Y796" i="1"/>
  <c r="Y788" i="1"/>
  <c r="Y780" i="1"/>
  <c r="Y745" i="1"/>
  <c r="Y737" i="1"/>
  <c r="Y727" i="1"/>
  <c r="Y715" i="1"/>
  <c r="Y701" i="1"/>
  <c r="Y686" i="1"/>
  <c r="Y670" i="1"/>
  <c r="Y772" i="1"/>
  <c r="Y708" i="1"/>
  <c r="Y694" i="1"/>
  <c r="Y692" i="1"/>
  <c r="Y684" i="1"/>
  <c r="Y675" i="1"/>
  <c r="Y665" i="1"/>
  <c r="Y657" i="1"/>
  <c r="Y649" i="1"/>
  <c r="Y641" i="1"/>
  <c r="Y633" i="1"/>
  <c r="Y625" i="1"/>
  <c r="Y617" i="1"/>
  <c r="Y609" i="1"/>
  <c r="Y601" i="1"/>
  <c r="Y767" i="1"/>
  <c r="Y753" i="1"/>
  <c r="Y726" i="1"/>
  <c r="Y710" i="1"/>
  <c r="Y682" i="1"/>
  <c r="Y799" i="1"/>
  <c r="Y680" i="1"/>
  <c r="Y668" i="1"/>
  <c r="Y761" i="1"/>
  <c r="Y740" i="1"/>
  <c r="Y729" i="1"/>
  <c r="Y703" i="1"/>
  <c r="Y673" i="1"/>
  <c r="Y705" i="1"/>
  <c r="Y678" i="1"/>
  <c r="Y663" i="1"/>
  <c r="Y748" i="1"/>
  <c r="Y707" i="1"/>
  <c r="Y732" i="1"/>
  <c r="Y691" i="1"/>
  <c r="Y685" i="1"/>
  <c r="Y783" i="1"/>
  <c r="Y756" i="1"/>
  <c r="Y700" i="1"/>
  <c r="Y693" i="1"/>
  <c r="Y689" i="1"/>
  <c r="Y676" i="1"/>
  <c r="Y769" i="1"/>
  <c r="Y709" i="1"/>
  <c r="Y702" i="1"/>
  <c r="Y687" i="1"/>
  <c r="Y683" i="1"/>
  <c r="Y775" i="1"/>
  <c r="Y764" i="1"/>
  <c r="Y743" i="1"/>
  <c r="Y719" i="1"/>
  <c r="Y735" i="1"/>
  <c r="Y751" i="1"/>
  <c r="Y791" i="1"/>
  <c r="Y724" i="1"/>
  <c r="Y713" i="1"/>
  <c r="Y662" i="1"/>
  <c r="Y654" i="1"/>
  <c r="Y648" i="1"/>
  <c r="Y642" i="1"/>
  <c r="Y636" i="1"/>
  <c r="Y613" i="1"/>
  <c r="Y602" i="1"/>
  <c r="Y697" i="1"/>
  <c r="Y679" i="1"/>
  <c r="Y646" i="1"/>
  <c r="Y640" i="1"/>
  <c r="Y634" i="1"/>
  <c r="Y628" i="1"/>
  <c r="Y592" i="1"/>
  <c r="Y584" i="1"/>
  <c r="Y576" i="1"/>
  <c r="Y568" i="1"/>
  <c r="Y560" i="1"/>
  <c r="Y552" i="1"/>
  <c r="Y544" i="1"/>
  <c r="Y734" i="1"/>
  <c r="Y674" i="1"/>
  <c r="Y664" i="1"/>
  <c r="Y638" i="1"/>
  <c r="Y632" i="1"/>
  <c r="Y626" i="1"/>
  <c r="Y620" i="1"/>
  <c r="Y611" i="1"/>
  <c r="Y600" i="1"/>
  <c r="Y721" i="1"/>
  <c r="Y667" i="1"/>
  <c r="Y630" i="1"/>
  <c r="Y624" i="1"/>
  <c r="Y595" i="1"/>
  <c r="Y759" i="1"/>
  <c r="Y711" i="1"/>
  <c r="Y622" i="1"/>
  <c r="Y618" i="1"/>
  <c r="Y607" i="1"/>
  <c r="Y695" i="1"/>
  <c r="Y598" i="1"/>
  <c r="Y666" i="1"/>
  <c r="Y661" i="1"/>
  <c r="Y655" i="1"/>
  <c r="Y616" i="1"/>
  <c r="Y605" i="1"/>
  <c r="Y669" i="1"/>
  <c r="Y659" i="1"/>
  <c r="Y653" i="1"/>
  <c r="Y647" i="1"/>
  <c r="Y593" i="1"/>
  <c r="Y718" i="1"/>
  <c r="Y688" i="1"/>
  <c r="Y677" i="1"/>
  <c r="Y651" i="1"/>
  <c r="Y645" i="1"/>
  <c r="Y639" i="1"/>
  <c r="Y614" i="1"/>
  <c r="Y612" i="1"/>
  <c r="Y603" i="1"/>
  <c r="Y681" i="1"/>
  <c r="Y643" i="1"/>
  <c r="Y637" i="1"/>
  <c r="Y631" i="1"/>
  <c r="Y596" i="1"/>
  <c r="Y716" i="1"/>
  <c r="Y635" i="1"/>
  <c r="Y629" i="1"/>
  <c r="Y623" i="1"/>
  <c r="Y610" i="1"/>
  <c r="Y672" i="1"/>
  <c r="Y699" i="1"/>
  <c r="Y660" i="1"/>
  <c r="Y658" i="1"/>
  <c r="Y671" i="1"/>
  <c r="Y656" i="1"/>
  <c r="Y650" i="1"/>
  <c r="Y565" i="1"/>
  <c r="Y559" i="1"/>
  <c r="Y553" i="1"/>
  <c r="Y547" i="1"/>
  <c r="Y524" i="1"/>
  <c r="Y512" i="1"/>
  <c r="Y502" i="1"/>
  <c r="Y494" i="1"/>
  <c r="Y486" i="1"/>
  <c r="Y478" i="1"/>
  <c r="Y470" i="1"/>
  <c r="Y462" i="1"/>
  <c r="Y454" i="1"/>
  <c r="Y446" i="1"/>
  <c r="Y438" i="1"/>
  <c r="Y430" i="1"/>
  <c r="Y422" i="1"/>
  <c r="Y414" i="1"/>
  <c r="Y406" i="1"/>
  <c r="Y398" i="1"/>
  <c r="Y390" i="1"/>
  <c r="Y652" i="1"/>
  <c r="Y621" i="1"/>
  <c r="Y604" i="1"/>
  <c r="Y583" i="1"/>
  <c r="Y581" i="1"/>
  <c r="Y557" i="1"/>
  <c r="Y551" i="1"/>
  <c r="Y545" i="1"/>
  <c r="Y529" i="1"/>
  <c r="Y627" i="1"/>
  <c r="Y587" i="1"/>
  <c r="Y585" i="1"/>
  <c r="Y549" i="1"/>
  <c r="Y543" i="1"/>
  <c r="Y534" i="1"/>
  <c r="Y517" i="1"/>
  <c r="Y505" i="1"/>
  <c r="Y497" i="1"/>
  <c r="Y489" i="1"/>
  <c r="Y481" i="1"/>
  <c r="Y473" i="1"/>
  <c r="Y465" i="1"/>
  <c r="Y457" i="1"/>
  <c r="Y449" i="1"/>
  <c r="Y441" i="1"/>
  <c r="Y615" i="1"/>
  <c r="Y594" i="1"/>
  <c r="Y522" i="1"/>
  <c r="Y510" i="1"/>
  <c r="Y541" i="1"/>
  <c r="Y539" i="1"/>
  <c r="Y527" i="1"/>
  <c r="Y515" i="1"/>
  <c r="Y500" i="1"/>
  <c r="Y492" i="1"/>
  <c r="Y484" i="1"/>
  <c r="Y476" i="1"/>
  <c r="Y468" i="1"/>
  <c r="Y608" i="1"/>
  <c r="Y591" i="1"/>
  <c r="Y589" i="1"/>
  <c r="Y574" i="1"/>
  <c r="Y532" i="1"/>
  <c r="Y520" i="1"/>
  <c r="Y644" i="1"/>
  <c r="Y572" i="1"/>
  <c r="Y566" i="1"/>
  <c r="Y537" i="1"/>
  <c r="Y508" i="1"/>
  <c r="Y503" i="1"/>
  <c r="Y495" i="1"/>
  <c r="Y487" i="1"/>
  <c r="Y479" i="1"/>
  <c r="Y471" i="1"/>
  <c r="Y619" i="1"/>
  <c r="Y597" i="1"/>
  <c r="Y580" i="1"/>
  <c r="Y578" i="1"/>
  <c r="Y570" i="1"/>
  <c r="Y564" i="1"/>
  <c r="Y558" i="1"/>
  <c r="Y525" i="1"/>
  <c r="Y513" i="1"/>
  <c r="Y582" i="1"/>
  <c r="Y562" i="1"/>
  <c r="Y556" i="1"/>
  <c r="Y550" i="1"/>
  <c r="Y530" i="1"/>
  <c r="Y518" i="1"/>
  <c r="Y498" i="1"/>
  <c r="Y490" i="1"/>
  <c r="Y482" i="1"/>
  <c r="Y474" i="1"/>
  <c r="Y466" i="1"/>
  <c r="Y458" i="1"/>
  <c r="Y554" i="1"/>
  <c r="Y548" i="1"/>
  <c r="Y535" i="1"/>
  <c r="Y523" i="1"/>
  <c r="Y506" i="1"/>
  <c r="Y546" i="1"/>
  <c r="Y542" i="1"/>
  <c r="Y528" i="1"/>
  <c r="Y511" i="1"/>
  <c r="Y501" i="1"/>
  <c r="Y493" i="1"/>
  <c r="Y485" i="1"/>
  <c r="Y477" i="1"/>
  <c r="Y588" i="1"/>
  <c r="Y586" i="1"/>
  <c r="Y516" i="1"/>
  <c r="Y606" i="1"/>
  <c r="Y590" i="1"/>
  <c r="Y540" i="1"/>
  <c r="Y533" i="1"/>
  <c r="Y521" i="1"/>
  <c r="Y599" i="1"/>
  <c r="Y571" i="1"/>
  <c r="Y526" i="1"/>
  <c r="Y579" i="1"/>
  <c r="Y577" i="1"/>
  <c r="Y575" i="1"/>
  <c r="Y569" i="1"/>
  <c r="Y563" i="1"/>
  <c r="Y573" i="1"/>
  <c r="Y567" i="1"/>
  <c r="Y561" i="1"/>
  <c r="Y555" i="1"/>
  <c r="Y536" i="1"/>
  <c r="Y519" i="1"/>
  <c r="Y538" i="1"/>
  <c r="Y499" i="1"/>
  <c r="Y452" i="1"/>
  <c r="Y429" i="1"/>
  <c r="Y418" i="1"/>
  <c r="Y407" i="1"/>
  <c r="Y396" i="1"/>
  <c r="Y382" i="1"/>
  <c r="Y374" i="1"/>
  <c r="Y366" i="1"/>
  <c r="Y358" i="1"/>
  <c r="Y350" i="1"/>
  <c r="Y342" i="1"/>
  <c r="Y334" i="1"/>
  <c r="Y326" i="1"/>
  <c r="Y318" i="1"/>
  <c r="Y310" i="1"/>
  <c r="Y302" i="1"/>
  <c r="Y294" i="1"/>
  <c r="Y286" i="1"/>
  <c r="Y278" i="1"/>
  <c r="Y270" i="1"/>
  <c r="Y488" i="1"/>
  <c r="Y460" i="1"/>
  <c r="Y456" i="1"/>
  <c r="Y450" i="1"/>
  <c r="Y444" i="1"/>
  <c r="Y387" i="1"/>
  <c r="Y509" i="1"/>
  <c r="Y483" i="1"/>
  <c r="Y448" i="1"/>
  <c r="Y442" i="1"/>
  <c r="Y436" i="1"/>
  <c r="Y427" i="1"/>
  <c r="Y425" i="1"/>
  <c r="Y416" i="1"/>
  <c r="Y405" i="1"/>
  <c r="Y394" i="1"/>
  <c r="Y377" i="1"/>
  <c r="Y369" i="1"/>
  <c r="Y361" i="1"/>
  <c r="Y353" i="1"/>
  <c r="Y345" i="1"/>
  <c r="Y337" i="1"/>
  <c r="Y329" i="1"/>
  <c r="Y321" i="1"/>
  <c r="Y313" i="1"/>
  <c r="Y305" i="1"/>
  <c r="Y297" i="1"/>
  <c r="Y289" i="1"/>
  <c r="Y281" i="1"/>
  <c r="Y440" i="1"/>
  <c r="Y385" i="1"/>
  <c r="Y531" i="1"/>
  <c r="Y472" i="1"/>
  <c r="Y434" i="1"/>
  <c r="Y423" i="1"/>
  <c r="Y412" i="1"/>
  <c r="Y403" i="1"/>
  <c r="Y401" i="1"/>
  <c r="Y392" i="1"/>
  <c r="Y380" i="1"/>
  <c r="Y372" i="1"/>
  <c r="Y364" i="1"/>
  <c r="Y356" i="1"/>
  <c r="Y348" i="1"/>
  <c r="Y432" i="1"/>
  <c r="Y421" i="1"/>
  <c r="Y410" i="1"/>
  <c r="Y399" i="1"/>
  <c r="Y383" i="1"/>
  <c r="Y375" i="1"/>
  <c r="Y367" i="1"/>
  <c r="Y359" i="1"/>
  <c r="Y351" i="1"/>
  <c r="Y514" i="1"/>
  <c r="Y464" i="1"/>
  <c r="Y388" i="1"/>
  <c r="Y507" i="1"/>
  <c r="Y496" i="1"/>
  <c r="Y455" i="1"/>
  <c r="Y428" i="1"/>
  <c r="Y419" i="1"/>
  <c r="Y417" i="1"/>
  <c r="Y408" i="1"/>
  <c r="Y397" i="1"/>
  <c r="Y378" i="1"/>
  <c r="Y370" i="1"/>
  <c r="Y362" i="1"/>
  <c r="Y354" i="1"/>
  <c r="Y346" i="1"/>
  <c r="Y491" i="1"/>
  <c r="Y467" i="1"/>
  <c r="Y453" i="1"/>
  <c r="Y447" i="1"/>
  <c r="Y480" i="1"/>
  <c r="Y461" i="1"/>
  <c r="Y459" i="1"/>
  <c r="Y451" i="1"/>
  <c r="Y445" i="1"/>
  <c r="Y439" i="1"/>
  <c r="Y426" i="1"/>
  <c r="Y415" i="1"/>
  <c r="Y404" i="1"/>
  <c r="Y395" i="1"/>
  <c r="Y393" i="1"/>
  <c r="Y386" i="1"/>
  <c r="Y381" i="1"/>
  <c r="Y373" i="1"/>
  <c r="Y365" i="1"/>
  <c r="Y357" i="1"/>
  <c r="Y475" i="1"/>
  <c r="Y443" i="1"/>
  <c r="Y437" i="1"/>
  <c r="Y463" i="1"/>
  <c r="Y435" i="1"/>
  <c r="Y433" i="1"/>
  <c r="Y424" i="1"/>
  <c r="Y413" i="1"/>
  <c r="Y402" i="1"/>
  <c r="Y469" i="1"/>
  <c r="Y431" i="1"/>
  <c r="Y420" i="1"/>
  <c r="Y504" i="1"/>
  <c r="Y389" i="1"/>
  <c r="Y335" i="1"/>
  <c r="Y333" i="1"/>
  <c r="Y327" i="1"/>
  <c r="Y248" i="1"/>
  <c r="Y240" i="1"/>
  <c r="Y232" i="1"/>
  <c r="Y224" i="1"/>
  <c r="Y216" i="1"/>
  <c r="Y208" i="1"/>
  <c r="Y200" i="1"/>
  <c r="Y192" i="1"/>
  <c r="Y184" i="1"/>
  <c r="Y176" i="1"/>
  <c r="Y168" i="1"/>
  <c r="Y160" i="1"/>
  <c r="Y152" i="1"/>
  <c r="Y144" i="1"/>
  <c r="Y136" i="1"/>
  <c r="Y344" i="1"/>
  <c r="Y331" i="1"/>
  <c r="Y325" i="1"/>
  <c r="Y319" i="1"/>
  <c r="Y272" i="1"/>
  <c r="Y256" i="1"/>
  <c r="Y411" i="1"/>
  <c r="Y323" i="1"/>
  <c r="Y317" i="1"/>
  <c r="Y311" i="1"/>
  <c r="Y261" i="1"/>
  <c r="Y251" i="1"/>
  <c r="Y243" i="1"/>
  <c r="Y235" i="1"/>
  <c r="Y227" i="1"/>
  <c r="Y219" i="1"/>
  <c r="Y211" i="1"/>
  <c r="Y203" i="1"/>
  <c r="Y195" i="1"/>
  <c r="Y187" i="1"/>
  <c r="Y179" i="1"/>
  <c r="Y171" i="1"/>
  <c r="Y163" i="1"/>
  <c r="Y155" i="1"/>
  <c r="Y315" i="1"/>
  <c r="Y309" i="1"/>
  <c r="Y303" i="1"/>
  <c r="Y268" i="1"/>
  <c r="Y409" i="1"/>
  <c r="Y376" i="1"/>
  <c r="Y347" i="1"/>
  <c r="Y307" i="1"/>
  <c r="Y301" i="1"/>
  <c r="Y295" i="1"/>
  <c r="Y254" i="1"/>
  <c r="Y246" i="1"/>
  <c r="Y238" i="1"/>
  <c r="Y230" i="1"/>
  <c r="Y222" i="1"/>
  <c r="Y371" i="1"/>
  <c r="Y340" i="1"/>
  <c r="Y299" i="1"/>
  <c r="Y293" i="1"/>
  <c r="Y287" i="1"/>
  <c r="Y266" i="1"/>
  <c r="Y259" i="1"/>
  <c r="Y360" i="1"/>
  <c r="Y343" i="1"/>
  <c r="Y291" i="1"/>
  <c r="Y285" i="1"/>
  <c r="Y279" i="1"/>
  <c r="Y249" i="1"/>
  <c r="Y241" i="1"/>
  <c r="Y233" i="1"/>
  <c r="Y355" i="1"/>
  <c r="Y332" i="1"/>
  <c r="Y283" i="1"/>
  <c r="Y277" i="1"/>
  <c r="Y273" i="1"/>
  <c r="Y264" i="1"/>
  <c r="Y257" i="1"/>
  <c r="Y330" i="1"/>
  <c r="Y324" i="1"/>
  <c r="Y275" i="1"/>
  <c r="Y252" i="1"/>
  <c r="Y244" i="1"/>
  <c r="Y236" i="1"/>
  <c r="Y228" i="1"/>
  <c r="Y220" i="1"/>
  <c r="Y212" i="1"/>
  <c r="Y204" i="1"/>
  <c r="Y349" i="1"/>
  <c r="Y328" i="1"/>
  <c r="Y322" i="1"/>
  <c r="Y316" i="1"/>
  <c r="Y271" i="1"/>
  <c r="Y262" i="1"/>
  <c r="Y320" i="1"/>
  <c r="Y314" i="1"/>
  <c r="Y308" i="1"/>
  <c r="Y255" i="1"/>
  <c r="Y247" i="1"/>
  <c r="Y239" i="1"/>
  <c r="Y231" i="1"/>
  <c r="Y223" i="1"/>
  <c r="Y391" i="1"/>
  <c r="Y339" i="1"/>
  <c r="Y336" i="1"/>
  <c r="Y312" i="1"/>
  <c r="Y306" i="1"/>
  <c r="Y300" i="1"/>
  <c r="Y269" i="1"/>
  <c r="Y260" i="1"/>
  <c r="Y384" i="1"/>
  <c r="Y379" i="1"/>
  <c r="Y304" i="1"/>
  <c r="Y298" i="1"/>
  <c r="Y292" i="1"/>
  <c r="Y368" i="1"/>
  <c r="Y296" i="1"/>
  <c r="Y290" i="1"/>
  <c r="Y284" i="1"/>
  <c r="Y400" i="1"/>
  <c r="Y363" i="1"/>
  <c r="Y352" i="1"/>
  <c r="Y341" i="1"/>
  <c r="Y338" i="1"/>
  <c r="Y280" i="1"/>
  <c r="Y274" i="1"/>
  <c r="Y253" i="1"/>
  <c r="Y213" i="1"/>
  <c r="Y170" i="1"/>
  <c r="Y164" i="1"/>
  <c r="Y158" i="1"/>
  <c r="Y126" i="1"/>
  <c r="Y118" i="1"/>
  <c r="Y110" i="1"/>
  <c r="Y102" i="1"/>
  <c r="Y94" i="1"/>
  <c r="Y86" i="1"/>
  <c r="Y78" i="1"/>
  <c r="Y70" i="1"/>
  <c r="Y62" i="1"/>
  <c r="Y288" i="1"/>
  <c r="Y267" i="1"/>
  <c r="Y242" i="1"/>
  <c r="Y162" i="1"/>
  <c r="Y156" i="1"/>
  <c r="Y150" i="1"/>
  <c r="Y258" i="1"/>
  <c r="Y237" i="1"/>
  <c r="Y215" i="1"/>
  <c r="Y210" i="1"/>
  <c r="Y154" i="1"/>
  <c r="Y148" i="1"/>
  <c r="Y141" i="1"/>
  <c r="Y129" i="1"/>
  <c r="Y121" i="1"/>
  <c r="Y113" i="1"/>
  <c r="Y105" i="1"/>
  <c r="Y97" i="1"/>
  <c r="Y89" i="1"/>
  <c r="Y81" i="1"/>
  <c r="Y73" i="1"/>
  <c r="Y65" i="1"/>
  <c r="Y57" i="1"/>
  <c r="Y265" i="1"/>
  <c r="Y218" i="1"/>
  <c r="Y134" i="1"/>
  <c r="Y282" i="1"/>
  <c r="Y201" i="1"/>
  <c r="Y199" i="1"/>
  <c r="Y193" i="1"/>
  <c r="Y146" i="1"/>
  <c r="Y139" i="1"/>
  <c r="Y124" i="1"/>
  <c r="Y116" i="1"/>
  <c r="Y108" i="1"/>
  <c r="Y100" i="1"/>
  <c r="Y92" i="1"/>
  <c r="Y226" i="1"/>
  <c r="Y197" i="1"/>
  <c r="Y191" i="1"/>
  <c r="Y185" i="1"/>
  <c r="Y189" i="1"/>
  <c r="Y183" i="1"/>
  <c r="Y177" i="1"/>
  <c r="Y132" i="1"/>
  <c r="Y127" i="1"/>
  <c r="Y119" i="1"/>
  <c r="Y111" i="1"/>
  <c r="Y103" i="1"/>
  <c r="Y263" i="1"/>
  <c r="Y217" i="1"/>
  <c r="Y207" i="1"/>
  <c r="Y205" i="1"/>
  <c r="Y181" i="1"/>
  <c r="Y175" i="1"/>
  <c r="Y169" i="1"/>
  <c r="Y137" i="1"/>
  <c r="Y276" i="1"/>
  <c r="Y250" i="1"/>
  <c r="Y173" i="1"/>
  <c r="Y167" i="1"/>
  <c r="Y161" i="1"/>
  <c r="Y142" i="1"/>
  <c r="Y122" i="1"/>
  <c r="Y114" i="1"/>
  <c r="Y106" i="1"/>
  <c r="Y98" i="1"/>
  <c r="Y90" i="1"/>
  <c r="Y82" i="1"/>
  <c r="Y245" i="1"/>
  <c r="Y225" i="1"/>
  <c r="Y221" i="1"/>
  <c r="Y214" i="1"/>
  <c r="Y209" i="1"/>
  <c r="Y165" i="1"/>
  <c r="Y159" i="1"/>
  <c r="Y153" i="1"/>
  <c r="Y130" i="1"/>
  <c r="Y234" i="1"/>
  <c r="Y157" i="1"/>
  <c r="Y151" i="1"/>
  <c r="Y147" i="1"/>
  <c r="Y135" i="1"/>
  <c r="Y125" i="1"/>
  <c r="Y117" i="1"/>
  <c r="Y109" i="1"/>
  <c r="Y101" i="1"/>
  <c r="Y229" i="1"/>
  <c r="Y198" i="1"/>
  <c r="Y149" i="1"/>
  <c r="Y140" i="1"/>
  <c r="Y196" i="1"/>
  <c r="Y190" i="1"/>
  <c r="Y145" i="1"/>
  <c r="Y202" i="1"/>
  <c r="Y194" i="1"/>
  <c r="Y188" i="1"/>
  <c r="Y182" i="1"/>
  <c r="Y206" i="1"/>
  <c r="Y186" i="1"/>
  <c r="Y180" i="1"/>
  <c r="Y174" i="1"/>
  <c r="Y178" i="1"/>
  <c r="Y172" i="1"/>
  <c r="Y166" i="1"/>
  <c r="Y143" i="1"/>
  <c r="Y56" i="1"/>
  <c r="Y49" i="1"/>
  <c r="Y45" i="1"/>
  <c r="Y39" i="1"/>
  <c r="Y35" i="1"/>
  <c r="Y29" i="1"/>
  <c r="Y21" i="1"/>
  <c r="Y13" i="1"/>
  <c r="Y5" i="1"/>
  <c r="Y52" i="1"/>
  <c r="Y83" i="1"/>
  <c r="Y42" i="1"/>
  <c r="Y88" i="1"/>
  <c r="Y76" i="1"/>
  <c r="Y138" i="1"/>
  <c r="Y85" i="1"/>
  <c r="Y74" i="1"/>
  <c r="Y68" i="1"/>
  <c r="Y131" i="1"/>
  <c r="Y120" i="1"/>
  <c r="Y91" i="1"/>
  <c r="Y80" i="1"/>
  <c r="Y72" i="1"/>
  <c r="Y66" i="1"/>
  <c r="Y60" i="1"/>
  <c r="Y55" i="1"/>
  <c r="Y47" i="1"/>
  <c r="Y37" i="1"/>
  <c r="Y27" i="1"/>
  <c r="Y19" i="1"/>
  <c r="Y115" i="1"/>
  <c r="Y64" i="1"/>
  <c r="Y58" i="1"/>
  <c r="Y54" i="1"/>
  <c r="Y50" i="1"/>
  <c r="Y44" i="1"/>
  <c r="Y40" i="1"/>
  <c r="Y34" i="1"/>
  <c r="Y30" i="1"/>
  <c r="Y22" i="1"/>
  <c r="Y104" i="1"/>
  <c r="Y87" i="1"/>
  <c r="Y93" i="1"/>
  <c r="Y25" i="1"/>
  <c r="Y17" i="1"/>
  <c r="Y9" i="1"/>
  <c r="Y84" i="1"/>
  <c r="Y96" i="1"/>
  <c r="Y79" i="1"/>
  <c r="Y48" i="1"/>
  <c r="Y46" i="1"/>
  <c r="Y38" i="1"/>
  <c r="Y36" i="1"/>
  <c r="Y28" i="1"/>
  <c r="Y20" i="1"/>
  <c r="Y12" i="1"/>
  <c r="Y4" i="1"/>
  <c r="Y128" i="1"/>
  <c r="Y77" i="1"/>
  <c r="Y71" i="1"/>
  <c r="Y123" i="1"/>
  <c r="Y99" i="1"/>
  <c r="Y75" i="1"/>
  <c r="Y69" i="1"/>
  <c r="Y63" i="1"/>
  <c r="Y53" i="1"/>
  <c r="Y51" i="1"/>
  <c r="Y43" i="1"/>
  <c r="Y41" i="1"/>
  <c r="Y133" i="1"/>
  <c r="Y112" i="1"/>
  <c r="Y67" i="1"/>
  <c r="Y61" i="1"/>
  <c r="Y107" i="1"/>
  <c r="Y95" i="1"/>
  <c r="Y59" i="1"/>
  <c r="Y26" i="1"/>
  <c r="Y32" i="1"/>
  <c r="Y8" i="1"/>
  <c r="Y7" i="1"/>
  <c r="Y23" i="1"/>
  <c r="Y14" i="1"/>
  <c r="Y18" i="1"/>
  <c r="Y31" i="1"/>
  <c r="Y6" i="1"/>
  <c r="Y3" i="1"/>
  <c r="Y24" i="1"/>
  <c r="Y33" i="1"/>
  <c r="Y10" i="1"/>
  <c r="Y15" i="1"/>
  <c r="Y11" i="1"/>
  <c r="Y16" i="1"/>
  <c r="AF800" i="1"/>
  <c r="AF792" i="1"/>
  <c r="AF784" i="1"/>
  <c r="AF776" i="1"/>
  <c r="AF768" i="1"/>
  <c r="AF760" i="1"/>
  <c r="AF752" i="1"/>
  <c r="AF744" i="1"/>
  <c r="AF736" i="1"/>
  <c r="AF728" i="1"/>
  <c r="AF720" i="1"/>
  <c r="AF712" i="1"/>
  <c r="AF704" i="1"/>
  <c r="AF696" i="1"/>
  <c r="AF688" i="1"/>
  <c r="AF680" i="1"/>
  <c r="AF672" i="1"/>
  <c r="AF803" i="1"/>
  <c r="AF795" i="1"/>
  <c r="AF787" i="1"/>
  <c r="AF779" i="1"/>
  <c r="AF771" i="1"/>
  <c r="AF763" i="1"/>
  <c r="AF755" i="1"/>
  <c r="AF747" i="1"/>
  <c r="AF739" i="1"/>
  <c r="AF731" i="1"/>
  <c r="AF723" i="1"/>
  <c r="AF715" i="1"/>
  <c r="AF707" i="1"/>
  <c r="AF699" i="1"/>
  <c r="AF691" i="1"/>
  <c r="AF683" i="1"/>
  <c r="AF798" i="1"/>
  <c r="AF790" i="1"/>
  <c r="AF782" i="1"/>
  <c r="AF774" i="1"/>
  <c r="AF766" i="1"/>
  <c r="AF758" i="1"/>
  <c r="AF750" i="1"/>
  <c r="AF742" i="1"/>
  <c r="AF734" i="1"/>
  <c r="AF726" i="1"/>
  <c r="AF718" i="1"/>
  <c r="AF710" i="1"/>
  <c r="AF702" i="1"/>
  <c r="AF694" i="1"/>
  <c r="AF801" i="1"/>
  <c r="AF793" i="1"/>
  <c r="AF785" i="1"/>
  <c r="AF777" i="1"/>
  <c r="AF769" i="1"/>
  <c r="AF761" i="1"/>
  <c r="AF753" i="1"/>
  <c r="AF745" i="1"/>
  <c r="AF737" i="1"/>
  <c r="AF729" i="1"/>
  <c r="AF796" i="1"/>
  <c r="AF788" i="1"/>
  <c r="AF780" i="1"/>
  <c r="AF772" i="1"/>
  <c r="AF764" i="1"/>
  <c r="AF756" i="1"/>
  <c r="AF748" i="1"/>
  <c r="AF740" i="1"/>
  <c r="AF732" i="1"/>
  <c r="AF799" i="1"/>
  <c r="AF791" i="1"/>
  <c r="AF783" i="1"/>
  <c r="AF775" i="1"/>
  <c r="AF767" i="1"/>
  <c r="AF802" i="1"/>
  <c r="AF794" i="1"/>
  <c r="AF786" i="1"/>
  <c r="AF705" i="1"/>
  <c r="AF678" i="1"/>
  <c r="AF663" i="1"/>
  <c r="AF655" i="1"/>
  <c r="AF647" i="1"/>
  <c r="AF639" i="1"/>
  <c r="AF631" i="1"/>
  <c r="AF623" i="1"/>
  <c r="AF749" i="1"/>
  <c r="AF733" i="1"/>
  <c r="AF698" i="1"/>
  <c r="AF671" i="1"/>
  <c r="AF666" i="1"/>
  <c r="AF658" i="1"/>
  <c r="AF650" i="1"/>
  <c r="AF642" i="1"/>
  <c r="AF634" i="1"/>
  <c r="AF626" i="1"/>
  <c r="AF618" i="1"/>
  <c r="AF610" i="1"/>
  <c r="AF602" i="1"/>
  <c r="AF757" i="1"/>
  <c r="AF717" i="1"/>
  <c r="AF700" i="1"/>
  <c r="AF689" i="1"/>
  <c r="AF676" i="1"/>
  <c r="AF797" i="1"/>
  <c r="AF687" i="1"/>
  <c r="AF770" i="1"/>
  <c r="AF743" i="1"/>
  <c r="AF722" i="1"/>
  <c r="AF719" i="1"/>
  <c r="AF714" i="1"/>
  <c r="AF685" i="1"/>
  <c r="AF669" i="1"/>
  <c r="AF765" i="1"/>
  <c r="AF735" i="1"/>
  <c r="AF695" i="1"/>
  <c r="AF693" i="1"/>
  <c r="AF681" i="1"/>
  <c r="AF674" i="1"/>
  <c r="AF751" i="1"/>
  <c r="AF725" i="1"/>
  <c r="AF716" i="1"/>
  <c r="AF709" i="1"/>
  <c r="AF697" i="1"/>
  <c r="AF711" i="1"/>
  <c r="AF679" i="1"/>
  <c r="AF667" i="1"/>
  <c r="AF759" i="1"/>
  <c r="AF724" i="1"/>
  <c r="AF721" i="1"/>
  <c r="AF713" i="1"/>
  <c r="AF781" i="1"/>
  <c r="AF738" i="1"/>
  <c r="AF746" i="1"/>
  <c r="AF727" i="1"/>
  <c r="AF773" i="1"/>
  <c r="AF754" i="1"/>
  <c r="AF789" i="1"/>
  <c r="AF778" i="1"/>
  <c r="AF690" i="1"/>
  <c r="AF620" i="1"/>
  <c r="AF598" i="1"/>
  <c r="AF590" i="1"/>
  <c r="AF582" i="1"/>
  <c r="AF574" i="1"/>
  <c r="AF566" i="1"/>
  <c r="AF558" i="1"/>
  <c r="AF550" i="1"/>
  <c r="AF542" i="1"/>
  <c r="AF534" i="1"/>
  <c r="AF526" i="1"/>
  <c r="AF518" i="1"/>
  <c r="AF510" i="1"/>
  <c r="AF670" i="1"/>
  <c r="AF616" i="1"/>
  <c r="AF607" i="1"/>
  <c r="AF605" i="1"/>
  <c r="AF661" i="1"/>
  <c r="AF659" i="1"/>
  <c r="AF653" i="1"/>
  <c r="AF593" i="1"/>
  <c r="AF585" i="1"/>
  <c r="AF577" i="1"/>
  <c r="AF569" i="1"/>
  <c r="AF561" i="1"/>
  <c r="AF553" i="1"/>
  <c r="AF545" i="1"/>
  <c r="AF537" i="1"/>
  <c r="AF762" i="1"/>
  <c r="AF657" i="1"/>
  <c r="AF651" i="1"/>
  <c r="AF645" i="1"/>
  <c r="AF614" i="1"/>
  <c r="AF603" i="1"/>
  <c r="AF677" i="1"/>
  <c r="AF649" i="1"/>
  <c r="AF643" i="1"/>
  <c r="AF637" i="1"/>
  <c r="AF703" i="1"/>
  <c r="AF641" i="1"/>
  <c r="AF635" i="1"/>
  <c r="AF629" i="1"/>
  <c r="AF612" i="1"/>
  <c r="AF601" i="1"/>
  <c r="AF682" i="1"/>
  <c r="AF633" i="1"/>
  <c r="AF627" i="1"/>
  <c r="AF621" i="1"/>
  <c r="AF730" i="1"/>
  <c r="AF673" i="1"/>
  <c r="AF625" i="1"/>
  <c r="AF619" i="1"/>
  <c r="AF608" i="1"/>
  <c r="AF599" i="1"/>
  <c r="AF708" i="1"/>
  <c r="AF594" i="1"/>
  <c r="AF586" i="1"/>
  <c r="AF578" i="1"/>
  <c r="AF701" i="1"/>
  <c r="AF686" i="1"/>
  <c r="AF617" i="1"/>
  <c r="AF606" i="1"/>
  <c r="AF665" i="1"/>
  <c r="AF656" i="1"/>
  <c r="AF692" i="1"/>
  <c r="AF662" i="1"/>
  <c r="AF660" i="1"/>
  <c r="AF654" i="1"/>
  <c r="AF648" i="1"/>
  <c r="AF706" i="1"/>
  <c r="AF668" i="1"/>
  <c r="AF652" i="1"/>
  <c r="AF646" i="1"/>
  <c r="AF640" i="1"/>
  <c r="AF675" i="1"/>
  <c r="AF644" i="1"/>
  <c r="AF638" i="1"/>
  <c r="AF741" i="1"/>
  <c r="AF664" i="1"/>
  <c r="AF684" i="1"/>
  <c r="AF622" i="1"/>
  <c r="AF615" i="1"/>
  <c r="AF589" i="1"/>
  <c r="AF587" i="1"/>
  <c r="AF532" i="1"/>
  <c r="AF515" i="1"/>
  <c r="AF628" i="1"/>
  <c r="AF591" i="1"/>
  <c r="AF572" i="1"/>
  <c r="AF539" i="1"/>
  <c r="AF520" i="1"/>
  <c r="AF508" i="1"/>
  <c r="AF503" i="1"/>
  <c r="AF495" i="1"/>
  <c r="AF487" i="1"/>
  <c r="AF479" i="1"/>
  <c r="AF471" i="1"/>
  <c r="AF463" i="1"/>
  <c r="AF455" i="1"/>
  <c r="AF447" i="1"/>
  <c r="AF439" i="1"/>
  <c r="AF431" i="1"/>
  <c r="AF423" i="1"/>
  <c r="AF415" i="1"/>
  <c r="AF407" i="1"/>
  <c r="AF399" i="1"/>
  <c r="AF391" i="1"/>
  <c r="AF383" i="1"/>
  <c r="AF597" i="1"/>
  <c r="AF576" i="1"/>
  <c r="AF570" i="1"/>
  <c r="AF564" i="1"/>
  <c r="AF525" i="1"/>
  <c r="AF513" i="1"/>
  <c r="AF609" i="1"/>
  <c r="AF580" i="1"/>
  <c r="AF568" i="1"/>
  <c r="AF562" i="1"/>
  <c r="AF556" i="1"/>
  <c r="AF530" i="1"/>
  <c r="AF498" i="1"/>
  <c r="AF490" i="1"/>
  <c r="AF482" i="1"/>
  <c r="AF474" i="1"/>
  <c r="AF466" i="1"/>
  <c r="AF560" i="1"/>
  <c r="AF554" i="1"/>
  <c r="AF548" i="1"/>
  <c r="AF535" i="1"/>
  <c r="AF506" i="1"/>
  <c r="AF632" i="1"/>
  <c r="AF613" i="1"/>
  <c r="AF552" i="1"/>
  <c r="AF546" i="1"/>
  <c r="AF523" i="1"/>
  <c r="AF511" i="1"/>
  <c r="AF501" i="1"/>
  <c r="AF493" i="1"/>
  <c r="AF485" i="1"/>
  <c r="AF477" i="1"/>
  <c r="AF469" i="1"/>
  <c r="AF584" i="1"/>
  <c r="AF544" i="1"/>
  <c r="AF528" i="1"/>
  <c r="AF516" i="1"/>
  <c r="AF588" i="1"/>
  <c r="AF540" i="1"/>
  <c r="AF533" i="1"/>
  <c r="AF521" i="1"/>
  <c r="AF504" i="1"/>
  <c r="AF496" i="1"/>
  <c r="AF488" i="1"/>
  <c r="AF480" i="1"/>
  <c r="AF472" i="1"/>
  <c r="AF596" i="1"/>
  <c r="AF509" i="1"/>
  <c r="AF575" i="1"/>
  <c r="AF538" i="1"/>
  <c r="AF514" i="1"/>
  <c r="AF499" i="1"/>
  <c r="AF491" i="1"/>
  <c r="AF483" i="1"/>
  <c r="AF475" i="1"/>
  <c r="AF467" i="1"/>
  <c r="AF624" i="1"/>
  <c r="AF600" i="1"/>
  <c r="AF573" i="1"/>
  <c r="AF567" i="1"/>
  <c r="AF531" i="1"/>
  <c r="AF519" i="1"/>
  <c r="AF630" i="1"/>
  <c r="AF592" i="1"/>
  <c r="AF571" i="1"/>
  <c r="AF565" i="1"/>
  <c r="AF559" i="1"/>
  <c r="AF536" i="1"/>
  <c r="AF524" i="1"/>
  <c r="AF507" i="1"/>
  <c r="AF611" i="1"/>
  <c r="AF581" i="1"/>
  <c r="AF579" i="1"/>
  <c r="AF563" i="1"/>
  <c r="AF557" i="1"/>
  <c r="AF551" i="1"/>
  <c r="AF529" i="1"/>
  <c r="AF595" i="1"/>
  <c r="AF583" i="1"/>
  <c r="AF555" i="1"/>
  <c r="AF549" i="1"/>
  <c r="AF543" i="1"/>
  <c r="AF636" i="1"/>
  <c r="AF604" i="1"/>
  <c r="AF547" i="1"/>
  <c r="AF541" i="1"/>
  <c r="AF527" i="1"/>
  <c r="AF517" i="1"/>
  <c r="AF462" i="1"/>
  <c r="AF436" i="1"/>
  <c r="AF432" i="1"/>
  <c r="AF421" i="1"/>
  <c r="AF412" i="1"/>
  <c r="AF410" i="1"/>
  <c r="AF401" i="1"/>
  <c r="AF390" i="1"/>
  <c r="AF375" i="1"/>
  <c r="AF367" i="1"/>
  <c r="AF359" i="1"/>
  <c r="AF351" i="1"/>
  <c r="AF343" i="1"/>
  <c r="AF335" i="1"/>
  <c r="AF327" i="1"/>
  <c r="AF319" i="1"/>
  <c r="AF311" i="1"/>
  <c r="AF303" i="1"/>
  <c r="AF295" i="1"/>
  <c r="AF287" i="1"/>
  <c r="AF279" i="1"/>
  <c r="AF271" i="1"/>
  <c r="AF263" i="1"/>
  <c r="AF255" i="1"/>
  <c r="AF502" i="1"/>
  <c r="AF468" i="1"/>
  <c r="AF430" i="1"/>
  <c r="AF419" i="1"/>
  <c r="AF408" i="1"/>
  <c r="AF397" i="1"/>
  <c r="AF388" i="1"/>
  <c r="AF378" i="1"/>
  <c r="AF370" i="1"/>
  <c r="AF362" i="1"/>
  <c r="AF354" i="1"/>
  <c r="AF346" i="1"/>
  <c r="AF338" i="1"/>
  <c r="AF497" i="1"/>
  <c r="AF464" i="1"/>
  <c r="AF453" i="1"/>
  <c r="AF492" i="1"/>
  <c r="AF486" i="1"/>
  <c r="AF459" i="1"/>
  <c r="AF457" i="1"/>
  <c r="AF451" i="1"/>
  <c r="AF445" i="1"/>
  <c r="AF428" i="1"/>
  <c r="AF426" i="1"/>
  <c r="AF417" i="1"/>
  <c r="AF406" i="1"/>
  <c r="AF395" i="1"/>
  <c r="AF386" i="1"/>
  <c r="AF381" i="1"/>
  <c r="AF373" i="1"/>
  <c r="AF365" i="1"/>
  <c r="AF357" i="1"/>
  <c r="AF349" i="1"/>
  <c r="AF341" i="1"/>
  <c r="AF481" i="1"/>
  <c r="AF461" i="1"/>
  <c r="AF449" i="1"/>
  <c r="AF443" i="1"/>
  <c r="AF437" i="1"/>
  <c r="AF476" i="1"/>
  <c r="AF441" i="1"/>
  <c r="AF435" i="1"/>
  <c r="AF424" i="1"/>
  <c r="AF413" i="1"/>
  <c r="AF404" i="1"/>
  <c r="AF402" i="1"/>
  <c r="AF393" i="1"/>
  <c r="AF376" i="1"/>
  <c r="AF368" i="1"/>
  <c r="AF360" i="1"/>
  <c r="AF352" i="1"/>
  <c r="AF344" i="1"/>
  <c r="AF336" i="1"/>
  <c r="AF384" i="1"/>
  <c r="AF512" i="1"/>
  <c r="AF470" i="1"/>
  <c r="AF433" i="1"/>
  <c r="AF422" i="1"/>
  <c r="AF411" i="1"/>
  <c r="AF400" i="1"/>
  <c r="AF389" i="1"/>
  <c r="AF379" i="1"/>
  <c r="AF371" i="1"/>
  <c r="AF363" i="1"/>
  <c r="AF355" i="1"/>
  <c r="AF347" i="1"/>
  <c r="AF339" i="1"/>
  <c r="AF522" i="1"/>
  <c r="AF505" i="1"/>
  <c r="AF429" i="1"/>
  <c r="AF420" i="1"/>
  <c r="AF418" i="1"/>
  <c r="AF409" i="1"/>
  <c r="AF398" i="1"/>
  <c r="AF500" i="1"/>
  <c r="AF494" i="1"/>
  <c r="AF458" i="1"/>
  <c r="AF456" i="1"/>
  <c r="AF450" i="1"/>
  <c r="AF489" i="1"/>
  <c r="AF454" i="1"/>
  <c r="AF448" i="1"/>
  <c r="AF442" i="1"/>
  <c r="AF427" i="1"/>
  <c r="AF416" i="1"/>
  <c r="AF484" i="1"/>
  <c r="AF478" i="1"/>
  <c r="AF452" i="1"/>
  <c r="AF446" i="1"/>
  <c r="AF440" i="1"/>
  <c r="AF473" i="1"/>
  <c r="AF465" i="1"/>
  <c r="AF460" i="1"/>
  <c r="AF444" i="1"/>
  <c r="AF438" i="1"/>
  <c r="AF434" i="1"/>
  <c r="AF425" i="1"/>
  <c r="AF414" i="1"/>
  <c r="AF403" i="1"/>
  <c r="AF392" i="1"/>
  <c r="AF377" i="1"/>
  <c r="AF305" i="1"/>
  <c r="AF299" i="1"/>
  <c r="AF293" i="1"/>
  <c r="AF268" i="1"/>
  <c r="AF266" i="1"/>
  <c r="AF259" i="1"/>
  <c r="AF387" i="1"/>
  <c r="AF372" i="1"/>
  <c r="AF366" i="1"/>
  <c r="AF297" i="1"/>
  <c r="AF291" i="1"/>
  <c r="AF285" i="1"/>
  <c r="AF249" i="1"/>
  <c r="AF241" i="1"/>
  <c r="AF233" i="1"/>
  <c r="AF225" i="1"/>
  <c r="AF217" i="1"/>
  <c r="AF209" i="1"/>
  <c r="AF201" i="1"/>
  <c r="AF193" i="1"/>
  <c r="AF185" i="1"/>
  <c r="AF177" i="1"/>
  <c r="AF169" i="1"/>
  <c r="AF161" i="1"/>
  <c r="AF153" i="1"/>
  <c r="AF145" i="1"/>
  <c r="AF361" i="1"/>
  <c r="AF289" i="1"/>
  <c r="AF283" i="1"/>
  <c r="AF277" i="1"/>
  <c r="AF264" i="1"/>
  <c r="AF396" i="1"/>
  <c r="AF356" i="1"/>
  <c r="AF350" i="1"/>
  <c r="AF337" i="1"/>
  <c r="AF330" i="1"/>
  <c r="AF281" i="1"/>
  <c r="AF275" i="1"/>
  <c r="AF257" i="1"/>
  <c r="AF252" i="1"/>
  <c r="AF244" i="1"/>
  <c r="AF236" i="1"/>
  <c r="AF228" i="1"/>
  <c r="AF220" i="1"/>
  <c r="AF340" i="1"/>
  <c r="AF334" i="1"/>
  <c r="AF328" i="1"/>
  <c r="AF322" i="1"/>
  <c r="AF273" i="1"/>
  <c r="AF262" i="1"/>
  <c r="AF332" i="1"/>
  <c r="AF326" i="1"/>
  <c r="AF320" i="1"/>
  <c r="AF314" i="1"/>
  <c r="AF247" i="1"/>
  <c r="AF239" i="1"/>
  <c r="AF231" i="1"/>
  <c r="AF223" i="1"/>
  <c r="AF215" i="1"/>
  <c r="AF394" i="1"/>
  <c r="AF324" i="1"/>
  <c r="AF318" i="1"/>
  <c r="AF312" i="1"/>
  <c r="AF306" i="1"/>
  <c r="AF269" i="1"/>
  <c r="AF405" i="1"/>
  <c r="AF316" i="1"/>
  <c r="AF310" i="1"/>
  <c r="AF304" i="1"/>
  <c r="AF298" i="1"/>
  <c r="AF260" i="1"/>
  <c r="AF250" i="1"/>
  <c r="AF242" i="1"/>
  <c r="AF234" i="1"/>
  <c r="AF226" i="1"/>
  <c r="AF218" i="1"/>
  <c r="AF380" i="1"/>
  <c r="AF374" i="1"/>
  <c r="AF342" i="1"/>
  <c r="AF308" i="1"/>
  <c r="AF302" i="1"/>
  <c r="AF296" i="1"/>
  <c r="AF290" i="1"/>
  <c r="AF267" i="1"/>
  <c r="AF385" i="1"/>
  <c r="AF369" i="1"/>
  <c r="AF300" i="1"/>
  <c r="AF294" i="1"/>
  <c r="AF288" i="1"/>
  <c r="AF282" i="1"/>
  <c r="AF258" i="1"/>
  <c r="AF253" i="1"/>
  <c r="AF245" i="1"/>
  <c r="AF237" i="1"/>
  <c r="AF229" i="1"/>
  <c r="AF221" i="1"/>
  <c r="AF213" i="1"/>
  <c r="AF364" i="1"/>
  <c r="AF358" i="1"/>
  <c r="AF345" i="1"/>
  <c r="AF292" i="1"/>
  <c r="AF286" i="1"/>
  <c r="AF280" i="1"/>
  <c r="AF274" i="1"/>
  <c r="AF265" i="1"/>
  <c r="AF353" i="1"/>
  <c r="AF333" i="1"/>
  <c r="AF284" i="1"/>
  <c r="AF278" i="1"/>
  <c r="AF331" i="1"/>
  <c r="AF325" i="1"/>
  <c r="AF276" i="1"/>
  <c r="AF272" i="1"/>
  <c r="AF329" i="1"/>
  <c r="AF323" i="1"/>
  <c r="AF317" i="1"/>
  <c r="AF348" i="1"/>
  <c r="AF321" i="1"/>
  <c r="AF315" i="1"/>
  <c r="AF309" i="1"/>
  <c r="AF382" i="1"/>
  <c r="AF313" i="1"/>
  <c r="AF307" i="1"/>
  <c r="AF301" i="1"/>
  <c r="AF227" i="1"/>
  <c r="AF197" i="1"/>
  <c r="AF191" i="1"/>
  <c r="AF139" i="1"/>
  <c r="AF195" i="1"/>
  <c r="AF189" i="1"/>
  <c r="AF183" i="1"/>
  <c r="AF144" i="1"/>
  <c r="AF132" i="1"/>
  <c r="AF127" i="1"/>
  <c r="AF119" i="1"/>
  <c r="AF111" i="1"/>
  <c r="AF103" i="1"/>
  <c r="AF95" i="1"/>
  <c r="AF87" i="1"/>
  <c r="AF79" i="1"/>
  <c r="AF71" i="1"/>
  <c r="AF63" i="1"/>
  <c r="AF212" i="1"/>
  <c r="AF205" i="1"/>
  <c r="AF203" i="1"/>
  <c r="AF187" i="1"/>
  <c r="AF181" i="1"/>
  <c r="AF175" i="1"/>
  <c r="AF137" i="1"/>
  <c r="AF207" i="1"/>
  <c r="AF179" i="1"/>
  <c r="AF173" i="1"/>
  <c r="AF167" i="1"/>
  <c r="AF122" i="1"/>
  <c r="AF114" i="1"/>
  <c r="AF106" i="1"/>
  <c r="AF98" i="1"/>
  <c r="AF90" i="1"/>
  <c r="AF82" i="1"/>
  <c r="AF256" i="1"/>
  <c r="AF251" i="1"/>
  <c r="AF222" i="1"/>
  <c r="AF171" i="1"/>
  <c r="AF165" i="1"/>
  <c r="AF159" i="1"/>
  <c r="AF142" i="1"/>
  <c r="AF130" i="1"/>
  <c r="AF246" i="1"/>
  <c r="AF240" i="1"/>
  <c r="AF163" i="1"/>
  <c r="AF157" i="1"/>
  <c r="AF151" i="1"/>
  <c r="AF135" i="1"/>
  <c r="AF125" i="1"/>
  <c r="AF117" i="1"/>
  <c r="AF109" i="1"/>
  <c r="AF101" i="1"/>
  <c r="AF93" i="1"/>
  <c r="AF85" i="1"/>
  <c r="AF235" i="1"/>
  <c r="AF155" i="1"/>
  <c r="AF149" i="1"/>
  <c r="AF140" i="1"/>
  <c r="AF230" i="1"/>
  <c r="AF214" i="1"/>
  <c r="AF196" i="1"/>
  <c r="AF147" i="1"/>
  <c r="AF128" i="1"/>
  <c r="AF120" i="1"/>
  <c r="AF112" i="1"/>
  <c r="AF104" i="1"/>
  <c r="AF96" i="1"/>
  <c r="AF88" i="1"/>
  <c r="AF200" i="1"/>
  <c r="AF194" i="1"/>
  <c r="AF188" i="1"/>
  <c r="AF133" i="1"/>
  <c r="AF261" i="1"/>
  <c r="AF211" i="1"/>
  <c r="AF204" i="1"/>
  <c r="AF202" i="1"/>
  <c r="AF198" i="1"/>
  <c r="AF192" i="1"/>
  <c r="AF186" i="1"/>
  <c r="AF180" i="1"/>
  <c r="AF138" i="1"/>
  <c r="AF123" i="1"/>
  <c r="AF115" i="1"/>
  <c r="AF107" i="1"/>
  <c r="AF224" i="1"/>
  <c r="AF216" i="1"/>
  <c r="AF190" i="1"/>
  <c r="AF184" i="1"/>
  <c r="AF178" i="1"/>
  <c r="AF172" i="1"/>
  <c r="AF143" i="1"/>
  <c r="AF182" i="1"/>
  <c r="AF176" i="1"/>
  <c r="AF170" i="1"/>
  <c r="AF164" i="1"/>
  <c r="AF254" i="1"/>
  <c r="AF248" i="1"/>
  <c r="AF208" i="1"/>
  <c r="AF206" i="1"/>
  <c r="AF174" i="1"/>
  <c r="AF168" i="1"/>
  <c r="AF162" i="1"/>
  <c r="AF156" i="1"/>
  <c r="AF243" i="1"/>
  <c r="AF166" i="1"/>
  <c r="AF160" i="1"/>
  <c r="AF154" i="1"/>
  <c r="AF148" i="1"/>
  <c r="AF270" i="1"/>
  <c r="AF238" i="1"/>
  <c r="AF232" i="1"/>
  <c r="AF219" i="1"/>
  <c r="AF210" i="1"/>
  <c r="AF199" i="1"/>
  <c r="AF150" i="1"/>
  <c r="AF146" i="1"/>
  <c r="AF158" i="1"/>
  <c r="AF131" i="1"/>
  <c r="AF121" i="1"/>
  <c r="AF80" i="1"/>
  <c r="AF76" i="1"/>
  <c r="AF70" i="1"/>
  <c r="AF64" i="1"/>
  <c r="AF58" i="1"/>
  <c r="AF116" i="1"/>
  <c r="AF110" i="1"/>
  <c r="AF94" i="1"/>
  <c r="AF68" i="1"/>
  <c r="AF62" i="1"/>
  <c r="AF50" i="1"/>
  <c r="AF44" i="1"/>
  <c r="AF40" i="1"/>
  <c r="AF34" i="1"/>
  <c r="AF30" i="1"/>
  <c r="AF22" i="1"/>
  <c r="AF14" i="1"/>
  <c r="AF6" i="1"/>
  <c r="AF105" i="1"/>
  <c r="AF60" i="1"/>
  <c r="AF152" i="1"/>
  <c r="AF97" i="1"/>
  <c r="AF54" i="1"/>
  <c r="AF25" i="1"/>
  <c r="AF17" i="1"/>
  <c r="AF136" i="1"/>
  <c r="AF48" i="1"/>
  <c r="AF46" i="1"/>
  <c r="AF38" i="1"/>
  <c r="AF36" i="1"/>
  <c r="AF28" i="1"/>
  <c r="AF20" i="1"/>
  <c r="AF12" i="1"/>
  <c r="AF4" i="1"/>
  <c r="AF100" i="1"/>
  <c r="AF77" i="1"/>
  <c r="AF129" i="1"/>
  <c r="AF99" i="1"/>
  <c r="AF75" i="1"/>
  <c r="AF69" i="1"/>
  <c r="AF53" i="1"/>
  <c r="AF51" i="1"/>
  <c r="AF43" i="1"/>
  <c r="AF41" i="1"/>
  <c r="AF33" i="1"/>
  <c r="AF31" i="1"/>
  <c r="AF23" i="1"/>
  <c r="AF15" i="1"/>
  <c r="AF7" i="1"/>
  <c r="AF26" i="1"/>
  <c r="AF18" i="1"/>
  <c r="AF10" i="1"/>
  <c r="AF124" i="1"/>
  <c r="AF118" i="1"/>
  <c r="AF84" i="1"/>
  <c r="AF73" i="1"/>
  <c r="AF67" i="1"/>
  <c r="AF61" i="1"/>
  <c r="AF113" i="1"/>
  <c r="AF65" i="1"/>
  <c r="AF59" i="1"/>
  <c r="AF108" i="1"/>
  <c r="AF86" i="1"/>
  <c r="AF81" i="1"/>
  <c r="AF57" i="1"/>
  <c r="AF39" i="1"/>
  <c r="AF134" i="1"/>
  <c r="AF89" i="1"/>
  <c r="AF56" i="1"/>
  <c r="AF49" i="1"/>
  <c r="AF45" i="1"/>
  <c r="AF35" i="1"/>
  <c r="AF141" i="1"/>
  <c r="AF102" i="1"/>
  <c r="AF83" i="1"/>
  <c r="AF92" i="1"/>
  <c r="AF52" i="1"/>
  <c r="AF42" i="1"/>
  <c r="AF74" i="1"/>
  <c r="AF126" i="1"/>
  <c r="AF91" i="1"/>
  <c r="AF78" i="1"/>
  <c r="AF72" i="1"/>
  <c r="AF66" i="1"/>
  <c r="AF55" i="1"/>
  <c r="AF47" i="1"/>
  <c r="AF37" i="1"/>
  <c r="AF9" i="1"/>
  <c r="AF3" i="1"/>
  <c r="AF27" i="1"/>
  <c r="AF32" i="1"/>
  <c r="AF13" i="1"/>
  <c r="AF24" i="1"/>
  <c r="AF11" i="1"/>
  <c r="AF8" i="1"/>
  <c r="AF5" i="1"/>
  <c r="AF21" i="1"/>
  <c r="AF19" i="1"/>
  <c r="AF29" i="1"/>
  <c r="AF16" i="1"/>
  <c r="AH803" i="1" l="1"/>
  <c r="AH795" i="1"/>
  <c r="AH787" i="1"/>
  <c r="AH779" i="1"/>
  <c r="AH771" i="1"/>
  <c r="AH763" i="1"/>
  <c r="AH755" i="1"/>
  <c r="AH747" i="1"/>
  <c r="AH739" i="1"/>
  <c r="AH731" i="1"/>
  <c r="AH723" i="1"/>
  <c r="AH715" i="1"/>
  <c r="AH707" i="1"/>
  <c r="AH699" i="1"/>
  <c r="AH691" i="1"/>
  <c r="AH683" i="1"/>
  <c r="AH675" i="1"/>
  <c r="AH798" i="1"/>
  <c r="AH790" i="1"/>
  <c r="AH782" i="1"/>
  <c r="AH774" i="1"/>
  <c r="AH766" i="1"/>
  <c r="AH758" i="1"/>
  <c r="AH750" i="1"/>
  <c r="AH742" i="1"/>
  <c r="AH734" i="1"/>
  <c r="AH726" i="1"/>
  <c r="AH718" i="1"/>
  <c r="AH710" i="1"/>
  <c r="AH702" i="1"/>
  <c r="AH694" i="1"/>
  <c r="AH686" i="1"/>
  <c r="AH678" i="1"/>
  <c r="AH801" i="1"/>
  <c r="AH793" i="1"/>
  <c r="AH785" i="1"/>
  <c r="AH777" i="1"/>
  <c r="AH769" i="1"/>
  <c r="AH761" i="1"/>
  <c r="AH753" i="1"/>
  <c r="AH745" i="1"/>
  <c r="AH737" i="1"/>
  <c r="AH729" i="1"/>
  <c r="AH721" i="1"/>
  <c r="AH713" i="1"/>
  <c r="AH705" i="1"/>
  <c r="AH697" i="1"/>
  <c r="AH796" i="1"/>
  <c r="AH788" i="1"/>
  <c r="AH780" i="1"/>
  <c r="AH772" i="1"/>
  <c r="AH764" i="1"/>
  <c r="AH756" i="1"/>
  <c r="AH748" i="1"/>
  <c r="AH740" i="1"/>
  <c r="AH732" i="1"/>
  <c r="AH724" i="1"/>
  <c r="AH799" i="1"/>
  <c r="AH791" i="1"/>
  <c r="AH783" i="1"/>
  <c r="AH775" i="1"/>
  <c r="AH767" i="1"/>
  <c r="AH759" i="1"/>
  <c r="AH751" i="1"/>
  <c r="AH743" i="1"/>
  <c r="AH735" i="1"/>
  <c r="AH802" i="1"/>
  <c r="AH794" i="1"/>
  <c r="AH786" i="1"/>
  <c r="AH778" i="1"/>
  <c r="AH770" i="1"/>
  <c r="AH797" i="1"/>
  <c r="AH789" i="1"/>
  <c r="AH800" i="1"/>
  <c r="AH720" i="1"/>
  <c r="AH698" i="1"/>
  <c r="AH671" i="1"/>
  <c r="AH666" i="1"/>
  <c r="AH658" i="1"/>
  <c r="AH650" i="1"/>
  <c r="AH642" i="1"/>
  <c r="AH634" i="1"/>
  <c r="AH626" i="1"/>
  <c r="AH757" i="1"/>
  <c r="AH717" i="1"/>
  <c r="AH712" i="1"/>
  <c r="AH700" i="1"/>
  <c r="AH689" i="1"/>
  <c r="AH676" i="1"/>
  <c r="AH687" i="1"/>
  <c r="AH661" i="1"/>
  <c r="AH653" i="1"/>
  <c r="AH645" i="1"/>
  <c r="AH637" i="1"/>
  <c r="AH629" i="1"/>
  <c r="AH621" i="1"/>
  <c r="AH613" i="1"/>
  <c r="AH605" i="1"/>
  <c r="AH744" i="1"/>
  <c r="AH736" i="1"/>
  <c r="AH722" i="1"/>
  <c r="AH719" i="1"/>
  <c r="AH714" i="1"/>
  <c r="AH685" i="1"/>
  <c r="AH669" i="1"/>
  <c r="AH784" i="1"/>
  <c r="AH765" i="1"/>
  <c r="AH695" i="1"/>
  <c r="AH693" i="1"/>
  <c r="AH681" i="1"/>
  <c r="AH674" i="1"/>
  <c r="AH664" i="1"/>
  <c r="AH776" i="1"/>
  <c r="AH752" i="1"/>
  <c r="AH725" i="1"/>
  <c r="AH716" i="1"/>
  <c r="AH709" i="1"/>
  <c r="AH711" i="1"/>
  <c r="AH679" i="1"/>
  <c r="AH667" i="1"/>
  <c r="AH760" i="1"/>
  <c r="AH728" i="1"/>
  <c r="AH738" i="1"/>
  <c r="AH704" i="1"/>
  <c r="AH677" i="1"/>
  <c r="AH662" i="1"/>
  <c r="AH781" i="1"/>
  <c r="AH746" i="1"/>
  <c r="AH727" i="1"/>
  <c r="AH706" i="1"/>
  <c r="AH670" i="1"/>
  <c r="AH792" i="1"/>
  <c r="AH708" i="1"/>
  <c r="AH692" i="1"/>
  <c r="AH690" i="1"/>
  <c r="AH684" i="1"/>
  <c r="AH773" i="1"/>
  <c r="AH754" i="1"/>
  <c r="AH730" i="1"/>
  <c r="AH768" i="1"/>
  <c r="AH762" i="1"/>
  <c r="AH659" i="1"/>
  <c r="AH593" i="1"/>
  <c r="AH585" i="1"/>
  <c r="AH577" i="1"/>
  <c r="AH569" i="1"/>
  <c r="AH561" i="1"/>
  <c r="AH553" i="1"/>
  <c r="AH545" i="1"/>
  <c r="AH537" i="1"/>
  <c r="AH529" i="1"/>
  <c r="AH521" i="1"/>
  <c r="AH513" i="1"/>
  <c r="AH505" i="1"/>
  <c r="AH657" i="1"/>
  <c r="AH651" i="1"/>
  <c r="AH614" i="1"/>
  <c r="AH603" i="1"/>
  <c r="AH655" i="1"/>
  <c r="AH649" i="1"/>
  <c r="AH643" i="1"/>
  <c r="AH596" i="1"/>
  <c r="AH588" i="1"/>
  <c r="AH580" i="1"/>
  <c r="AH572" i="1"/>
  <c r="AH564" i="1"/>
  <c r="AH556" i="1"/>
  <c r="AH548" i="1"/>
  <c r="AH540" i="1"/>
  <c r="AH703" i="1"/>
  <c r="AH647" i="1"/>
  <c r="AH641" i="1"/>
  <c r="AH635" i="1"/>
  <c r="AH612" i="1"/>
  <c r="AH601" i="1"/>
  <c r="AH696" i="1"/>
  <c r="AH688" i="1"/>
  <c r="AH682" i="1"/>
  <c r="AH639" i="1"/>
  <c r="AH633" i="1"/>
  <c r="AH627" i="1"/>
  <c r="AH733" i="1"/>
  <c r="AH673" i="1"/>
  <c r="AH663" i="1"/>
  <c r="AH631" i="1"/>
  <c r="AH625" i="1"/>
  <c r="AH619" i="1"/>
  <c r="AH610" i="1"/>
  <c r="AH608" i="1"/>
  <c r="AH599" i="1"/>
  <c r="AH623" i="1"/>
  <c r="AH594" i="1"/>
  <c r="AH701" i="1"/>
  <c r="AH617" i="1"/>
  <c r="AH606" i="1"/>
  <c r="AH672" i="1"/>
  <c r="AH665" i="1"/>
  <c r="AH656" i="1"/>
  <c r="AH597" i="1"/>
  <c r="AH589" i="1"/>
  <c r="AH581" i="1"/>
  <c r="AH749" i="1"/>
  <c r="AH660" i="1"/>
  <c r="AH654" i="1"/>
  <c r="AH648" i="1"/>
  <c r="AH615" i="1"/>
  <c r="AH604" i="1"/>
  <c r="AH668" i="1"/>
  <c r="AH652" i="1"/>
  <c r="AH646" i="1"/>
  <c r="AH640" i="1"/>
  <c r="AH644" i="1"/>
  <c r="AH638" i="1"/>
  <c r="AH741" i="1"/>
  <c r="AH680" i="1"/>
  <c r="AH636" i="1"/>
  <c r="AH598" i="1"/>
  <c r="AH576" i="1"/>
  <c r="AH570" i="1"/>
  <c r="AH525" i="1"/>
  <c r="AH609" i="1"/>
  <c r="AH578" i="1"/>
  <c r="AH574" i="1"/>
  <c r="AH568" i="1"/>
  <c r="AH562" i="1"/>
  <c r="AH530" i="1"/>
  <c r="AH498" i="1"/>
  <c r="AH490" i="1"/>
  <c r="AH482" i="1"/>
  <c r="AH474" i="1"/>
  <c r="AH466" i="1"/>
  <c r="AH458" i="1"/>
  <c r="AH450" i="1"/>
  <c r="AH442" i="1"/>
  <c r="AH434" i="1"/>
  <c r="AH426" i="1"/>
  <c r="AH418" i="1"/>
  <c r="AH410" i="1"/>
  <c r="AH402" i="1"/>
  <c r="AH394" i="1"/>
  <c r="AH386" i="1"/>
  <c r="AH566" i="1"/>
  <c r="AH560" i="1"/>
  <c r="AH554" i="1"/>
  <c r="AH535" i="1"/>
  <c r="AH518" i="1"/>
  <c r="AH506" i="1"/>
  <c r="AH602" i="1"/>
  <c r="AH558" i="1"/>
  <c r="AH552" i="1"/>
  <c r="AH546" i="1"/>
  <c r="AH523" i="1"/>
  <c r="AH511" i="1"/>
  <c r="AH501" i="1"/>
  <c r="AH493" i="1"/>
  <c r="AH485" i="1"/>
  <c r="AH477" i="1"/>
  <c r="AH469" i="1"/>
  <c r="AH461" i="1"/>
  <c r="AH632" i="1"/>
  <c r="AH620" i="1"/>
  <c r="AH584" i="1"/>
  <c r="AH582" i="1"/>
  <c r="AH550" i="1"/>
  <c r="AH544" i="1"/>
  <c r="AH528" i="1"/>
  <c r="AH516" i="1"/>
  <c r="AH586" i="1"/>
  <c r="AH542" i="1"/>
  <c r="AH533" i="1"/>
  <c r="AH504" i="1"/>
  <c r="AH496" i="1"/>
  <c r="AH488" i="1"/>
  <c r="AH480" i="1"/>
  <c r="AH472" i="1"/>
  <c r="AH464" i="1"/>
  <c r="AH509" i="1"/>
  <c r="AH575" i="1"/>
  <c r="AH538" i="1"/>
  <c r="AH526" i="1"/>
  <c r="AH514" i="1"/>
  <c r="AH499" i="1"/>
  <c r="AH491" i="1"/>
  <c r="AH483" i="1"/>
  <c r="AH475" i="1"/>
  <c r="AH467" i="1"/>
  <c r="AH624" i="1"/>
  <c r="AH607" i="1"/>
  <c r="AH600" i="1"/>
  <c r="AH590" i="1"/>
  <c r="AH573" i="1"/>
  <c r="AH567" i="1"/>
  <c r="AH531" i="1"/>
  <c r="AH519" i="1"/>
  <c r="AH630" i="1"/>
  <c r="AH592" i="1"/>
  <c r="AH571" i="1"/>
  <c r="AH565" i="1"/>
  <c r="AH559" i="1"/>
  <c r="AH536" i="1"/>
  <c r="AH524" i="1"/>
  <c r="AH507" i="1"/>
  <c r="AH502" i="1"/>
  <c r="AH494" i="1"/>
  <c r="AH486" i="1"/>
  <c r="AH478" i="1"/>
  <c r="AH470" i="1"/>
  <c r="AH618" i="1"/>
  <c r="AH611" i="1"/>
  <c r="AH579" i="1"/>
  <c r="AH563" i="1"/>
  <c r="AH557" i="1"/>
  <c r="AH551" i="1"/>
  <c r="AH512" i="1"/>
  <c r="AH595" i="1"/>
  <c r="AH583" i="1"/>
  <c r="AH555" i="1"/>
  <c r="AH549" i="1"/>
  <c r="AH543" i="1"/>
  <c r="AH517" i="1"/>
  <c r="AH547" i="1"/>
  <c r="AH534" i="1"/>
  <c r="AH522" i="1"/>
  <c r="AH541" i="1"/>
  <c r="AH527" i="1"/>
  <c r="AH622" i="1"/>
  <c r="AH587" i="1"/>
  <c r="AH628" i="1"/>
  <c r="AH616" i="1"/>
  <c r="AH591" i="1"/>
  <c r="AH539" i="1"/>
  <c r="AH520" i="1"/>
  <c r="AH383" i="1"/>
  <c r="AH468" i="1"/>
  <c r="AH430" i="1"/>
  <c r="AH419" i="1"/>
  <c r="AH408" i="1"/>
  <c r="AH399" i="1"/>
  <c r="AH397" i="1"/>
  <c r="AH388" i="1"/>
  <c r="AH378" i="1"/>
  <c r="AH370" i="1"/>
  <c r="AH362" i="1"/>
  <c r="AH354" i="1"/>
  <c r="AH346" i="1"/>
  <c r="AH338" i="1"/>
  <c r="AH330" i="1"/>
  <c r="AH322" i="1"/>
  <c r="AH314" i="1"/>
  <c r="AH306" i="1"/>
  <c r="AH298" i="1"/>
  <c r="AH290" i="1"/>
  <c r="AH282" i="1"/>
  <c r="AH274" i="1"/>
  <c r="AH266" i="1"/>
  <c r="AH258" i="1"/>
  <c r="AH503" i="1"/>
  <c r="AH497" i="1"/>
  <c r="AH453" i="1"/>
  <c r="AH532" i="1"/>
  <c r="AH492" i="1"/>
  <c r="AH457" i="1"/>
  <c r="AH451" i="1"/>
  <c r="AH445" i="1"/>
  <c r="AH428" i="1"/>
  <c r="AH417" i="1"/>
  <c r="AH406" i="1"/>
  <c r="AH395" i="1"/>
  <c r="AH381" i="1"/>
  <c r="AH373" i="1"/>
  <c r="AH365" i="1"/>
  <c r="AH357" i="1"/>
  <c r="AH349" i="1"/>
  <c r="AH341" i="1"/>
  <c r="AH515" i="1"/>
  <c r="AH508" i="1"/>
  <c r="AH487" i="1"/>
  <c r="AH481" i="1"/>
  <c r="AH459" i="1"/>
  <c r="AH455" i="1"/>
  <c r="AH449" i="1"/>
  <c r="AH443" i="1"/>
  <c r="AH437" i="1"/>
  <c r="AH476" i="1"/>
  <c r="AH447" i="1"/>
  <c r="AH441" i="1"/>
  <c r="AH435" i="1"/>
  <c r="AH424" i="1"/>
  <c r="AH415" i="1"/>
  <c r="AH413" i="1"/>
  <c r="AH404" i="1"/>
  <c r="AH393" i="1"/>
  <c r="AH376" i="1"/>
  <c r="AH368" i="1"/>
  <c r="AH360" i="1"/>
  <c r="AH352" i="1"/>
  <c r="AH344" i="1"/>
  <c r="AH336" i="1"/>
  <c r="AH439" i="1"/>
  <c r="AH384" i="1"/>
  <c r="AH471" i="1"/>
  <c r="AH433" i="1"/>
  <c r="AH422" i="1"/>
  <c r="AH411" i="1"/>
  <c r="AH400" i="1"/>
  <c r="AH391" i="1"/>
  <c r="AH389" i="1"/>
  <c r="AH379" i="1"/>
  <c r="AH371" i="1"/>
  <c r="AH363" i="1"/>
  <c r="AH355" i="1"/>
  <c r="AH347" i="1"/>
  <c r="AH339" i="1"/>
  <c r="AH431" i="1"/>
  <c r="AH429" i="1"/>
  <c r="AH420" i="1"/>
  <c r="AH409" i="1"/>
  <c r="AH398" i="1"/>
  <c r="AH382" i="1"/>
  <c r="AH374" i="1"/>
  <c r="AH366" i="1"/>
  <c r="AH358" i="1"/>
  <c r="AH350" i="1"/>
  <c r="AH342" i="1"/>
  <c r="AH500" i="1"/>
  <c r="AH463" i="1"/>
  <c r="AH456" i="1"/>
  <c r="AH387" i="1"/>
  <c r="AH495" i="1"/>
  <c r="AH489" i="1"/>
  <c r="AH454" i="1"/>
  <c r="AH448" i="1"/>
  <c r="AH427" i="1"/>
  <c r="AH416" i="1"/>
  <c r="AH407" i="1"/>
  <c r="AH405" i="1"/>
  <c r="AH396" i="1"/>
  <c r="AH484" i="1"/>
  <c r="AH452" i="1"/>
  <c r="AH446" i="1"/>
  <c r="AH440" i="1"/>
  <c r="AH479" i="1"/>
  <c r="AH473" i="1"/>
  <c r="AH465" i="1"/>
  <c r="AH460" i="1"/>
  <c r="AH444" i="1"/>
  <c r="AH438" i="1"/>
  <c r="AH425" i="1"/>
  <c r="AH414" i="1"/>
  <c r="AH510" i="1"/>
  <c r="AH462" i="1"/>
  <c r="AH436" i="1"/>
  <c r="AH432" i="1"/>
  <c r="AH423" i="1"/>
  <c r="AH421" i="1"/>
  <c r="AH412" i="1"/>
  <c r="AH401" i="1"/>
  <c r="AH390" i="1"/>
  <c r="AH367" i="1"/>
  <c r="AH361" i="1"/>
  <c r="AH295" i="1"/>
  <c r="AH289" i="1"/>
  <c r="AH283" i="1"/>
  <c r="AH277" i="1"/>
  <c r="AH264" i="1"/>
  <c r="AH356" i="1"/>
  <c r="AH337" i="1"/>
  <c r="AH287" i="1"/>
  <c r="AH281" i="1"/>
  <c r="AH275" i="1"/>
  <c r="AH257" i="1"/>
  <c r="AH252" i="1"/>
  <c r="AH244" i="1"/>
  <c r="AH236" i="1"/>
  <c r="AH228" i="1"/>
  <c r="AH220" i="1"/>
  <c r="AH212" i="1"/>
  <c r="AH204" i="1"/>
  <c r="AH196" i="1"/>
  <c r="AH188" i="1"/>
  <c r="AH180" i="1"/>
  <c r="AH172" i="1"/>
  <c r="AH164" i="1"/>
  <c r="AH156" i="1"/>
  <c r="AH148" i="1"/>
  <c r="AH351" i="1"/>
  <c r="AH340" i="1"/>
  <c r="AH334" i="1"/>
  <c r="AH328" i="1"/>
  <c r="AH279" i="1"/>
  <c r="AH273" i="1"/>
  <c r="AH262" i="1"/>
  <c r="AH332" i="1"/>
  <c r="AH326" i="1"/>
  <c r="AH320" i="1"/>
  <c r="AH247" i="1"/>
  <c r="AH239" i="1"/>
  <c r="AH231" i="1"/>
  <c r="AH223" i="1"/>
  <c r="AH343" i="1"/>
  <c r="AH324" i="1"/>
  <c r="AH318" i="1"/>
  <c r="AH312" i="1"/>
  <c r="AH271" i="1"/>
  <c r="AH269" i="1"/>
  <c r="AH255" i="1"/>
  <c r="AH316" i="1"/>
  <c r="AH310" i="1"/>
  <c r="AH304" i="1"/>
  <c r="AH260" i="1"/>
  <c r="AH250" i="1"/>
  <c r="AH242" i="1"/>
  <c r="AH234" i="1"/>
  <c r="AH226" i="1"/>
  <c r="AH218" i="1"/>
  <c r="AH210" i="1"/>
  <c r="AH380" i="1"/>
  <c r="AH308" i="1"/>
  <c r="AH302" i="1"/>
  <c r="AH296" i="1"/>
  <c r="AH267" i="1"/>
  <c r="AH385" i="1"/>
  <c r="AH375" i="1"/>
  <c r="AH369" i="1"/>
  <c r="AH300" i="1"/>
  <c r="AH294" i="1"/>
  <c r="AH288" i="1"/>
  <c r="AH253" i="1"/>
  <c r="AH245" i="1"/>
  <c r="AH237" i="1"/>
  <c r="AH229" i="1"/>
  <c r="AH221" i="1"/>
  <c r="AH364" i="1"/>
  <c r="AH345" i="1"/>
  <c r="AH292" i="1"/>
  <c r="AH286" i="1"/>
  <c r="AH280" i="1"/>
  <c r="AH265" i="1"/>
  <c r="AH403" i="1"/>
  <c r="AH392" i="1"/>
  <c r="AH359" i="1"/>
  <c r="AH353" i="1"/>
  <c r="AH333" i="1"/>
  <c r="AH284" i="1"/>
  <c r="AH278" i="1"/>
  <c r="AH248" i="1"/>
  <c r="AH240" i="1"/>
  <c r="AH232" i="1"/>
  <c r="AH224" i="1"/>
  <c r="AH216" i="1"/>
  <c r="AH208" i="1"/>
  <c r="AH331" i="1"/>
  <c r="AH325" i="1"/>
  <c r="AH276" i="1"/>
  <c r="AH272" i="1"/>
  <c r="AH263" i="1"/>
  <c r="AH256" i="1"/>
  <c r="AH329" i="1"/>
  <c r="AH323" i="1"/>
  <c r="AH317" i="1"/>
  <c r="AH261" i="1"/>
  <c r="AH348" i="1"/>
  <c r="AH327" i="1"/>
  <c r="AH321" i="1"/>
  <c r="AH315" i="1"/>
  <c r="AH309" i="1"/>
  <c r="AH270" i="1"/>
  <c r="AH319" i="1"/>
  <c r="AH313" i="1"/>
  <c r="AH307" i="1"/>
  <c r="AH301" i="1"/>
  <c r="AH377" i="1"/>
  <c r="AH335" i="1"/>
  <c r="AH311" i="1"/>
  <c r="AH305" i="1"/>
  <c r="AH299" i="1"/>
  <c r="AH293" i="1"/>
  <c r="AH372" i="1"/>
  <c r="AH303" i="1"/>
  <c r="AH297" i="1"/>
  <c r="AH291" i="1"/>
  <c r="AH285" i="1"/>
  <c r="AH268" i="1"/>
  <c r="AH203" i="1"/>
  <c r="AH201" i="1"/>
  <c r="AH193" i="1"/>
  <c r="AH187" i="1"/>
  <c r="AH181" i="1"/>
  <c r="AH175" i="1"/>
  <c r="AH207" i="1"/>
  <c r="AH205" i="1"/>
  <c r="AH185" i="1"/>
  <c r="AH179" i="1"/>
  <c r="AH173" i="1"/>
  <c r="AH167" i="1"/>
  <c r="AH137" i="1"/>
  <c r="AH122" i="1"/>
  <c r="AH114" i="1"/>
  <c r="AH106" i="1"/>
  <c r="AH98" i="1"/>
  <c r="AH90" i="1"/>
  <c r="AH82" i="1"/>
  <c r="AH74" i="1"/>
  <c r="AH66" i="1"/>
  <c r="AH58" i="1"/>
  <c r="AH56" i="1"/>
  <c r="AH251" i="1"/>
  <c r="AH222" i="1"/>
  <c r="AH177" i="1"/>
  <c r="AH171" i="1"/>
  <c r="AH165" i="1"/>
  <c r="AH159" i="1"/>
  <c r="AH142" i="1"/>
  <c r="AH130" i="1"/>
  <c r="AH246" i="1"/>
  <c r="AH169" i="1"/>
  <c r="AH163" i="1"/>
  <c r="AH157" i="1"/>
  <c r="AH151" i="1"/>
  <c r="AH135" i="1"/>
  <c r="AH125" i="1"/>
  <c r="AH117" i="1"/>
  <c r="AH109" i="1"/>
  <c r="AH101" i="1"/>
  <c r="AH93" i="1"/>
  <c r="AH85" i="1"/>
  <c r="AH241" i="1"/>
  <c r="AH235" i="1"/>
  <c r="AH161" i="1"/>
  <c r="AH155" i="1"/>
  <c r="AH149" i="1"/>
  <c r="AH140" i="1"/>
  <c r="AH230" i="1"/>
  <c r="AH214" i="1"/>
  <c r="AH209" i="1"/>
  <c r="AH153" i="1"/>
  <c r="AH147" i="1"/>
  <c r="AH128" i="1"/>
  <c r="AH120" i="1"/>
  <c r="AH112" i="1"/>
  <c r="AH104" i="1"/>
  <c r="AH96" i="1"/>
  <c r="AH88" i="1"/>
  <c r="AH80" i="1"/>
  <c r="AH217" i="1"/>
  <c r="AH200" i="1"/>
  <c r="AH194" i="1"/>
  <c r="AH133" i="1"/>
  <c r="AH211" i="1"/>
  <c r="AH202" i="1"/>
  <c r="AH198" i="1"/>
  <c r="AH192" i="1"/>
  <c r="AH186" i="1"/>
  <c r="AH145" i="1"/>
  <c r="AH138" i="1"/>
  <c r="AH123" i="1"/>
  <c r="AH115" i="1"/>
  <c r="AH107" i="1"/>
  <c r="AH99" i="1"/>
  <c r="AH91" i="1"/>
  <c r="AH225" i="1"/>
  <c r="AH190" i="1"/>
  <c r="AH184" i="1"/>
  <c r="AH178" i="1"/>
  <c r="AH143" i="1"/>
  <c r="AH182" i="1"/>
  <c r="AH176" i="1"/>
  <c r="AH170" i="1"/>
  <c r="AH131" i="1"/>
  <c r="AH126" i="1"/>
  <c r="AH118" i="1"/>
  <c r="AH110" i="1"/>
  <c r="AH254" i="1"/>
  <c r="AH206" i="1"/>
  <c r="AH174" i="1"/>
  <c r="AH168" i="1"/>
  <c r="AH162" i="1"/>
  <c r="AH136" i="1"/>
  <c r="AH249" i="1"/>
  <c r="AH243" i="1"/>
  <c r="AH213" i="1"/>
  <c r="AH166" i="1"/>
  <c r="AH160" i="1"/>
  <c r="AH154" i="1"/>
  <c r="AH141" i="1"/>
  <c r="AH238" i="1"/>
  <c r="AH219" i="1"/>
  <c r="AH158" i="1"/>
  <c r="AH152" i="1"/>
  <c r="AH233" i="1"/>
  <c r="AH199" i="1"/>
  <c r="AH150" i="1"/>
  <c r="AH259" i="1"/>
  <c r="AH227" i="1"/>
  <c r="AH197" i="1"/>
  <c r="AH191" i="1"/>
  <c r="AH215" i="1"/>
  <c r="AH195" i="1"/>
  <c r="AH189" i="1"/>
  <c r="AH183" i="1"/>
  <c r="AH144" i="1"/>
  <c r="AH139" i="1"/>
  <c r="AH111" i="1"/>
  <c r="AH105" i="1"/>
  <c r="AH60" i="1"/>
  <c r="AH97" i="1"/>
  <c r="AH54" i="1"/>
  <c r="AH25" i="1"/>
  <c r="AH17" i="1"/>
  <c r="AH9" i="1"/>
  <c r="AH48" i="1"/>
  <c r="AH46" i="1"/>
  <c r="AH38" i="1"/>
  <c r="AH36" i="1"/>
  <c r="AH28" i="1"/>
  <c r="AH20" i="1"/>
  <c r="AH100" i="1"/>
  <c r="AH77" i="1"/>
  <c r="AH87" i="1"/>
  <c r="AH75" i="1"/>
  <c r="AH69" i="1"/>
  <c r="AH53" i="1"/>
  <c r="AH51" i="1"/>
  <c r="AH43" i="1"/>
  <c r="AH41" i="1"/>
  <c r="AH33" i="1"/>
  <c r="AH31" i="1"/>
  <c r="AH23" i="1"/>
  <c r="AH15" i="1"/>
  <c r="AH7" i="1"/>
  <c r="AH146" i="1"/>
  <c r="AH129" i="1"/>
  <c r="AH124" i="1"/>
  <c r="AH84" i="1"/>
  <c r="AH73" i="1"/>
  <c r="AH67" i="1"/>
  <c r="AH61" i="1"/>
  <c r="AH119" i="1"/>
  <c r="AH113" i="1"/>
  <c r="AH79" i="1"/>
  <c r="AH71" i="1"/>
  <c r="AH65" i="1"/>
  <c r="AH59" i="1"/>
  <c r="AH26" i="1"/>
  <c r="AH18" i="1"/>
  <c r="AH10" i="1"/>
  <c r="AH21" i="1"/>
  <c r="AH108" i="1"/>
  <c r="AH86" i="1"/>
  <c r="AH81" i="1"/>
  <c r="AH63" i="1"/>
  <c r="AH57" i="1"/>
  <c r="AH29" i="1"/>
  <c r="AH13" i="1"/>
  <c r="AH5" i="1"/>
  <c r="AH134" i="1"/>
  <c r="AH89" i="1"/>
  <c r="AH49" i="1"/>
  <c r="AH45" i="1"/>
  <c r="AH39" i="1"/>
  <c r="AH35" i="1"/>
  <c r="AH103" i="1"/>
  <c r="AH102" i="1"/>
  <c r="AH92" i="1"/>
  <c r="AH83" i="1"/>
  <c r="AH52" i="1"/>
  <c r="AH42" i="1"/>
  <c r="AH95" i="1"/>
  <c r="AH78" i="1"/>
  <c r="AH72" i="1"/>
  <c r="AH55" i="1"/>
  <c r="AH47" i="1"/>
  <c r="AH37" i="1"/>
  <c r="AH127" i="1"/>
  <c r="AH121" i="1"/>
  <c r="AH76" i="1"/>
  <c r="AH70" i="1"/>
  <c r="AH64" i="1"/>
  <c r="AH132" i="1"/>
  <c r="AH116" i="1"/>
  <c r="AH94" i="1"/>
  <c r="AH68" i="1"/>
  <c r="AH62" i="1"/>
  <c r="AH50" i="1"/>
  <c r="AH44" i="1"/>
  <c r="AH40" i="1"/>
  <c r="AH34" i="1"/>
  <c r="AH12" i="1"/>
  <c r="AH3" i="1"/>
  <c r="AH11" i="1"/>
  <c r="AH6" i="1"/>
  <c r="AH24" i="1"/>
  <c r="AH8" i="1"/>
  <c r="AH32" i="1"/>
  <c r="AH27" i="1"/>
  <c r="AH14" i="1"/>
  <c r="AH19" i="1"/>
  <c r="AH16" i="1"/>
  <c r="AH30" i="1"/>
  <c r="AH22" i="1"/>
  <c r="AH4" i="1"/>
</calcChain>
</file>

<file path=xl/sharedStrings.xml><?xml version="1.0" encoding="utf-8"?>
<sst xmlns="http://schemas.openxmlformats.org/spreadsheetml/2006/main" count="164" uniqueCount="68">
  <si>
    <t>2Theta</t>
  </si>
  <si>
    <t>Constantes</t>
  </si>
  <si>
    <t>Elemento</t>
  </si>
  <si>
    <t>a1</t>
  </si>
  <si>
    <t>b1</t>
  </si>
  <si>
    <t>a2</t>
  </si>
  <si>
    <t>b2</t>
  </si>
  <si>
    <t>a3</t>
  </si>
  <si>
    <t>b3</t>
  </si>
  <si>
    <t>a4</t>
  </si>
  <si>
    <t>b4</t>
  </si>
  <si>
    <t>c</t>
  </si>
  <si>
    <t>H_h(100nm)</t>
  </si>
  <si>
    <t>H_h(50nm)</t>
  </si>
  <si>
    <t>H_h(10nm)</t>
  </si>
  <si>
    <t>Parametro de rede (BaTiO4)</t>
  </si>
  <si>
    <t>A</t>
  </si>
  <si>
    <t>Ba2+</t>
  </si>
  <si>
    <t>Parametro de rede (CaTiO4)</t>
  </si>
  <si>
    <t>Ti4+</t>
  </si>
  <si>
    <t>Kα do cobre</t>
  </si>
  <si>
    <t>O2-</t>
  </si>
  <si>
    <t>Tamanho do cristal t de 100 nm</t>
  </si>
  <si>
    <t>Ca2+</t>
  </si>
  <si>
    <t>Tamanho do cristal t de 50 nm</t>
  </si>
  <si>
    <t>Tamanho do cristal t de 10 nm</t>
  </si>
  <si>
    <t>Bário</t>
  </si>
  <si>
    <t>Planos</t>
  </si>
  <si>
    <t>Cálculos de Ângulo e Geometria</t>
  </si>
  <si>
    <t>Fatores de forma</t>
  </si>
  <si>
    <t>Intensidade e Perfil do Pico</t>
  </si>
  <si>
    <t>h</t>
  </si>
  <si>
    <t xml:space="preserve"> k</t>
  </si>
  <si>
    <t xml:space="preserve"> l</t>
  </si>
  <si>
    <t>D-hkl</t>
  </si>
  <si>
    <t>Seno(theta)</t>
  </si>
  <si>
    <t>Theta (rad)</t>
  </si>
  <si>
    <t>2Theta (graus)</t>
  </si>
  <si>
    <t>Ff-Bário</t>
  </si>
  <si>
    <t>Ff - Titânio</t>
  </si>
  <si>
    <t>Ff- Oxigênio</t>
  </si>
  <si>
    <t>Multiplicidade (p)</t>
  </si>
  <si>
    <t xml:space="preserve"> F_h</t>
  </si>
  <si>
    <t xml:space="preserve"> Fator Lorentz-Polarização</t>
  </si>
  <si>
    <t xml:space="preserve"> I_h</t>
  </si>
  <si>
    <t>B_h (100nm)</t>
  </si>
  <si>
    <t>H_h (100nm)</t>
  </si>
  <si>
    <t>B_h (50nm)</t>
  </si>
  <si>
    <t>H_h (50nm)</t>
  </si>
  <si>
    <t>B_h (10nm)</t>
  </si>
  <si>
    <t>H_h (10nm)</t>
  </si>
  <si>
    <t>Calcio</t>
  </si>
  <si>
    <t>Ff-Calcio</t>
  </si>
  <si>
    <t xml:space="preserve">perovskitas mistas </t>
  </si>
  <si>
    <t>Ff-Mistura</t>
  </si>
  <si>
    <t xml:space="preserve">
$Ba_{0,75}Ca_{0,25}TiO_3$
</t>
  </si>
  <si>
    <t>pARAMETRO DE REDE</t>
  </si>
  <si>
    <t>X</t>
  </si>
  <si>
    <t xml:space="preserve">
$Ba_{0,50}Ca_{0,50}TiO_3$
</t>
  </si>
  <si>
    <t xml:space="preserve">
$Ba_{0,25}Ca_{0,75}TiO_3$
</t>
  </si>
  <si>
    <t>BaTiO3</t>
  </si>
  <si>
    <t>CaTiO3</t>
  </si>
  <si>
    <t>, x = 0,25</t>
  </si>
  <si>
    <t>, x = 0,5</t>
  </si>
  <si>
    <t>, x = 0,75</t>
  </si>
  <si>
    <t>, x = 1</t>
  </si>
  <si>
    <t>, x = 0</t>
  </si>
  <si>
    <t>(Ba(1−x)Cax)TiO3, t = 10nm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</si>
</sst>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</font>
    <font>
      <b/>
      <i/>
      <sz val="12"/>
      <color rgb="FF000000"/>
      <name val="Arial"/>
    </font>
    <font>
      <b/>
      <sz val="10"/>
      <color theme="1"/>
      <name val="Arial"/>
      <scheme val="minor"/>
    </font>
    <font>
      <sz val="10"/>
      <name val="Arial"/>
    </font>
    <font>
      <sz val="12"/>
      <color rgb="FF000000"/>
      <name val="Arial"/>
    </font>
    <font>
      <sz val="12"/>
      <color theme="1"/>
      <name val="Arial"/>
      <scheme val="minor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2"/>
      <color theme="1"/>
      <name val="Arial"/>
    </font>
    <font>
      <sz val="10"/>
      <color theme="1"/>
      <name val="Arial"/>
      <scheme val="minor"/>
    </font>
    <font>
      <sz val="12"/>
      <color rgb="FF1F1F1F"/>
      <name val="&quot;Google Sans Text&quot;"/>
    </font>
    <font>
      <b/>
      <sz val="12"/>
      <color rgb="FF1F1F1F"/>
      <name val="&quot;Google Sans Text&quot;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164" fontId="2" fillId="0" borderId="0" xfId="0" applyNumberFormat="1" applyFont="1" applyAlignment="1"/>
    <xf numFmtId="164" fontId="3" fillId="0" borderId="0" xfId="0" applyNumberFormat="1" applyFont="1" applyAlignment="1"/>
    <xf numFmtId="164" fontId="1" fillId="0" borderId="0" xfId="0" applyNumberFormat="1" applyFont="1" applyAlignment="1"/>
    <xf numFmtId="164" fontId="1" fillId="0" borderId="0" xfId="0" applyNumberFormat="1" applyFont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6" fillId="0" borderId="4" xfId="0" applyNumberFormat="1" applyFont="1" applyBorder="1" applyAlignment="1"/>
    <xf numFmtId="164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4" fontId="2" fillId="0" borderId="4" xfId="0" applyNumberFormat="1" applyFont="1" applyBorder="1" applyAlignment="1"/>
    <xf numFmtId="164" fontId="8" fillId="2" borderId="4" xfId="0" applyNumberFormat="1" applyFont="1" applyFill="1" applyBorder="1" applyAlignment="1">
      <alignment horizontal="center"/>
    </xf>
    <xf numFmtId="164" fontId="9" fillId="0" borderId="4" xfId="0" applyNumberFormat="1" applyFont="1" applyBorder="1" applyAlignment="1"/>
    <xf numFmtId="164" fontId="10" fillId="3" borderId="4" xfId="0" applyNumberFormat="1" applyFont="1" applyFill="1" applyBorder="1" applyAlignment="1">
      <alignment horizontal="center"/>
    </xf>
    <xf numFmtId="164" fontId="7" fillId="0" borderId="4" xfId="0" applyNumberFormat="1" applyFont="1" applyBorder="1"/>
    <xf numFmtId="164" fontId="10" fillId="3" borderId="4" xfId="0" applyNumberFormat="1" applyFont="1" applyFill="1" applyBorder="1" applyAlignment="1">
      <alignment horizontal="center"/>
    </xf>
    <xf numFmtId="164" fontId="10" fillId="4" borderId="4" xfId="0" applyNumberFormat="1" applyFont="1" applyFill="1" applyBorder="1" applyAlignment="1">
      <alignment horizontal="center"/>
    </xf>
    <xf numFmtId="164" fontId="10" fillId="4" borderId="4" xfId="0" applyNumberFormat="1" applyFont="1" applyFill="1" applyBorder="1" applyAlignment="1">
      <alignment horizontal="center"/>
    </xf>
    <xf numFmtId="164" fontId="7" fillId="5" borderId="4" xfId="0" applyNumberFormat="1" applyFont="1" applyFill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/>
    </xf>
    <xf numFmtId="164" fontId="12" fillId="0" borderId="4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5" fillId="0" borderId="7" xfId="0" applyFont="1" applyBorder="1"/>
    <xf numFmtId="164" fontId="7" fillId="0" borderId="1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4" fontId="7" fillId="5" borderId="1" xfId="0" applyNumberFormat="1" applyFont="1" applyFill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5" fillId="0" borderId="6" xfId="0" applyFont="1" applyBorder="1"/>
    <xf numFmtId="164" fontId="4" fillId="2" borderId="0" xfId="0" applyNumberFormat="1" applyFont="1" applyFill="1" applyAlignment="1">
      <alignment horizontal="center" vertical="center"/>
    </xf>
    <xf numFmtId="0" fontId="0" fillId="0" borderId="0" xfId="0" applyFont="1" applyAlignment="1"/>
    <xf numFmtId="164" fontId="2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3" xfId="0" applyFont="1" applyFill="1" applyBorder="1"/>
  </cellXfs>
  <cellStyles count="1">
    <cellStyle name="Normal" xfId="0" builtinId="0"/>
  </cellStyles>
  <dxfs count="1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>
    <tableStyle name="Fatores de forma-style" pivot="0" count="3">
      <tableStyleElement type="headerRow" dxfId="17"/>
      <tableStyleElement type="firstRowStripe" dxfId="16"/>
      <tableStyleElement type="secondRowStripe" dxfId="15"/>
    </tableStyle>
    <tableStyle name="Fatores de forma-style 2" pivot="0" count="3">
      <tableStyleElement type="headerRow" dxfId="14"/>
      <tableStyleElement type="firstRowStripe" dxfId="13"/>
      <tableStyleElement type="secondRowStripe" dxfId="12"/>
    </tableStyle>
    <tableStyle name="Fatores de forma-style 3" pivot="0" count="3">
      <tableStyleElement type="headerRow" dxfId="11"/>
      <tableStyleElement type="firstRowStripe" dxfId="10"/>
      <tableStyleElement type="secondRowStripe" dxfId="9"/>
    </tableStyle>
    <tableStyle name="Fatores de forma-style 4" pivot="0" count="3">
      <tableStyleElement type="headerRow" dxfId="8"/>
      <tableStyleElement type="firstRowStripe" dxfId="7"/>
      <tableStyleElement type="secondRowStripe" dxfId="6"/>
    </tableStyle>
    <tableStyle name="Fatores de forma-style 5" pivot="0" count="3">
      <tableStyleElement type="headerRow" dxfId="5"/>
      <tableStyleElement type="firstRowStripe" dxfId="4"/>
      <tableStyleElement type="secondRowStripe" dxfId="3"/>
    </tableStyle>
    <tableStyle name="Fatores de forma-style 6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Difratogramas de raios-x do CaTiO3 - Calculado</a:t>
            </a:r>
            <a:endParaRPr lang="pt-BR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'Fatores de forma'!$AA$1:$AA$2</c:f>
              <c:strCache>
                <c:ptCount val="1"/>
                <c:pt idx="0">
                  <c:v>CaTiO3 H_h(100nm)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forma'!$AA$3:$AA$804</c:f>
              <c:numCache>
                <c:formatCode>0.00000</c:formatCode>
                <c:ptCount val="8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1.6097512220789085E-300</c:v>
                </c:pt>
                <c:pt idx="15">
                  <c:v>1.732081832392844E-286</c:v>
                </c:pt>
                <c:pt idx="16">
                  <c:v>8.7092412320502233E-273</c:v>
                </c:pt>
                <c:pt idx="17">
                  <c:v>2.0464187393172956E-259</c:v>
                </c:pt>
                <c:pt idx="18">
                  <c:v>2.2470408029722746E-246</c:v>
                </c:pt>
                <c:pt idx="19">
                  <c:v>1.1530009995261555E-233</c:v>
                </c:pt>
                <c:pt idx="20">
                  <c:v>2.7647169776193211E-221</c:v>
                </c:pt>
                <c:pt idx="21">
                  <c:v>3.0979467299228131E-209</c:v>
                </c:pt>
                <c:pt idx="22">
                  <c:v>1.6221816426634857E-197</c:v>
                </c:pt>
                <c:pt idx="23">
                  <c:v>3.9694221583601179E-186</c:v>
                </c:pt>
                <c:pt idx="24">
                  <c:v>4.5389705771550128E-175</c:v>
                </c:pt>
                <c:pt idx="25">
                  <c:v>2.4254354220877246E-164</c:v>
                </c:pt>
                <c:pt idx="26">
                  <c:v>6.05653644340645E-154</c:v>
                </c:pt>
                <c:pt idx="27">
                  <c:v>7.0674252574470095E-144</c:v>
                </c:pt>
                <c:pt idx="28">
                  <c:v>3.8538994916671526E-134</c:v>
                </c:pt>
                <c:pt idx="29">
                  <c:v>9.8206857582898351E-125</c:v>
                </c:pt>
                <c:pt idx="30">
                  <c:v>1.1694603875473884E-115</c:v>
                </c:pt>
                <c:pt idx="31">
                  <c:v>6.5077593884421833E-107</c:v>
                </c:pt>
                <c:pt idx="32">
                  <c:v>1.6923092548537333E-98</c:v>
                </c:pt>
                <c:pt idx="33">
                  <c:v>2.056507237063755E-90</c:v>
                </c:pt>
                <c:pt idx="34">
                  <c:v>1.1678391370120622E-82</c:v>
                </c:pt>
                <c:pt idx="35">
                  <c:v>3.0991177620398552E-75</c:v>
                </c:pt>
                <c:pt idx="36">
                  <c:v>3.8432213948095935E-68</c:v>
                </c:pt>
                <c:pt idx="37">
                  <c:v>2.2271783600833893E-61</c:v>
                </c:pt>
                <c:pt idx="38">
                  <c:v>6.0313823890866189E-55</c:v>
                </c:pt>
                <c:pt idx="39">
                  <c:v>7.6327493243741332E-49</c:v>
                </c:pt>
                <c:pt idx="40">
                  <c:v>4.5138529411599643E-43</c:v>
                </c:pt>
                <c:pt idx="41">
                  <c:v>1.2474297084131789E-37</c:v>
                </c:pt>
                <c:pt idx="42">
                  <c:v>1.6109684325906538E-32</c:v>
                </c:pt>
                <c:pt idx="43">
                  <c:v>9.7221036840439159E-28</c:v>
                </c:pt>
                <c:pt idx="44">
                  <c:v>2.7417997784343727E-23</c:v>
                </c:pt>
                <c:pt idx="45">
                  <c:v>3.6133788326982344E-19</c:v>
                </c:pt>
                <c:pt idx="46">
                  <c:v>2.2253254038590975E-15</c:v>
                </c:pt>
                <c:pt idx="47">
                  <c:v>6.4043613213243316E-12</c:v>
                </c:pt>
                <c:pt idx="48">
                  <c:v>8.613117991990738E-9</c:v>
                </c:pt>
                <c:pt idx="49">
                  <c:v>5.4131148046551857E-6</c:v>
                </c:pt>
                <c:pt idx="50">
                  <c:v>1.58977751327297E-3</c:v>
                </c:pt>
                <c:pt idx="51">
                  <c:v>0.21818642787501968</c:v>
                </c:pt>
                <c:pt idx="52">
                  <c:v>13.993339954176244</c:v>
                </c:pt>
                <c:pt idx="53">
                  <c:v>419.38926372990232</c:v>
                </c:pt>
                <c:pt idx="54">
                  <c:v>5873.7505999534824</c:v>
                </c:pt>
                <c:pt idx="55">
                  <c:v>38442.884507119597</c:v>
                </c:pt>
                <c:pt idx="56">
                  <c:v>117576.00561873561</c:v>
                </c:pt>
                <c:pt idx="57">
                  <c:v>168044.26964331363</c:v>
                </c:pt>
                <c:pt idx="58">
                  <c:v>112235.69071087234</c:v>
                </c:pt>
                <c:pt idx="59">
                  <c:v>35030.031693963225</c:v>
                </c:pt>
                <c:pt idx="60">
                  <c:v>5109.1934582458462</c:v>
                </c:pt>
                <c:pt idx="61">
                  <c:v>348.23020231521537</c:v>
                </c:pt>
                <c:pt idx="62">
                  <c:v>11.091308710612138</c:v>
                </c:pt>
                <c:pt idx="63">
                  <c:v>0.16508264635841602</c:v>
                </c:pt>
                <c:pt idx="64">
                  <c:v>1.1482126349950867E-3</c:v>
                </c:pt>
                <c:pt idx="65">
                  <c:v>3.7320331387881935E-6</c:v>
                </c:pt>
                <c:pt idx="66">
                  <c:v>5.6685362966257901E-9</c:v>
                </c:pt>
                <c:pt idx="67">
                  <c:v>4.0234503162762996E-12</c:v>
                </c:pt>
                <c:pt idx="68">
                  <c:v>1.3345308701921173E-15</c:v>
                </c:pt>
                <c:pt idx="69">
                  <c:v>2.0685254867836096E-19</c:v>
                </c:pt>
                <c:pt idx="70">
                  <c:v>1.498288336936089E-23</c:v>
                </c:pt>
                <c:pt idx="71">
                  <c:v>5.0714505124973713E-28</c:v>
                </c:pt>
                <c:pt idx="72">
                  <c:v>8.0217893919244816E-33</c:v>
                </c:pt>
                <c:pt idx="73">
                  <c:v>5.9294251317438959E-38</c:v>
                </c:pt>
                <c:pt idx="74">
                  <c:v>2.048123753918158E-43</c:v>
                </c:pt>
                <c:pt idx="75">
                  <c:v>3.305994066314757E-49</c:v>
                </c:pt>
                <c:pt idx="76">
                  <c:v>2.493734510877741E-55</c:v>
                </c:pt>
                <c:pt idx="77">
                  <c:v>8.7902379575195761E-62</c:v>
                </c:pt>
                <c:pt idx="78">
                  <c:v>1.447949178126826E-68</c:v>
                </c:pt>
                <c:pt idx="79">
                  <c:v>1.114572378591251E-75</c:v>
                </c:pt>
                <c:pt idx="80">
                  <c:v>4.0092718439920384E-83</c:v>
                </c:pt>
                <c:pt idx="81">
                  <c:v>6.7394584873276985E-91</c:v>
                </c:pt>
                <c:pt idx="82">
                  <c:v>5.2940345536584965E-99</c:v>
                </c:pt>
                <c:pt idx="83">
                  <c:v>1.9433490444274896E-107</c:v>
                </c:pt>
                <c:pt idx="84">
                  <c:v>3.3336278925598669E-116</c:v>
                </c:pt>
                <c:pt idx="85">
                  <c:v>2.6723030161378066E-125</c:v>
                </c:pt>
                <c:pt idx="86">
                  <c:v>1.0010518049264972E-134</c:v>
                </c:pt>
                <c:pt idx="87">
                  <c:v>1.7523855957940462E-144</c:v>
                </c:pt>
                <c:pt idx="88">
                  <c:v>1.4335243257209695E-154</c:v>
                </c:pt>
                <c:pt idx="89">
                  <c:v>5.4800273973736653E-165</c:v>
                </c:pt>
                <c:pt idx="90">
                  <c:v>9.7895485163432942E-176</c:v>
                </c:pt>
                <c:pt idx="91">
                  <c:v>8.1723106504112676E-187</c:v>
                </c:pt>
                <c:pt idx="92">
                  <c:v>3.1880809579277917E-198</c:v>
                </c:pt>
                <c:pt idx="93">
                  <c:v>5.8118726070582509E-210</c:v>
                </c:pt>
                <c:pt idx="94">
                  <c:v>4.9511388024800817E-222</c:v>
                </c:pt>
                <c:pt idx="95">
                  <c:v>1.9710443108422959E-234</c:v>
                </c:pt>
                <c:pt idx="96">
                  <c:v>3.6668229787368827E-247</c:v>
                </c:pt>
                <c:pt idx="97">
                  <c:v>3.1877611343613807E-260</c:v>
                </c:pt>
                <c:pt idx="98">
                  <c:v>1.2950420463697512E-273</c:v>
                </c:pt>
                <c:pt idx="99">
                  <c:v>2.4585793926343498E-287</c:v>
                </c:pt>
                <c:pt idx="100">
                  <c:v>2.181156741526318E-301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2.0558511200448463E-296</c:v>
                </c:pt>
                <c:pt idx="208">
                  <c:v>9.9696562744042173E-283</c:v>
                </c:pt>
                <c:pt idx="209">
                  <c:v>2.3305725301142708E-269</c:v>
                </c:pt>
                <c:pt idx="210">
                  <c:v>2.6262675922408409E-256</c:v>
                </c:pt>
                <c:pt idx="211">
                  <c:v>1.4266230589383999E-243</c:v>
                </c:pt>
                <c:pt idx="212">
                  <c:v>3.7357122593851087E-231</c:v>
                </c:pt>
                <c:pt idx="213">
                  <c:v>4.7155408269664117E-219</c:v>
                </c:pt>
                <c:pt idx="214">
                  <c:v>2.8693499222535688E-207</c:v>
                </c:pt>
                <c:pt idx="215">
                  <c:v>8.4164594049576604E-196</c:v>
                </c:pt>
                <c:pt idx="216">
                  <c:v>1.1900611153410627E-184</c:v>
                </c:pt>
                <c:pt idx="217">
                  <c:v>8.1115343296901163E-174</c:v>
                </c:pt>
                <c:pt idx="218">
                  <c:v>2.6652053076385079E-163</c:v>
                </c:pt>
                <c:pt idx="219">
                  <c:v>4.2213585539816216E-153</c:v>
                </c:pt>
                <c:pt idx="220">
                  <c:v>3.2230550820273945E-143</c:v>
                </c:pt>
                <c:pt idx="221">
                  <c:v>1.1862524624070119E-133</c:v>
                </c:pt>
                <c:pt idx="222">
                  <c:v>2.1046526943101077E-124</c:v>
                </c:pt>
                <c:pt idx="223">
                  <c:v>1.8000213894947486E-115</c:v>
                </c:pt>
                <c:pt idx="224">
                  <c:v>7.4211089136449141E-107</c:v>
                </c:pt>
                <c:pt idx="225">
                  <c:v>1.4748703961704569E-98</c:v>
                </c:pt>
                <c:pt idx="226">
                  <c:v>1.4129696223540525E-90</c:v>
                </c:pt>
                <c:pt idx="227">
                  <c:v>6.5253784586793994E-83</c:v>
                </c:pt>
                <c:pt idx="228">
                  <c:v>1.4526884994027601E-75</c:v>
                </c:pt>
                <c:pt idx="229">
                  <c:v>1.5589536572414274E-68</c:v>
                </c:pt>
                <c:pt idx="230">
                  <c:v>8.0646927361683163E-62</c:v>
                </c:pt>
                <c:pt idx="231">
                  <c:v>2.0111124715410988E-55</c:v>
                </c:pt>
                <c:pt idx="232">
                  <c:v>2.417568600521766E-49</c:v>
                </c:pt>
                <c:pt idx="233">
                  <c:v>1.4009259081660957E-43</c:v>
                </c:pt>
                <c:pt idx="234">
                  <c:v>3.913320708516279E-38</c:v>
                </c:pt>
                <c:pt idx="235">
                  <c:v>5.2695026668228571E-33</c:v>
                </c:pt>
                <c:pt idx="236">
                  <c:v>3.4204853101408585E-28</c:v>
                </c:pt>
                <c:pt idx="237">
                  <c:v>1.0702857521027924E-23</c:v>
                </c:pt>
                <c:pt idx="238">
                  <c:v>1.6143796405492977E-19</c:v>
                </c:pt>
                <c:pt idx="239">
                  <c:v>1.1738308337654085E-15</c:v>
                </c:pt>
                <c:pt idx="240">
                  <c:v>4.1143313790119095E-12</c:v>
                </c:pt>
                <c:pt idx="241">
                  <c:v>6.951634600765689E-9</c:v>
                </c:pt>
                <c:pt idx="242">
                  <c:v>5.6619824364998862E-6</c:v>
                </c:pt>
                <c:pt idx="243">
                  <c:v>2.2230232912550437E-3</c:v>
                </c:pt>
                <c:pt idx="244">
                  <c:v>0.42073963078444804</c:v>
                </c:pt>
                <c:pt idx="245">
                  <c:v>38.386343343866784</c:v>
                </c:pt>
                <c:pt idx="246">
                  <c:v>1688.2391953813215</c:v>
                </c:pt>
                <c:pt idx="247">
                  <c:v>35791.930861621571</c:v>
                </c:pt>
                <c:pt idx="248">
                  <c:v>365788.62008671003</c:v>
                </c:pt>
                <c:pt idx="249">
                  <c:v>1802059.6645029485</c:v>
                </c:pt>
                <c:pt idx="250">
                  <c:v>4279588.9274068465</c:v>
                </c:pt>
                <c:pt idx="251">
                  <c:v>4899241.6135571003</c:v>
                </c:pt>
                <c:pt idx="252">
                  <c:v>2703644.4253434939</c:v>
                </c:pt>
                <c:pt idx="253">
                  <c:v>719224.0538419052</c:v>
                </c:pt>
                <c:pt idx="254">
                  <c:v>92230.114246325655</c:v>
                </c:pt>
                <c:pt idx="255">
                  <c:v>5701.3171851979023</c:v>
                </c:pt>
                <c:pt idx="256">
                  <c:v>169.89146955288129</c:v>
                </c:pt>
                <c:pt idx="257">
                  <c:v>2.4404047203337842</c:v>
                </c:pt>
                <c:pt idx="258">
                  <c:v>1.6898418176140812E-2</c:v>
                </c:pt>
                <c:pt idx="259">
                  <c:v>5.6405851983350656E-5</c:v>
                </c:pt>
                <c:pt idx="260">
                  <c:v>9.0760355252779477E-8</c:v>
                </c:pt>
                <c:pt idx="261">
                  <c:v>7.0398292298091872E-11</c:v>
                </c:pt>
                <c:pt idx="262">
                  <c:v>2.6322187286674154E-14</c:v>
                </c:pt>
                <c:pt idx="263">
                  <c:v>4.7443392792484717E-18</c:v>
                </c:pt>
                <c:pt idx="264">
                  <c:v>4.1221464429226544E-22</c:v>
                </c:pt>
                <c:pt idx="265">
                  <c:v>1.7264937374251341E-26</c:v>
                </c:pt>
                <c:pt idx="266">
                  <c:v>3.4857843179712805E-31</c:v>
                </c:pt>
                <c:pt idx="267">
                  <c:v>3.3925786882761616E-36</c:v>
                </c:pt>
                <c:pt idx="268">
                  <c:v>1.5916708434654608E-41</c:v>
                </c:pt>
                <c:pt idx="269">
                  <c:v>3.5997347919321717E-47</c:v>
                </c:pt>
                <c:pt idx="270">
                  <c:v>3.9244758757523326E-53</c:v>
                </c:pt>
                <c:pt idx="271">
                  <c:v>2.0624657032040511E-59</c:v>
                </c:pt>
                <c:pt idx="272">
                  <c:v>5.2249930902952344E-66</c:v>
                </c:pt>
                <c:pt idx="273">
                  <c:v>6.380851227672989E-73</c:v>
                </c:pt>
                <c:pt idx="274">
                  <c:v>3.7563446359626423E-80</c:v>
                </c:pt>
                <c:pt idx="275">
                  <c:v>1.0659728815809956E-87</c:v>
                </c:pt>
                <c:pt idx="276">
                  <c:v>1.4582124276835233E-95</c:v>
                </c:pt>
                <c:pt idx="277">
                  <c:v>9.615886920055968E-104</c:v>
                </c:pt>
                <c:pt idx="278">
                  <c:v>3.0566929357146255E-112</c:v>
                </c:pt>
                <c:pt idx="279">
                  <c:v>4.683906234205867E-121</c:v>
                </c:pt>
                <c:pt idx="280">
                  <c:v>3.4598596756625213E-130</c:v>
                </c:pt>
                <c:pt idx="281">
                  <c:v>1.2319772587894378E-139</c:v>
                </c:pt>
                <c:pt idx="282">
                  <c:v>2.1146612675194324E-149</c:v>
                </c:pt>
                <c:pt idx="283">
                  <c:v>1.749737274834309E-159</c:v>
                </c:pt>
                <c:pt idx="284">
                  <c:v>6.9790898601637365E-170</c:v>
                </c:pt>
                <c:pt idx="285">
                  <c:v>1.3418953564944661E-180</c:v>
                </c:pt>
                <c:pt idx="286">
                  <c:v>1.2437480801828254E-191</c:v>
                </c:pt>
                <c:pt idx="287">
                  <c:v>5.556996332568904E-203</c:v>
                </c:pt>
                <c:pt idx="288">
                  <c:v>1.1968554738479287E-214</c:v>
                </c:pt>
                <c:pt idx="289">
                  <c:v>1.2426168090000074E-226</c:v>
                </c:pt>
                <c:pt idx="290">
                  <c:v>6.2190872705705854E-239</c:v>
                </c:pt>
                <c:pt idx="291">
                  <c:v>1.5004101442428266E-251</c:v>
                </c:pt>
                <c:pt idx="292">
                  <c:v>1.7449671107294863E-264</c:v>
                </c:pt>
                <c:pt idx="293">
                  <c:v>9.7826927406460956E-278</c:v>
                </c:pt>
                <c:pt idx="294">
                  <c:v>2.6437689284435286E-291</c:v>
                </c:pt>
                <c:pt idx="295">
                  <c:v>3.4441534167824907E-305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6.9886270151368557E-296</c:v>
                </c:pt>
                <c:pt idx="359">
                  <c:v>1.6356397151989201E-282</c:v>
                </c:pt>
                <c:pt idx="360">
                  <c:v>1.9035705972776916E-269</c:v>
                </c:pt>
                <c:pt idx="361">
                  <c:v>1.1016303321794157E-256</c:v>
                </c:pt>
                <c:pt idx="362">
                  <c:v>3.1702122427280128E-244</c:v>
                </c:pt>
                <c:pt idx="363">
                  <c:v>4.5365567569957872E-232</c:v>
                </c:pt>
                <c:pt idx="364">
                  <c:v>3.2281218171431655E-220</c:v>
                </c:pt>
                <c:pt idx="365">
                  <c:v>1.142244400209956E-208</c:v>
                </c:pt>
                <c:pt idx="366">
                  <c:v>2.0098040480174222E-197</c:v>
                </c:pt>
                <c:pt idx="367">
                  <c:v>1.7584659041530676E-186</c:v>
                </c:pt>
                <c:pt idx="368">
                  <c:v>7.6506748256323739E-176</c:v>
                </c:pt>
                <c:pt idx="369">
                  <c:v>1.6552023403600867E-165</c:v>
                </c:pt>
                <c:pt idx="370">
                  <c:v>1.7806886729527374E-155</c:v>
                </c:pt>
                <c:pt idx="371">
                  <c:v>9.525997362098336E-146</c:v>
                </c:pt>
                <c:pt idx="372">
                  <c:v>2.5340692214700596E-136</c:v>
                </c:pt>
                <c:pt idx="373">
                  <c:v>3.3520620366488956E-127</c:v>
                </c:pt>
                <c:pt idx="374">
                  <c:v>2.2049115750346706E-118</c:v>
                </c:pt>
                <c:pt idx="375">
                  <c:v>7.212002416435251E-110</c:v>
                </c:pt>
                <c:pt idx="376">
                  <c:v>1.1730218615564573E-101</c:v>
                </c:pt>
                <c:pt idx="377">
                  <c:v>9.4872840815338735E-94</c:v>
                </c:pt>
                <c:pt idx="378">
                  <c:v>3.8156036915945937E-86</c:v>
                </c:pt>
                <c:pt idx="379">
                  <c:v>7.6308017726478929E-79</c:v>
                </c:pt>
                <c:pt idx="380">
                  <c:v>7.588617096180102E-72</c:v>
                </c:pt>
                <c:pt idx="381">
                  <c:v>3.7526724960371224E-65</c:v>
                </c:pt>
                <c:pt idx="382">
                  <c:v>9.2279290115113139E-59</c:v>
                </c:pt>
                <c:pt idx="383">
                  <c:v>1.1283748090556533E-52</c:v>
                </c:pt>
                <c:pt idx="384">
                  <c:v>6.8610103643932025E-47</c:v>
                </c:pt>
                <c:pt idx="385">
                  <c:v>2.074475571932746E-41</c:v>
                </c:pt>
                <c:pt idx="386">
                  <c:v>3.1189910695257166E-36</c:v>
                </c:pt>
                <c:pt idx="387">
                  <c:v>2.3318762207303701E-31</c:v>
                </c:pt>
                <c:pt idx="388">
                  <c:v>8.6692676749680672E-27</c:v>
                </c:pt>
                <c:pt idx="389">
                  <c:v>1.6026728791881183E-22</c:v>
                </c:pt>
                <c:pt idx="390">
                  <c:v>1.4733058703834609E-18</c:v>
                </c:pt>
                <c:pt idx="391">
                  <c:v>6.7348279751396483E-15</c:v>
                </c:pt>
                <c:pt idx="392">
                  <c:v>1.5308958701033294E-11</c:v>
                </c:pt>
                <c:pt idx="393">
                  <c:v>1.7304153226098561E-8</c:v>
                </c:pt>
                <c:pt idx="394">
                  <c:v>9.7261420702711457E-6</c:v>
                </c:pt>
                <c:pt idx="395">
                  <c:v>2.718419158942591E-3</c:v>
                </c:pt>
                <c:pt idx="396">
                  <c:v>0.37781377839496816</c:v>
                </c:pt>
                <c:pt idx="397">
                  <c:v>26.111072948442647</c:v>
                </c:pt>
                <c:pt idx="398">
                  <c:v>897.34035767677744</c:v>
                </c:pt>
                <c:pt idx="399">
                  <c:v>15334.698416162839</c:v>
                </c:pt>
                <c:pt idx="400">
                  <c:v>130310.32692282165</c:v>
                </c:pt>
                <c:pt idx="401">
                  <c:v>550640.29068398301</c:v>
                </c:pt>
                <c:pt idx="402">
                  <c:v>1157024.8687044152</c:v>
                </c:pt>
                <c:pt idx="403">
                  <c:v>1208935.0187688009</c:v>
                </c:pt>
                <c:pt idx="404">
                  <c:v>628128.90395848895</c:v>
                </c:pt>
                <c:pt idx="405">
                  <c:v>162285.66341866381</c:v>
                </c:pt>
                <c:pt idx="406">
                  <c:v>20849.569324884596</c:v>
                </c:pt>
                <c:pt idx="407">
                  <c:v>1331.9857482968687</c:v>
                </c:pt>
                <c:pt idx="408">
                  <c:v>42.314345135797936</c:v>
                </c:pt>
                <c:pt idx="409">
                  <c:v>0.66843814660693679</c:v>
                </c:pt>
                <c:pt idx="410">
                  <c:v>5.2507384415847727E-3</c:v>
                </c:pt>
                <c:pt idx="411">
                  <c:v>2.0509973539097841E-5</c:v>
                </c:pt>
                <c:pt idx="412">
                  <c:v>3.9837802246089355E-8</c:v>
                </c:pt>
                <c:pt idx="413">
                  <c:v>3.8477885609438796E-11</c:v>
                </c:pt>
                <c:pt idx="414">
                  <c:v>1.8480451752467096E-14</c:v>
                </c:pt>
                <c:pt idx="415">
                  <c:v>4.4136665945418256E-18</c:v>
                </c:pt>
                <c:pt idx="416">
                  <c:v>5.2416983025521651E-22</c:v>
                </c:pt>
                <c:pt idx="417">
                  <c:v>3.0954947638681804E-26</c:v>
                </c:pt>
                <c:pt idx="418">
                  <c:v>9.0902051217970457E-31</c:v>
                </c:pt>
                <c:pt idx="419">
                  <c:v>1.3274031659537499E-35</c:v>
                </c:pt>
                <c:pt idx="420">
                  <c:v>9.6386802052235637E-41</c:v>
                </c:pt>
                <c:pt idx="421">
                  <c:v>3.4803093636059958E-46</c:v>
                </c:pt>
                <c:pt idx="422">
                  <c:v>6.2489015845418218E-52</c:v>
                </c:pt>
                <c:pt idx="423">
                  <c:v>5.57924041790415E-58</c:v>
                </c:pt>
                <c:pt idx="424">
                  <c:v>2.4770343199088392E-64</c:v>
                </c:pt>
                <c:pt idx="425">
                  <c:v>5.4685794723961323E-71</c:v>
                </c:pt>
                <c:pt idx="426">
                  <c:v>6.0034733663012146E-78</c:v>
                </c:pt>
                <c:pt idx="427">
                  <c:v>3.2773000530284806E-85</c:v>
                </c:pt>
                <c:pt idx="428">
                  <c:v>8.8964220553229726E-93</c:v>
                </c:pt>
                <c:pt idx="429">
                  <c:v>1.2008813703894494E-100</c:v>
                </c:pt>
                <c:pt idx="430">
                  <c:v>8.060656110152945E-109</c:v>
                </c:pt>
                <c:pt idx="431">
                  <c:v>2.6904581159751837E-117</c:v>
                </c:pt>
                <c:pt idx="432">
                  <c:v>4.465474709130841E-126</c:v>
                </c:pt>
                <c:pt idx="433">
                  <c:v>3.6854844987936116E-135</c:v>
                </c:pt>
                <c:pt idx="434">
                  <c:v>1.512540806156513E-144</c:v>
                </c:pt>
                <c:pt idx="435">
                  <c:v>3.0867763752414048E-154</c:v>
                </c:pt>
                <c:pt idx="436">
                  <c:v>3.1324834968724419E-164</c:v>
                </c:pt>
                <c:pt idx="437">
                  <c:v>1.5807310055890472E-174</c:v>
                </c:pt>
                <c:pt idx="438">
                  <c:v>3.966547949333288E-185</c:v>
                </c:pt>
                <c:pt idx="439">
                  <c:v>4.9494051011992109E-196</c:v>
                </c:pt>
                <c:pt idx="440">
                  <c:v>3.0709931729011823E-207</c:v>
                </c:pt>
                <c:pt idx="441">
                  <c:v>9.4752408201337759E-219</c:v>
                </c:pt>
                <c:pt idx="442">
                  <c:v>1.4537416015500786E-230</c:v>
                </c:pt>
                <c:pt idx="443">
                  <c:v>1.1090975277026062E-242</c:v>
                </c:pt>
                <c:pt idx="444">
                  <c:v>4.2076326068603864E-255</c:v>
                </c:pt>
                <c:pt idx="445">
                  <c:v>7.9376408209238046E-268</c:v>
                </c:pt>
                <c:pt idx="446">
                  <c:v>7.4461302823763951E-281</c:v>
                </c:pt>
                <c:pt idx="447">
                  <c:v>3.4734045952231734E-294</c:v>
                </c:pt>
                <c:pt idx="448">
                  <c:v>8.056857357105923E-308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1.0022713873432431E-307</c:v>
                </c:pt>
                <c:pt idx="488">
                  <c:v>2.1655421151680902E-294</c:v>
                </c:pt>
                <c:pt idx="489">
                  <c:v>2.4000767806165531E-281</c:v>
                </c:pt>
                <c:pt idx="490">
                  <c:v>1.3644600856158457E-268</c:v>
                </c:pt>
                <c:pt idx="491">
                  <c:v>3.978998134352947E-256</c:v>
                </c:pt>
                <c:pt idx="492">
                  <c:v>5.9520124980569099E-244</c:v>
                </c:pt>
                <c:pt idx="493">
                  <c:v>4.5670012733211116E-232</c:v>
                </c:pt>
                <c:pt idx="494">
                  <c:v>1.7975278596405651E-220</c:v>
                </c:pt>
                <c:pt idx="495">
                  <c:v>3.6290865594202917E-209</c:v>
                </c:pt>
                <c:pt idx="496">
                  <c:v>3.7583413565087984E-198</c:v>
                </c:pt>
                <c:pt idx="497">
                  <c:v>1.996513808395202E-187</c:v>
                </c:pt>
                <c:pt idx="498">
                  <c:v>5.4403346200411397E-177</c:v>
                </c:pt>
                <c:pt idx="499">
                  <c:v>7.6042450999722867E-167</c:v>
                </c:pt>
                <c:pt idx="500">
                  <c:v>5.4520998343358933E-157</c:v>
                </c:pt>
                <c:pt idx="501">
                  <c:v>2.0051584280469145E-147</c:v>
                </c:pt>
                <c:pt idx="502">
                  <c:v>3.7827773819874568E-138</c:v>
                </c:pt>
                <c:pt idx="503">
                  <c:v>3.6605814493179762E-129</c:v>
                </c:pt>
                <c:pt idx="504">
                  <c:v>1.8170486889582099E-120</c:v>
                </c:pt>
                <c:pt idx="505">
                  <c:v>4.6265818956385075E-112</c:v>
                </c:pt>
                <c:pt idx="506">
                  <c:v>6.042701519912803E-104</c:v>
                </c:pt>
                <c:pt idx="507">
                  <c:v>4.0483609838222912E-96</c:v>
                </c:pt>
                <c:pt idx="508">
                  <c:v>1.391247887461604E-88</c:v>
                </c:pt>
                <c:pt idx="509">
                  <c:v>2.4524886398318726E-81</c:v>
                </c:pt>
                <c:pt idx="510">
                  <c:v>2.2176177552336107E-74</c:v>
                </c:pt>
                <c:pt idx="511">
                  <c:v>1.0285930252533399E-67</c:v>
                </c:pt>
                <c:pt idx="512">
                  <c:v>2.4472461805691351E-61</c:v>
                </c:pt>
                <c:pt idx="513">
                  <c:v>2.9866817134748815E-55</c:v>
                </c:pt>
                <c:pt idx="514">
                  <c:v>1.8697236684314685E-49</c:v>
                </c:pt>
                <c:pt idx="515">
                  <c:v>6.004033514080816E-44</c:v>
                </c:pt>
                <c:pt idx="516">
                  <c:v>9.8897653887371068E-39</c:v>
                </c:pt>
                <c:pt idx="517">
                  <c:v>8.3561469672042995E-34</c:v>
                </c:pt>
                <c:pt idx="518">
                  <c:v>3.6216239171789568E-29</c:v>
                </c:pt>
                <c:pt idx="519">
                  <c:v>8.0515191221181618E-25</c:v>
                </c:pt>
                <c:pt idx="520">
                  <c:v>9.1818354859886588E-21</c:v>
                </c:pt>
                <c:pt idx="521">
                  <c:v>5.3710399756718542E-17</c:v>
                </c:pt>
                <c:pt idx="522">
                  <c:v>1.6116267293474851E-13</c:v>
                </c:pt>
                <c:pt idx="523">
                  <c:v>2.4805485859419427E-10</c:v>
                </c:pt>
                <c:pt idx="524">
                  <c:v>1.9584307221077876E-7</c:v>
                </c:pt>
                <c:pt idx="525">
                  <c:v>7.9313275904280777E-5</c:v>
                </c:pt>
                <c:pt idx="526">
                  <c:v>1.647634063474461E-2</c:v>
                </c:pt>
                <c:pt idx="527">
                  <c:v>1.7557102124798982</c:v>
                </c:pt>
                <c:pt idx="528">
                  <c:v>95.967041805508146</c:v>
                </c:pt>
                <c:pt idx="529">
                  <c:v>2690.7204509507924</c:v>
                </c:pt>
                <c:pt idx="530">
                  <c:v>38698.332400102983</c:v>
                </c:pt>
                <c:pt idx="531">
                  <c:v>285491.45961463789</c:v>
                </c:pt>
                <c:pt idx="532">
                  <c:v>1080366.7026393099</c:v>
                </c:pt>
                <c:pt idx="533">
                  <c:v>2097135.3428203713</c:v>
                </c:pt>
                <c:pt idx="534">
                  <c:v>2088136.7056367525</c:v>
                </c:pt>
                <c:pt idx="535">
                  <c:v>1066518.9954204701</c:v>
                </c:pt>
                <c:pt idx="536">
                  <c:v>279418.69602401473</c:v>
                </c:pt>
                <c:pt idx="537">
                  <c:v>37550.828847774843</c:v>
                </c:pt>
                <c:pt idx="538">
                  <c:v>2588.5752393373023</c:v>
                </c:pt>
                <c:pt idx="539">
                  <c:v>91.533328894048211</c:v>
                </c:pt>
                <c:pt idx="540">
                  <c:v>1.6602554740427558</c:v>
                </c:pt>
                <c:pt idx="541">
                  <c:v>1.5447129370700002E-2</c:v>
                </c:pt>
                <c:pt idx="542">
                  <c:v>7.3722125173184206E-5</c:v>
                </c:pt>
                <c:pt idx="543">
                  <c:v>1.8047834822023143E-7</c:v>
                </c:pt>
                <c:pt idx="544">
                  <c:v>2.2663635058288546E-10</c:v>
                </c:pt>
                <c:pt idx="545">
                  <c:v>1.4598600647427637E-13</c:v>
                </c:pt>
                <c:pt idx="546">
                  <c:v>4.8235866851300647E-17</c:v>
                </c:pt>
                <c:pt idx="547">
                  <c:v>8.1753460782502531E-21</c:v>
                </c:pt>
                <c:pt idx="548">
                  <c:v>7.1075414988205416E-25</c:v>
                </c:pt>
                <c:pt idx="549">
                  <c:v>3.1696394327797466E-29</c:v>
                </c:pt>
                <c:pt idx="550">
                  <c:v>7.2506596162247383E-34</c:v>
                </c:pt>
                <c:pt idx="551">
                  <c:v>8.5078999321089367E-39</c:v>
                </c:pt>
                <c:pt idx="552">
                  <c:v>5.1208779856633487E-44</c:v>
                </c:pt>
                <c:pt idx="553">
                  <c:v>1.5810430020258066E-49</c:v>
                </c:pt>
                <c:pt idx="554">
                  <c:v>2.5039181930797411E-55</c:v>
                </c:pt>
                <c:pt idx="555">
                  <c:v>2.0341069720663241E-61</c:v>
                </c:pt>
                <c:pt idx="556">
                  <c:v>8.4762672331314222E-68</c:v>
                </c:pt>
                <c:pt idx="557">
                  <c:v>1.8118101636713324E-74</c:v>
                </c:pt>
                <c:pt idx="558">
                  <c:v>1.9865428719202472E-81</c:v>
                </c:pt>
                <c:pt idx="559">
                  <c:v>1.1172757992581023E-88</c:v>
                </c:pt>
                <c:pt idx="560">
                  <c:v>3.2232948987351323E-96</c:v>
                </c:pt>
                <c:pt idx="561">
                  <c:v>4.7699836361263121E-104</c:v>
                </c:pt>
                <c:pt idx="562">
                  <c:v>3.6208533593262388E-112</c:v>
                </c:pt>
                <c:pt idx="563">
                  <c:v>1.4098801093590263E-120</c:v>
                </c:pt>
                <c:pt idx="564">
                  <c:v>2.8159868967166568E-129</c:v>
                </c:pt>
                <c:pt idx="565">
                  <c:v>2.8850694694997E-138</c:v>
                </c:pt>
                <c:pt idx="566">
                  <c:v>1.516209172399029E-147</c:v>
                </c:pt>
                <c:pt idx="567">
                  <c:v>4.0873249234490638E-157</c:v>
                </c:pt>
                <c:pt idx="568">
                  <c:v>5.6519252138750072E-167</c:v>
                </c:pt>
                <c:pt idx="569">
                  <c:v>4.0089519323783929E-177</c:v>
                </c:pt>
                <c:pt idx="570">
                  <c:v>1.4586210969443553E-187</c:v>
                </c:pt>
                <c:pt idx="571">
                  <c:v>2.7222708432304692E-198</c:v>
                </c:pt>
                <c:pt idx="572">
                  <c:v>2.6061377791610543E-209</c:v>
                </c:pt>
                <c:pt idx="573">
                  <c:v>1.2797955961114733E-220</c:v>
                </c:pt>
                <c:pt idx="574">
                  <c:v>3.2237477359346836E-232</c:v>
                </c:pt>
                <c:pt idx="575">
                  <c:v>4.1654189470155917E-244</c:v>
                </c:pt>
                <c:pt idx="576">
                  <c:v>2.7607909676748534E-256</c:v>
                </c:pt>
                <c:pt idx="577">
                  <c:v>9.3861083223786185E-269</c:v>
                </c:pt>
                <c:pt idx="578">
                  <c:v>1.6368722938813834E-281</c:v>
                </c:pt>
                <c:pt idx="579">
                  <c:v>1.4642702300377288E-294</c:v>
                </c:pt>
                <c:pt idx="580">
                  <c:v>6.7190034976465953E-308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3.3776406889179709E-308</c:v>
                </c:pt>
                <c:pt idx="605">
                  <c:v>3.4659670498722411E-295</c:v>
                </c:pt>
                <c:pt idx="606">
                  <c:v>1.8819334160120575E-282</c:v>
                </c:pt>
                <c:pt idx="607">
                  <c:v>5.4069570528680524E-270</c:v>
                </c:pt>
                <c:pt idx="608">
                  <c:v>8.2199737084470408E-258</c:v>
                </c:pt>
                <c:pt idx="609">
                  <c:v>6.6123644003819557E-246</c:v>
                </c:pt>
                <c:pt idx="610">
                  <c:v>2.8145694657722817E-234</c:v>
                </c:pt>
                <c:pt idx="611">
                  <c:v>6.3392226679058792E-223</c:v>
                </c:pt>
                <c:pt idx="612">
                  <c:v>7.5549028487190486E-212</c:v>
                </c:pt>
                <c:pt idx="613">
                  <c:v>4.7642067849131684E-201</c:v>
                </c:pt>
                <c:pt idx="614">
                  <c:v>1.5897219279935251E-190</c:v>
                </c:pt>
                <c:pt idx="615">
                  <c:v>2.8068588166424412E-180</c:v>
                </c:pt>
                <c:pt idx="616">
                  <c:v>2.6223388812780244E-170</c:v>
                </c:pt>
                <c:pt idx="617">
                  <c:v>1.2963608362129033E-160</c:v>
                </c:pt>
                <c:pt idx="618">
                  <c:v>3.3910315657377105E-151</c:v>
                </c:pt>
                <c:pt idx="619">
                  <c:v>4.6936057238722619E-142</c:v>
                </c:pt>
                <c:pt idx="620">
                  <c:v>3.4375594632428923E-133</c:v>
                </c:pt>
                <c:pt idx="621">
                  <c:v>1.3321792845893134E-124</c:v>
                </c:pt>
                <c:pt idx="622">
                  <c:v>2.7317690164309857E-116</c:v>
                </c:pt>
                <c:pt idx="623">
                  <c:v>2.9641086315065089E-108</c:v>
                </c:pt>
                <c:pt idx="624">
                  <c:v>1.7018179468490785E-100</c:v>
                </c:pt>
                <c:pt idx="625">
                  <c:v>5.1701235878567181E-93</c:v>
                </c:pt>
                <c:pt idx="626">
                  <c:v>8.3110824794858064E-86</c:v>
                </c:pt>
                <c:pt idx="627">
                  <c:v>7.0694088957587752E-79</c:v>
                </c:pt>
                <c:pt idx="628">
                  <c:v>3.1818335292078744E-72</c:v>
                </c:pt>
                <c:pt idx="629">
                  <c:v>7.5777565410817256E-66</c:v>
                </c:pt>
                <c:pt idx="630">
                  <c:v>9.5493252221896228E-60</c:v>
                </c:pt>
                <c:pt idx="631">
                  <c:v>6.3675675795082371E-54</c:v>
                </c:pt>
                <c:pt idx="632">
                  <c:v>2.2466906788989053E-48</c:v>
                </c:pt>
                <c:pt idx="633">
                  <c:v>4.1945159127343666E-43</c:v>
                </c:pt>
                <c:pt idx="634">
                  <c:v>4.1437090255078196E-38</c:v>
                </c:pt>
                <c:pt idx="635">
                  <c:v>2.1660351424272446E-33</c:v>
                </c:pt>
                <c:pt idx="636">
                  <c:v>5.9911554447917514E-29</c:v>
                </c:pt>
                <c:pt idx="637">
                  <c:v>8.7684841106597009E-25</c:v>
                </c:pt>
                <c:pt idx="638">
                  <c:v>6.7905866140973918E-21</c:v>
                </c:pt>
                <c:pt idx="639">
                  <c:v>2.7826520786013196E-17</c:v>
                </c:pt>
                <c:pt idx="640">
                  <c:v>6.033639620792478E-14</c:v>
                </c:pt>
                <c:pt idx="641">
                  <c:v>6.9225909000730995E-11</c:v>
                </c:pt>
                <c:pt idx="642">
                  <c:v>4.2026847057135354E-8</c:v>
                </c:pt>
                <c:pt idx="643">
                  <c:v>1.3500622508390768E-5</c:v>
                </c:pt>
                <c:pt idx="644">
                  <c:v>2.2948252556002796E-3</c:v>
                </c:pt>
                <c:pt idx="645">
                  <c:v>0.2064021846606173</c:v>
                </c:pt>
                <c:pt idx="646">
                  <c:v>9.823082711091045</c:v>
                </c:pt>
                <c:pt idx="647">
                  <c:v>247.37178000767037</c:v>
                </c:pt>
                <c:pt idx="648">
                  <c:v>3296.2591592058816</c:v>
                </c:pt>
                <c:pt idx="649">
                  <c:v>23241.351939631651</c:v>
                </c:pt>
                <c:pt idx="650">
                  <c:v>86710.21577942009</c:v>
                </c:pt>
                <c:pt idx="651">
                  <c:v>171178.01618162004</c:v>
                </c:pt>
                <c:pt idx="652">
                  <c:v>178811.13220676559</c:v>
                </c:pt>
                <c:pt idx="653">
                  <c:v>98834.816299724829</c:v>
                </c:pt>
                <c:pt idx="654">
                  <c:v>28906.41330132473</c:v>
                </c:pt>
                <c:pt idx="655">
                  <c:v>4473.498525764634</c:v>
                </c:pt>
                <c:pt idx="656">
                  <c:v>366.32725476855916</c:v>
                </c:pt>
                <c:pt idx="657">
                  <c:v>15.87303618957427</c:v>
                </c:pt>
                <c:pt idx="658">
                  <c:v>0.36393148001206505</c:v>
                </c:pt>
                <c:pt idx="659">
                  <c:v>4.415176636937846E-3</c:v>
                </c:pt>
                <c:pt idx="660">
                  <c:v>2.8342971789722278E-5</c:v>
                </c:pt>
                <c:pt idx="661">
                  <c:v>9.6274556847710373E-8</c:v>
                </c:pt>
                <c:pt idx="662">
                  <c:v>1.7304000306861278E-10</c:v>
                </c:pt>
                <c:pt idx="663">
                  <c:v>1.6456987611115052E-13</c:v>
                </c:pt>
                <c:pt idx="664">
                  <c:v>8.2817670874692012E-17</c:v>
                </c:pt>
                <c:pt idx="665">
                  <c:v>2.2052839914633381E-20</c:v>
                </c:pt>
                <c:pt idx="666">
                  <c:v>3.107240575587074E-24</c:v>
                </c:pt>
                <c:pt idx="667">
                  <c:v>2.3166161317358476E-28</c:v>
                </c:pt>
                <c:pt idx="668">
                  <c:v>9.1390723438893133E-33</c:v>
                </c:pt>
                <c:pt idx="669">
                  <c:v>1.9077391677546668E-37</c:v>
                </c:pt>
                <c:pt idx="670">
                  <c:v>2.1071949634385635E-42</c:v>
                </c:pt>
                <c:pt idx="671">
                  <c:v>1.2315705210308462E-47</c:v>
                </c:pt>
                <c:pt idx="672">
                  <c:v>3.8087519772932008E-53</c:v>
                </c:pt>
                <c:pt idx="673">
                  <c:v>6.2326816176151306E-59</c:v>
                </c:pt>
                <c:pt idx="674">
                  <c:v>5.3967964044945756E-65</c:v>
                </c:pt>
                <c:pt idx="675">
                  <c:v>2.4726689122030508E-71</c:v>
                </c:pt>
                <c:pt idx="676">
                  <c:v>5.994662606439502E-78</c:v>
                </c:pt>
                <c:pt idx="677">
                  <c:v>7.6901066623158595E-85</c:v>
                </c:pt>
                <c:pt idx="678">
                  <c:v>5.219979822073472E-92</c:v>
                </c:pt>
                <c:pt idx="679">
                  <c:v>1.874882809440979E-99</c:v>
                </c:pt>
                <c:pt idx="680">
                  <c:v>3.5632662316582058E-107</c:v>
                </c:pt>
                <c:pt idx="681">
                  <c:v>3.5833667483850277E-115</c:v>
                </c:pt>
                <c:pt idx="682">
                  <c:v>1.9067909796213271E-123</c:v>
                </c:pt>
                <c:pt idx="683">
                  <c:v>5.368880781146933E-132</c:v>
                </c:pt>
                <c:pt idx="684">
                  <c:v>7.9989553776751373E-141</c:v>
                </c:pt>
                <c:pt idx="685">
                  <c:v>6.3059660750828063E-150</c:v>
                </c:pt>
                <c:pt idx="686">
                  <c:v>2.6305031614693462E-159</c:v>
                </c:pt>
                <c:pt idx="687">
                  <c:v>5.8062384625333106E-169</c:v>
                </c:pt>
                <c:pt idx="688">
                  <c:v>6.7814060720975484E-179</c:v>
                </c:pt>
                <c:pt idx="689">
                  <c:v>4.1909596104445567E-189</c:v>
                </c:pt>
                <c:pt idx="690">
                  <c:v>1.3704905403557722E-199</c:v>
                </c:pt>
                <c:pt idx="691">
                  <c:v>2.3714143916751053E-210</c:v>
                </c:pt>
                <c:pt idx="692">
                  <c:v>2.1712393555256744E-221</c:v>
                </c:pt>
                <c:pt idx="693">
                  <c:v>1.0519056690303179E-232</c:v>
                </c:pt>
                <c:pt idx="694">
                  <c:v>2.696588829567856E-244</c:v>
                </c:pt>
                <c:pt idx="695">
                  <c:v>3.6578130820850978E-256</c:v>
                </c:pt>
                <c:pt idx="696">
                  <c:v>2.6254099610860347E-268</c:v>
                </c:pt>
                <c:pt idx="697">
                  <c:v>9.9710659945908556E-281</c:v>
                </c:pt>
                <c:pt idx="698">
                  <c:v>2.0038024113156925E-293</c:v>
                </c:pt>
                <c:pt idx="699">
                  <c:v>2.13077229474331E-306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'Fatores de forma'!$AB$1:$AB$2</c:f>
              <c:strCache>
                <c:ptCount val="1"/>
                <c:pt idx="0">
                  <c:v>CaTiO3 H_h(50nm)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forma'!$AB$3:$AB$804</c:f>
              <c:numCache>
                <c:formatCode>0.00000</c:formatCode>
                <c:ptCount val="802"/>
                <c:pt idx="0">
                  <c:v>7.6836746484110623E-130</c:v>
                </c:pt>
                <c:pt idx="1">
                  <c:v>3.5474267045695025E-125</c:v>
                </c:pt>
                <c:pt idx="2">
                  <c:v>1.3541240844272661E-120</c:v>
                </c:pt>
                <c:pt idx="3">
                  <c:v>4.2737002836453421E-116</c:v>
                </c:pt>
                <c:pt idx="4">
                  <c:v>1.1151934973671397E-111</c:v>
                </c:pt>
                <c:pt idx="5">
                  <c:v>2.4060074225975744E-107</c:v>
                </c:pt>
                <c:pt idx="6">
                  <c:v>4.2918473304807135E-103</c:v>
                </c:pt>
                <c:pt idx="7">
                  <c:v>6.3298312852247147E-99</c:v>
                </c:pt>
                <c:pt idx="8">
                  <c:v>7.7186361978612177E-95</c:v>
                </c:pt>
                <c:pt idx="9">
                  <c:v>7.7819704395870009E-91</c:v>
                </c:pt>
                <c:pt idx="10">
                  <c:v>6.4869290713813774E-87</c:v>
                </c:pt>
                <c:pt idx="11">
                  <c:v>4.4708416646494704E-83</c:v>
                </c:pt>
                <c:pt idx="12">
                  <c:v>2.5476513707305939E-79</c:v>
                </c:pt>
                <c:pt idx="13">
                  <c:v>1.2003040538719734E-75</c:v>
                </c:pt>
                <c:pt idx="14">
                  <c:v>4.6756620772537062E-72</c:v>
                </c:pt>
                <c:pt idx="15">
                  <c:v>1.5058978967823566E-68</c:v>
                </c:pt>
                <c:pt idx="16">
                  <c:v>4.0100381570185681E-65</c:v>
                </c:pt>
                <c:pt idx="17">
                  <c:v>8.8288075691516057E-62</c:v>
                </c:pt>
                <c:pt idx="18">
                  <c:v>1.6071490828214124E-58</c:v>
                </c:pt>
                <c:pt idx="19">
                  <c:v>2.4188606309889303E-55</c:v>
                </c:pt>
                <c:pt idx="20">
                  <c:v>3.0099972234616218E-52</c:v>
                </c:pt>
                <c:pt idx="21">
                  <c:v>3.0968624167835245E-49</c:v>
                </c:pt>
                <c:pt idx="22">
                  <c:v>2.6343792425975549E-46</c:v>
                </c:pt>
                <c:pt idx="23">
                  <c:v>1.852828607423673E-43</c:v>
                </c:pt>
                <c:pt idx="24">
                  <c:v>1.0774391870003019E-40</c:v>
                </c:pt>
                <c:pt idx="25">
                  <c:v>5.1802516066643662E-38</c:v>
                </c:pt>
                <c:pt idx="26">
                  <c:v>2.0592520586366628E-35</c:v>
                </c:pt>
                <c:pt idx="27">
                  <c:v>6.7681306122240381E-33</c:v>
                </c:pt>
                <c:pt idx="28">
                  <c:v>1.8391981489783095E-30</c:v>
                </c:pt>
                <c:pt idx="29">
                  <c:v>4.1322717934910805E-28</c:v>
                </c:pt>
                <c:pt idx="30">
                  <c:v>7.6762622609017176E-26</c:v>
                </c:pt>
                <c:pt idx="31">
                  <c:v>1.178993191078706E-23</c:v>
                </c:pt>
                <c:pt idx="32">
                  <c:v>1.4971777265064137E-21</c:v>
                </c:pt>
                <c:pt idx="33">
                  <c:v>1.5719400738452023E-19</c:v>
                </c:pt>
                <c:pt idx="34">
                  <c:v>1.3645805646972082E-17</c:v>
                </c:pt>
                <c:pt idx="35">
                  <c:v>9.7940641641964032E-16</c:v>
                </c:pt>
                <c:pt idx="36">
                  <c:v>5.8120223536314256E-14</c:v>
                </c:pt>
                <c:pt idx="37">
                  <c:v>2.851623431928312E-12</c:v>
                </c:pt>
                <c:pt idx="38">
                  <c:v>1.1567982981087141E-10</c:v>
                </c:pt>
                <c:pt idx="39">
                  <c:v>3.8799280762945208E-9</c:v>
                </c:pt>
                <c:pt idx="40">
                  <c:v>1.0759455076270423E-7</c:v>
                </c:pt>
                <c:pt idx="41">
                  <c:v>2.4669335185564967E-6</c:v>
                </c:pt>
                <c:pt idx="42">
                  <c:v>4.6765457001193483E-5</c:v>
                </c:pt>
                <c:pt idx="43">
                  <c:v>7.3298229960449808E-4</c:v>
                </c:pt>
                <c:pt idx="44">
                  <c:v>9.4986603670173756E-3</c:v>
                </c:pt>
                <c:pt idx="45">
                  <c:v>0.10177281782006421</c:v>
                </c:pt>
                <c:pt idx="46">
                  <c:v>0.90157488793857266</c:v>
                </c:pt>
                <c:pt idx="47">
                  <c:v>6.6034726222526228</c:v>
                </c:pt>
                <c:pt idx="48">
                  <c:v>39.989274428096003</c:v>
                </c:pt>
                <c:pt idx="49">
                  <c:v>200.2235856773614</c:v>
                </c:pt>
                <c:pt idx="50">
                  <c:v>828.87208305487707</c:v>
                </c:pt>
                <c:pt idx="51">
                  <c:v>2837.0066784776614</c:v>
                </c:pt>
                <c:pt idx="52">
                  <c:v>8028.4881625730623</c:v>
                </c:pt>
                <c:pt idx="53">
                  <c:v>18784.850896413674</c:v>
                </c:pt>
                <c:pt idx="54">
                  <c:v>36339.780581038227</c:v>
                </c:pt>
                <c:pt idx="55">
                  <c:v>58124.25733147897</c:v>
                </c:pt>
                <c:pt idx="56">
                  <c:v>76865.790978982899</c:v>
                </c:pt>
                <c:pt idx="57">
                  <c:v>84044.51048487876</c:v>
                </c:pt>
                <c:pt idx="58">
                  <c:v>75977.70500051626</c:v>
                </c:pt>
                <c:pt idx="59">
                  <c:v>56788.913232325809</c:v>
                </c:pt>
                <c:pt idx="60">
                  <c:v>35094.698197522594</c:v>
                </c:pt>
                <c:pt idx="61">
                  <c:v>17931.640934430408</c:v>
                </c:pt>
                <c:pt idx="62">
                  <c:v>7575.287560875714</c:v>
                </c:pt>
                <c:pt idx="63">
                  <c:v>2645.9326212764431</c:v>
                </c:pt>
                <c:pt idx="64">
                  <c:v>764.11549317390563</c:v>
                </c:pt>
                <c:pt idx="65">
                  <c:v>182.44829029044294</c:v>
                </c:pt>
                <c:pt idx="66">
                  <c:v>36.018129738128785</c:v>
                </c:pt>
                <c:pt idx="67">
                  <c:v>5.8789949321857318</c:v>
                </c:pt>
                <c:pt idx="68">
                  <c:v>0.79338791543577258</c:v>
                </c:pt>
                <c:pt idx="69">
                  <c:v>8.852555214680681E-2</c:v>
                </c:pt>
                <c:pt idx="70">
                  <c:v>8.1668066705822533E-3</c:v>
                </c:pt>
                <c:pt idx="71">
                  <c:v>6.2292602159813896E-4</c:v>
                </c:pt>
                <c:pt idx="72">
                  <c:v>3.9284500819666458E-5</c:v>
                </c:pt>
                <c:pt idx="73">
                  <c:v>2.0483613496085369E-6</c:v>
                </c:pt>
                <c:pt idx="74">
                  <c:v>8.8306459691564504E-8</c:v>
                </c:pt>
                <c:pt idx="75">
                  <c:v>3.1475956943391535E-9</c:v>
                </c:pt>
                <c:pt idx="76">
                  <c:v>9.276111900163547E-11</c:v>
                </c:pt>
                <c:pt idx="77">
                  <c:v>2.26023493415472E-12</c:v>
                </c:pt>
                <c:pt idx="78">
                  <c:v>4.5534624004510716E-14</c:v>
                </c:pt>
                <c:pt idx="79">
                  <c:v>7.5845617961866927E-16</c:v>
                </c:pt>
                <c:pt idx="80">
                  <c:v>1.0445273140861036E-17</c:v>
                </c:pt>
                <c:pt idx="81">
                  <c:v>1.1893499968561488E-19</c:v>
                </c:pt>
                <c:pt idx="82">
                  <c:v>1.1196959775042498E-21</c:v>
                </c:pt>
                <c:pt idx="83">
                  <c:v>8.7154763331612153E-24</c:v>
                </c:pt>
                <c:pt idx="84">
                  <c:v>5.6089646823992435E-26</c:v>
                </c:pt>
                <c:pt idx="85">
                  <c:v>2.9845224535551713E-28</c:v>
                </c:pt>
                <c:pt idx="86">
                  <c:v>1.3130085779728163E-30</c:v>
                </c:pt>
                <c:pt idx="87">
                  <c:v>4.775961792531042E-33</c:v>
                </c:pt>
                <c:pt idx="88">
                  <c:v>1.4363315225717103E-35</c:v>
                </c:pt>
                <c:pt idx="89">
                  <c:v>3.5714872787671639E-38</c:v>
                </c:pt>
                <c:pt idx="90">
                  <c:v>7.3425022940797217E-41</c:v>
                </c:pt>
                <c:pt idx="91">
                  <c:v>1.2480720050996837E-43</c:v>
                </c:pt>
                <c:pt idx="92">
                  <c:v>1.7540249248923751E-46</c:v>
                </c:pt>
                <c:pt idx="93">
                  <c:v>2.0381326520219055E-49</c:v>
                </c:pt>
                <c:pt idx="94">
                  <c:v>1.9580767043229231E-52</c:v>
                </c:pt>
                <c:pt idx="95">
                  <c:v>1.5553478100790289E-55</c:v>
                </c:pt>
                <c:pt idx="96">
                  <c:v>1.0214706938811565E-58</c:v>
                </c:pt>
                <c:pt idx="97">
                  <c:v>5.546574720600105E-62</c:v>
                </c:pt>
                <c:pt idx="98">
                  <c:v>2.4901435995891088E-65</c:v>
                </c:pt>
                <c:pt idx="99">
                  <c:v>9.2432454229036189E-69</c:v>
                </c:pt>
                <c:pt idx="100">
                  <c:v>2.8367766536323749E-72</c:v>
                </c:pt>
                <c:pt idx="101">
                  <c:v>7.1982408088767445E-76</c:v>
                </c:pt>
                <c:pt idx="102">
                  <c:v>1.5101780941345292E-79</c:v>
                </c:pt>
                <c:pt idx="103">
                  <c:v>2.6195731411826796E-83</c:v>
                </c:pt>
                <c:pt idx="104">
                  <c:v>3.7569330783555845E-87</c:v>
                </c:pt>
                <c:pt idx="105">
                  <c:v>4.4548897132000391E-91</c:v>
                </c:pt>
                <c:pt idx="106">
                  <c:v>4.3675815470973523E-95</c:v>
                </c:pt>
                <c:pt idx="107">
                  <c:v>3.5403455729433705E-99</c:v>
                </c:pt>
                <c:pt idx="108">
                  <c:v>2.3727438494459807E-103</c:v>
                </c:pt>
                <c:pt idx="109">
                  <c:v>1.3147907036152672E-107</c:v>
                </c:pt>
                <c:pt idx="110">
                  <c:v>6.0236948162650233E-112</c:v>
                </c:pt>
                <c:pt idx="111">
                  <c:v>2.2817594841830073E-116</c:v>
                </c:pt>
                <c:pt idx="112">
                  <c:v>7.1462356912936882E-121</c:v>
                </c:pt>
                <c:pt idx="113">
                  <c:v>1.8504841712871083E-125</c:v>
                </c:pt>
                <c:pt idx="114">
                  <c:v>3.9618130766687816E-130</c:v>
                </c:pt>
                <c:pt idx="115">
                  <c:v>7.012988961488315E-135</c:v>
                </c:pt>
                <c:pt idx="116">
                  <c:v>1.0263911463068264E-139</c:v>
                </c:pt>
                <c:pt idx="117">
                  <c:v>1.242004606475434E-144</c:v>
                </c:pt>
                <c:pt idx="118">
                  <c:v>1.2426078237161598E-149</c:v>
                </c:pt>
                <c:pt idx="119">
                  <c:v>1.0278873668120152E-154</c:v>
                </c:pt>
                <c:pt idx="120">
                  <c:v>7.0300358670590728E-160</c:v>
                </c:pt>
                <c:pt idx="121">
                  <c:v>3.9753019413039824E-165</c:v>
                </c:pt>
                <c:pt idx="122">
                  <c:v>1.8585885975062407E-170</c:v>
                </c:pt>
                <c:pt idx="123">
                  <c:v>7.184507188940585E-176</c:v>
                </c:pt>
                <c:pt idx="124">
                  <c:v>2.2962082161661387E-181</c:v>
                </c:pt>
                <c:pt idx="125">
                  <c:v>6.0677281791443599E-187</c:v>
                </c:pt>
                <c:pt idx="126">
                  <c:v>1.3256886415635767E-192</c:v>
                </c:pt>
                <c:pt idx="127">
                  <c:v>2.3947353278446711E-198</c:v>
                </c:pt>
                <c:pt idx="128">
                  <c:v>3.5766304902496695E-204</c:v>
                </c:pt>
                <c:pt idx="129">
                  <c:v>4.4166318053562814E-210</c:v>
                </c:pt>
                <c:pt idx="130">
                  <c:v>4.5092974539187083E-216</c:v>
                </c:pt>
                <c:pt idx="131">
                  <c:v>3.8065114513676091E-222</c:v>
                </c:pt>
                <c:pt idx="132">
                  <c:v>2.656721097749536E-228</c:v>
                </c:pt>
                <c:pt idx="133">
                  <c:v>1.5330818998740332E-234</c:v>
                </c:pt>
                <c:pt idx="134">
                  <c:v>7.3145113050609243E-241</c:v>
                </c:pt>
                <c:pt idx="135">
                  <c:v>2.8853987702144002E-247</c:v>
                </c:pt>
                <c:pt idx="136">
                  <c:v>9.4108085172628152E-254</c:v>
                </c:pt>
                <c:pt idx="137">
                  <c:v>2.5377486126131135E-260</c:v>
                </c:pt>
                <c:pt idx="138">
                  <c:v>5.6581027357828474E-267</c:v>
                </c:pt>
                <c:pt idx="139">
                  <c:v>1.043022377813433E-273</c:v>
                </c:pt>
                <c:pt idx="140">
                  <c:v>1.589706651126321E-280</c:v>
                </c:pt>
                <c:pt idx="141">
                  <c:v>2.0032766269150846E-287</c:v>
                </c:pt>
                <c:pt idx="142">
                  <c:v>2.0872065273796486E-294</c:v>
                </c:pt>
                <c:pt idx="143">
                  <c:v>1.7980033320511188E-301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6.9684666484909453E-306</c:v>
                </c:pt>
                <c:pt idx="163">
                  <c:v>6.7569830681274795E-299</c:v>
                </c:pt>
                <c:pt idx="164">
                  <c:v>5.4593622683109623E-292</c:v>
                </c:pt>
                <c:pt idx="165">
                  <c:v>3.6753988525603865E-285</c:v>
                </c:pt>
                <c:pt idx="166">
                  <c:v>2.0617714206312272E-278</c:v>
                </c:pt>
                <c:pt idx="167">
                  <c:v>9.6371813968213945E-272</c:v>
                </c:pt>
                <c:pt idx="168">
                  <c:v>3.7534707016442143E-265</c:v>
                </c:pt>
                <c:pt idx="169">
                  <c:v>1.2181184052846157E-258</c:v>
                </c:pt>
                <c:pt idx="170">
                  <c:v>3.2939686282066293E-252</c:v>
                </c:pt>
                <c:pt idx="171">
                  <c:v>7.4220331601378961E-246</c:v>
                </c:pt>
                <c:pt idx="172">
                  <c:v>1.3934769858031937E-239</c:v>
                </c:pt>
                <c:pt idx="173">
                  <c:v>2.1799683529074451E-233</c:v>
                </c:pt>
                <c:pt idx="174">
                  <c:v>2.8416727045122481E-227</c:v>
                </c:pt>
                <c:pt idx="175">
                  <c:v>3.0865363847471765E-221</c:v>
                </c:pt>
                <c:pt idx="176">
                  <c:v>2.7934585039908781E-215</c:v>
                </c:pt>
                <c:pt idx="177">
                  <c:v>2.1066215683054981E-209</c:v>
                </c:pt>
                <c:pt idx="178">
                  <c:v>1.323744920352113E-203</c:v>
                </c:pt>
                <c:pt idx="179">
                  <c:v>6.9309946754103715E-198</c:v>
                </c:pt>
                <c:pt idx="180">
                  <c:v>3.0238504058152525E-192</c:v>
                </c:pt>
                <c:pt idx="181">
                  <c:v>1.0992551717135602E-186</c:v>
                </c:pt>
                <c:pt idx="182">
                  <c:v>3.3297391408714423E-181</c:v>
                </c:pt>
                <c:pt idx="183">
                  <c:v>8.4041807315479355E-176</c:v>
                </c:pt>
                <c:pt idx="184">
                  <c:v>1.7674780690258486E-170</c:v>
                </c:pt>
                <c:pt idx="185">
                  <c:v>3.0973206110612448E-165</c:v>
                </c:pt>
                <c:pt idx="186">
                  <c:v>4.5226373987681906E-160</c:v>
                </c:pt>
                <c:pt idx="187">
                  <c:v>5.5026368879868268E-155</c:v>
                </c:pt>
                <c:pt idx="188">
                  <c:v>5.5785768350342325E-150</c:v>
                </c:pt>
                <c:pt idx="189">
                  <c:v>4.7124793628875882E-145</c:v>
                </c:pt>
                <c:pt idx="190">
                  <c:v>3.3170268115386014E-140</c:v>
                </c:pt>
                <c:pt idx="191">
                  <c:v>1.9454585444216386E-135</c:v>
                </c:pt>
                <c:pt idx="192">
                  <c:v>9.507546501498842E-131</c:v>
                </c:pt>
                <c:pt idx="193">
                  <c:v>3.8715815709620183E-126</c:v>
                </c:pt>
                <c:pt idx="194">
                  <c:v>1.3136565874241484E-121</c:v>
                </c:pt>
                <c:pt idx="195">
                  <c:v>3.7140586741262091E-117</c:v>
                </c:pt>
                <c:pt idx="196">
                  <c:v>8.7496191805167604E-113</c:v>
                </c:pt>
                <c:pt idx="197">
                  <c:v>1.7175248140833386E-108</c:v>
                </c:pt>
                <c:pt idx="198">
                  <c:v>2.8092498592653856E-104</c:v>
                </c:pt>
                <c:pt idx="199">
                  <c:v>3.8286987247922664E-100</c:v>
                </c:pt>
                <c:pt idx="200">
                  <c:v>4.3479595776210024E-96</c:v>
                </c:pt>
                <c:pt idx="201">
                  <c:v>4.1142746558356191E-92</c:v>
                </c:pt>
                <c:pt idx="202">
                  <c:v>3.2439529109014648E-88</c:v>
                </c:pt>
                <c:pt idx="203">
                  <c:v>2.1312248956921198E-84</c:v>
                </c:pt>
                <c:pt idx="204">
                  <c:v>1.1666954343946804E-80</c:v>
                </c:pt>
                <c:pt idx="205">
                  <c:v>5.3218079062139168E-77</c:v>
                </c:pt>
                <c:pt idx="206">
                  <c:v>2.0227134801204485E-73</c:v>
                </c:pt>
                <c:pt idx="207">
                  <c:v>6.4059422850307203E-70</c:v>
                </c:pt>
                <c:pt idx="208">
                  <c:v>1.6904609878182785E-66</c:v>
                </c:pt>
                <c:pt idx="209">
                  <c:v>3.7170701908103237E-63</c:v>
                </c:pt>
                <c:pt idx="210">
                  <c:v>6.8103565555651327E-60</c:v>
                </c:pt>
                <c:pt idx="211">
                  <c:v>1.0397104670448836E-56</c:v>
                </c:pt>
                <c:pt idx="212">
                  <c:v>1.3225998244224717E-53</c:v>
                </c:pt>
                <c:pt idx="213">
                  <c:v>1.4019030597980684E-50</c:v>
                </c:pt>
                <c:pt idx="214">
                  <c:v>1.2381720178533287E-47</c:v>
                </c:pt>
                <c:pt idx="215">
                  <c:v>9.1120787530576731E-45</c:v>
                </c:pt>
                <c:pt idx="216">
                  <c:v>5.5876271973223464E-42</c:v>
                </c:pt>
                <c:pt idx="217">
                  <c:v>2.855031202207096E-39</c:v>
                </c:pt>
                <c:pt idx="218">
                  <c:v>1.2155358544543039E-36</c:v>
                </c:pt>
                <c:pt idx="219">
                  <c:v>4.312192766894963E-34</c:v>
                </c:pt>
                <c:pt idx="220">
                  <c:v>1.2746825433417759E-31</c:v>
                </c:pt>
                <c:pt idx="221">
                  <c:v>3.1396366351297381E-29</c:v>
                </c:pt>
                <c:pt idx="222">
                  <c:v>6.4436243827937546E-27</c:v>
                </c:pt>
                <c:pt idx="223">
                  <c:v>1.1019313089580232E-24</c:v>
                </c:pt>
                <c:pt idx="224">
                  <c:v>1.5701903633804225E-22</c:v>
                </c:pt>
                <c:pt idx="225">
                  <c:v>1.8643333604727441E-20</c:v>
                </c:pt>
                <c:pt idx="226">
                  <c:v>1.8444560555650279E-18</c:v>
                </c:pt>
                <c:pt idx="227">
                  <c:v>1.5205003783413502E-16</c:v>
                </c:pt>
                <c:pt idx="228">
                  <c:v>1.0444273377316786E-14</c:v>
                </c:pt>
                <c:pt idx="229">
                  <c:v>5.9778278991589487E-13</c:v>
                </c:pt>
                <c:pt idx="230">
                  <c:v>2.8509005165796167E-11</c:v>
                </c:pt>
                <c:pt idx="231">
                  <c:v>1.1329068327656181E-9</c:v>
                </c:pt>
                <c:pt idx="232">
                  <c:v>3.7512828183955172E-8</c:v>
                </c:pt>
                <c:pt idx="233">
                  <c:v>1.0349965402893831E-6</c:v>
                </c:pt>
                <c:pt idx="234">
                  <c:v>2.3794219663463542E-5</c:v>
                </c:pt>
                <c:pt idx="235">
                  <c:v>4.5580335073077311E-4</c:v>
                </c:pt>
                <c:pt idx="236">
                  <c:v>7.2754027302314355E-3</c:v>
                </c:pt>
                <c:pt idx="237">
                  <c:v>9.6763159914783667E-2</c:v>
                </c:pt>
                <c:pt idx="238">
                  <c:v>1.0723499213908185</c:v>
                </c:pt>
                <c:pt idx="239">
                  <c:v>9.9023092352229298</c:v>
                </c:pt>
                <c:pt idx="240">
                  <c:v>76.192096417659997</c:v>
                </c:pt>
                <c:pt idx="241">
                  <c:v>488.49130786447444</c:v>
                </c:pt>
                <c:pt idx="242">
                  <c:v>2609.6197815844434</c:v>
                </c:pt>
                <c:pt idx="243">
                  <c:v>11616.388001100724</c:v>
                </c:pt>
                <c:pt idx="244">
                  <c:v>43086.226651375873</c:v>
                </c:pt>
                <c:pt idx="245">
                  <c:v>133161.68812576323</c:v>
                </c:pt>
                <c:pt idx="246">
                  <c:v>342920.62062144571</c:v>
                </c:pt>
                <c:pt idx="247">
                  <c:v>735836.60462876165</c:v>
                </c:pt>
                <c:pt idx="248">
                  <c:v>1315656.9185229235</c:v>
                </c:pt>
                <c:pt idx="249">
                  <c:v>1960096.2500306892</c:v>
                </c:pt>
                <c:pt idx="250">
                  <c:v>2433243.7700793357</c:v>
                </c:pt>
                <c:pt idx="251">
                  <c:v>2516907.8818565784</c:v>
                </c:pt>
                <c:pt idx="252">
                  <c:v>2169314.4034129558</c:v>
                </c:pt>
                <c:pt idx="253">
                  <c:v>1557941.539905563</c:v>
                </c:pt>
                <c:pt idx="254">
                  <c:v>932294.86669566622</c:v>
                </c:pt>
                <c:pt idx="255">
                  <c:v>464867.202858595</c:v>
                </c:pt>
                <c:pt idx="256">
                  <c:v>193142.56716524324</c:v>
                </c:pt>
                <c:pt idx="257">
                  <c:v>66865.265039857142</c:v>
                </c:pt>
                <c:pt idx="258">
                  <c:v>19288.418467131036</c:v>
                </c:pt>
                <c:pt idx="259">
                  <c:v>4636.2425360963734</c:v>
                </c:pt>
                <c:pt idx="260">
                  <c:v>928.55825031479696</c:v>
                </c:pt>
                <c:pt idx="261">
                  <c:v>154.96215145228601</c:v>
                </c:pt>
                <c:pt idx="262">
                  <c:v>21.548428347770511</c:v>
                </c:pt>
                <c:pt idx="263">
                  <c:v>2.4967728953697361</c:v>
                </c:pt>
                <c:pt idx="264">
                  <c:v>0.24105489803639596</c:v>
                </c:pt>
                <c:pt idx="265">
                  <c:v>1.9392167697562315E-2</c:v>
                </c:pt>
                <c:pt idx="266">
                  <c:v>1.2999008694799224E-3</c:v>
                </c:pt>
                <c:pt idx="267">
                  <c:v>7.2605177033945799E-5</c:v>
                </c:pt>
                <c:pt idx="268">
                  <c:v>3.3790795928424628E-6</c:v>
                </c:pt>
                <c:pt idx="269">
                  <c:v>1.31039652494364E-7</c:v>
                </c:pt>
                <c:pt idx="270">
                  <c:v>4.2342892530568042E-9</c:v>
                </c:pt>
                <c:pt idx="271">
                  <c:v>1.1400707151691196E-10</c:v>
                </c:pt>
                <c:pt idx="272">
                  <c:v>2.5577408306723911E-12</c:v>
                </c:pt>
                <c:pt idx="273">
                  <c:v>4.7813965192659706E-14</c:v>
                </c:pt>
                <c:pt idx="274">
                  <c:v>7.4477735606416974E-16</c:v>
                </c:pt>
                <c:pt idx="275">
                  <c:v>9.6665531992673945E-18</c:v>
                </c:pt>
                <c:pt idx="276">
                  <c:v>1.0454187982325181E-19</c:v>
                </c:pt>
                <c:pt idx="277">
                  <c:v>9.4206841471215745E-22</c:v>
                </c:pt>
                <c:pt idx="278">
                  <c:v>7.0737231687101566E-24</c:v>
                </c:pt>
                <c:pt idx="279">
                  <c:v>4.4257528166650124E-26</c:v>
                </c:pt>
                <c:pt idx="280">
                  <c:v>2.3072769508054713E-28</c:v>
                </c:pt>
                <c:pt idx="281">
                  <c:v>1.0022724183271709E-30</c:v>
                </c:pt>
                <c:pt idx="282">
                  <c:v>3.6278164772179417E-33</c:v>
                </c:pt>
                <c:pt idx="283">
                  <c:v>1.0941536595324222E-35</c:v>
                </c:pt>
                <c:pt idx="284">
                  <c:v>2.7496967721685487E-38</c:v>
                </c:pt>
                <c:pt idx="285">
                  <c:v>5.7579086283713531E-41</c:v>
                </c:pt>
                <c:pt idx="286">
                  <c:v>1.0046579197665307E-43</c:v>
                </c:pt>
                <c:pt idx="287">
                  <c:v>1.4606465385640586E-46</c:v>
                </c:pt>
                <c:pt idx="288">
                  <c:v>1.7694794932716874E-49</c:v>
                </c:pt>
                <c:pt idx="289">
                  <c:v>1.7861561050104938E-52</c:v>
                </c:pt>
                <c:pt idx="290">
                  <c:v>1.5023349444920311E-55</c:v>
                </c:pt>
                <c:pt idx="291">
                  <c:v>1.0529011602169075E-58</c:v>
                </c:pt>
                <c:pt idx="292">
                  <c:v>6.1486803738270079E-62</c:v>
                </c:pt>
                <c:pt idx="293">
                  <c:v>2.9919181587302645E-65</c:v>
                </c:pt>
                <c:pt idx="294">
                  <c:v>1.2130842938820566E-68</c:v>
                </c:pt>
                <c:pt idx="295">
                  <c:v>4.09831870708121E-72</c:v>
                </c:pt>
                <c:pt idx="296">
                  <c:v>1.1537028231894955E-75</c:v>
                </c:pt>
                <c:pt idx="297">
                  <c:v>2.7061736480538858E-79</c:v>
                </c:pt>
                <c:pt idx="298">
                  <c:v>5.2892104141488703E-83</c:v>
                </c:pt>
                <c:pt idx="299">
                  <c:v>8.613893667569358E-87</c:v>
                </c:pt>
                <c:pt idx="300">
                  <c:v>1.168911541618215E-90</c:v>
                </c:pt>
                <c:pt idx="301">
                  <c:v>1.3217133163236238E-94</c:v>
                </c:pt>
                <c:pt idx="302">
                  <c:v>1.2452781349937808E-98</c:v>
                </c:pt>
                <c:pt idx="303">
                  <c:v>9.7761743479794286E-103</c:v>
                </c:pt>
                <c:pt idx="304">
                  <c:v>6.395065426466388E-107</c:v>
                </c:pt>
                <c:pt idx="305">
                  <c:v>3.4857362604911343E-111</c:v>
                </c:pt>
                <c:pt idx="306">
                  <c:v>1.5831334849428059E-115</c:v>
                </c:pt>
                <c:pt idx="307">
                  <c:v>5.9912028436380079E-120</c:v>
                </c:pt>
                <c:pt idx="308">
                  <c:v>1.8892263357704488E-124</c:v>
                </c:pt>
                <c:pt idx="309">
                  <c:v>4.9639504376656096E-129</c:v>
                </c:pt>
                <c:pt idx="310">
                  <c:v>1.0867868144846096E-133</c:v>
                </c:pt>
                <c:pt idx="311">
                  <c:v>1.9825984533656119E-138</c:v>
                </c:pt>
                <c:pt idx="312">
                  <c:v>3.0136904631793535E-143</c:v>
                </c:pt>
                <c:pt idx="313">
                  <c:v>3.8171216670633119E-148</c:v>
                </c:pt>
                <c:pt idx="314">
                  <c:v>4.0285322096964408E-153</c:v>
                </c:pt>
                <c:pt idx="315">
                  <c:v>3.5426737239893615E-158</c:v>
                </c:pt>
                <c:pt idx="316">
                  <c:v>2.5959059290150982E-163</c:v>
                </c:pt>
                <c:pt idx="317">
                  <c:v>1.5849669946719284E-168</c:v>
                </c:pt>
                <c:pt idx="318">
                  <c:v>8.0635256879052326E-174</c:v>
                </c:pt>
                <c:pt idx="319">
                  <c:v>3.4182451249415626E-179</c:v>
                </c:pt>
                <c:pt idx="320">
                  <c:v>1.2074103955559154E-184</c:v>
                </c:pt>
                <c:pt idx="321">
                  <c:v>3.5536945538329138E-190</c:v>
                </c:pt>
                <c:pt idx="322">
                  <c:v>8.7152281575869174E-196</c:v>
                </c:pt>
                <c:pt idx="323">
                  <c:v>1.7809466247709685E-201</c:v>
                </c:pt>
                <c:pt idx="324">
                  <c:v>3.032470082064302E-207</c:v>
                </c:pt>
                <c:pt idx="325">
                  <c:v>4.3024479432303588E-213</c:v>
                </c:pt>
                <c:pt idx="326">
                  <c:v>3.1308151267464386E-217</c:v>
                </c:pt>
                <c:pt idx="327">
                  <c:v>1.8121049991643406E-211</c:v>
                </c:pt>
                <c:pt idx="328">
                  <c:v>8.9530135719371085E-206</c:v>
                </c:pt>
                <c:pt idx="329">
                  <c:v>3.7145098667770785E-200</c:v>
                </c:pt>
                <c:pt idx="330">
                  <c:v>1.2941367757993889E-194</c:v>
                </c:pt>
                <c:pt idx="331">
                  <c:v>3.7862146403513552E-189</c:v>
                </c:pt>
                <c:pt idx="332">
                  <c:v>9.3020071967549865E-184</c:v>
                </c:pt>
                <c:pt idx="333">
                  <c:v>1.9190862818185169E-178</c:v>
                </c:pt>
                <c:pt idx="334">
                  <c:v>3.3247478961958812E-173</c:v>
                </c:pt>
                <c:pt idx="335">
                  <c:v>4.8369247157140211E-168</c:v>
                </c:pt>
                <c:pt idx="336">
                  <c:v>5.9091678315666769E-163</c:v>
                </c:pt>
                <c:pt idx="337">
                  <c:v>6.0621923350818435E-158</c:v>
                </c:pt>
                <c:pt idx="338">
                  <c:v>5.222512478670918E-153</c:v>
                </c:pt>
                <c:pt idx="339">
                  <c:v>3.7781191553402362E-148</c:v>
                </c:pt>
                <c:pt idx="340">
                  <c:v>2.2951876803699172E-143</c:v>
                </c:pt>
                <c:pt idx="341">
                  <c:v>1.1708658696565295E-138</c:v>
                </c:pt>
                <c:pt idx="342">
                  <c:v>5.0158261840393945E-134</c:v>
                </c:pt>
                <c:pt idx="343">
                  <c:v>1.8043641883120461E-129</c:v>
                </c:pt>
                <c:pt idx="344">
                  <c:v>5.450700365284515E-125</c:v>
                </c:pt>
                <c:pt idx="345">
                  <c:v>1.3826963220140197E-120</c:v>
                </c:pt>
                <c:pt idx="346">
                  <c:v>2.945423147850104E-116</c:v>
                </c:pt>
                <c:pt idx="347">
                  <c:v>5.2688395411540733E-112</c:v>
                </c:pt>
                <c:pt idx="348">
                  <c:v>7.9145939506785668E-108</c:v>
                </c:pt>
                <c:pt idx="349">
                  <c:v>9.9836349797124371E-104</c:v>
                </c:pt>
                <c:pt idx="350">
                  <c:v>1.0575359465424414E-99</c:v>
                </c:pt>
                <c:pt idx="351">
                  <c:v>9.4069312873622135E-96</c:v>
                </c:pt>
                <c:pt idx="352">
                  <c:v>7.026631758272574E-92</c:v>
                </c:pt>
                <c:pt idx="353">
                  <c:v>4.4075049207088136E-88</c:v>
                </c:pt>
                <c:pt idx="354">
                  <c:v>2.3215861623126039E-84</c:v>
                </c:pt>
                <c:pt idx="355">
                  <c:v>1.02688827775278E-80</c:v>
                </c:pt>
                <c:pt idx="356">
                  <c:v>3.8142396385491365E-77</c:v>
                </c:pt>
                <c:pt idx="357">
                  <c:v>1.18970460627502E-73</c:v>
                </c:pt>
                <c:pt idx="358">
                  <c:v>3.1161381270283241E-70</c:v>
                </c:pt>
                <c:pt idx="359">
                  <c:v>6.8539454917759445E-67</c:v>
                </c:pt>
                <c:pt idx="360">
                  <c:v>1.2659337589536882E-63</c:v>
                </c:pt>
                <c:pt idx="361">
                  <c:v>1.9634855331199408E-60</c:v>
                </c:pt>
                <c:pt idx="362">
                  <c:v>2.5573538235656557E-57</c:v>
                </c:pt>
                <c:pt idx="363">
                  <c:v>2.7970505908892609E-54</c:v>
                </c:pt>
                <c:pt idx="364">
                  <c:v>2.5689533220434947E-51</c:v>
                </c:pt>
                <c:pt idx="365">
                  <c:v>1.9813376574721159E-48</c:v>
                </c:pt>
                <c:pt idx="366">
                  <c:v>1.2832378578335307E-45</c:v>
                </c:pt>
                <c:pt idx="367">
                  <c:v>6.9791450166356685E-43</c:v>
                </c:pt>
                <c:pt idx="368">
                  <c:v>3.1874521242827529E-40</c:v>
                </c:pt>
                <c:pt idx="369">
                  <c:v>1.2224511329564519E-37</c:v>
                </c:pt>
                <c:pt idx="370">
                  <c:v>3.9370028890218442E-35</c:v>
                </c:pt>
                <c:pt idx="371">
                  <c:v>1.0647468126480775E-32</c:v>
                </c:pt>
                <c:pt idx="372">
                  <c:v>2.4180949661174642E-30</c:v>
                </c:pt>
                <c:pt idx="373">
                  <c:v>4.611548137080622E-28</c:v>
                </c:pt>
                <c:pt idx="374">
                  <c:v>7.3852725739905021E-26</c:v>
                </c:pt>
                <c:pt idx="375">
                  <c:v>9.9319082821518869E-24</c:v>
                </c:pt>
                <c:pt idx="376">
                  <c:v>1.1216187505946058E-21</c:v>
                </c:pt>
                <c:pt idx="377">
                  <c:v>1.0636633877768809E-19</c:v>
                </c:pt>
                <c:pt idx="378">
                  <c:v>8.47050980521956E-18</c:v>
                </c:pt>
                <c:pt idx="379">
                  <c:v>5.6644960387541561E-16</c:v>
                </c:pt>
                <c:pt idx="380">
                  <c:v>3.1809686901108812E-14</c:v>
                </c:pt>
                <c:pt idx="381">
                  <c:v>1.5000436626529343E-12</c:v>
                </c:pt>
                <c:pt idx="382">
                  <c:v>5.9401142165421475E-11</c:v>
                </c:pt>
                <c:pt idx="383">
                  <c:v>1.9752955254147043E-9</c:v>
                </c:pt>
                <c:pt idx="384">
                  <c:v>5.5158919885497278E-8</c:v>
                </c:pt>
                <c:pt idx="385">
                  <c:v>1.2934385949568732E-6</c:v>
                </c:pt>
                <c:pt idx="386">
                  <c:v>2.5469608376861963E-5</c:v>
                </c:pt>
                <c:pt idx="387">
                  <c:v>4.2115805163298715E-4</c:v>
                </c:pt>
                <c:pt idx="388">
                  <c:v>5.8480939044009079E-3</c:v>
                </c:pt>
                <c:pt idx="389">
                  <c:v>6.8191454891162379E-2</c:v>
                </c:pt>
                <c:pt idx="390">
                  <c:v>0.66771627862900851</c:v>
                </c:pt>
                <c:pt idx="391">
                  <c:v>5.4903541771252042</c:v>
                </c:pt>
                <c:pt idx="392">
                  <c:v>37.910118967681989</c:v>
                </c:pt>
                <c:pt idx="393">
                  <c:v>219.81449257044881</c:v>
                </c:pt>
                <c:pt idx="394">
                  <c:v>1070.2959614518206</c:v>
                </c:pt>
                <c:pt idx="395">
                  <c:v>4376.2068343479559</c:v>
                </c:pt>
                <c:pt idx="396">
                  <c:v>15025.820017365453</c:v>
                </c:pt>
                <c:pt idx="397">
                  <c:v>43323.637564268909</c:v>
                </c:pt>
                <c:pt idx="398">
                  <c:v>104895.78431525359</c:v>
                </c:pt>
                <c:pt idx="399">
                  <c:v>213273.81827237271</c:v>
                </c:pt>
                <c:pt idx="400">
                  <c:v>364135.85395503376</c:v>
                </c:pt>
                <c:pt idx="401">
                  <c:v>522078.40651989472</c:v>
                </c:pt>
                <c:pt idx="402">
                  <c:v>628571.09768366057</c:v>
                </c:pt>
                <c:pt idx="403">
                  <c:v>635505.73468264518</c:v>
                </c:pt>
                <c:pt idx="404">
                  <c:v>539549.04606449115</c:v>
                </c:pt>
                <c:pt idx="405">
                  <c:v>384670.40370702266</c:v>
                </c:pt>
                <c:pt idx="406">
                  <c:v>230299.50609391162</c:v>
                </c:pt>
                <c:pt idx="407">
                  <c:v>115782.68828782713</c:v>
                </c:pt>
                <c:pt idx="408">
                  <c:v>48881.062849677954</c:v>
                </c:pt>
                <c:pt idx="409">
                  <c:v>17329.420539579547</c:v>
                </c:pt>
                <c:pt idx="410">
                  <c:v>5159.0986305797533</c:v>
                </c:pt>
                <c:pt idx="411">
                  <c:v>1289.7632835535394</c:v>
                </c:pt>
                <c:pt idx="412">
                  <c:v>270.76503244575792</c:v>
                </c:pt>
                <c:pt idx="413">
                  <c:v>47.733308163042864</c:v>
                </c:pt>
                <c:pt idx="414">
                  <c:v>7.0663782431180477</c:v>
                </c:pt>
                <c:pt idx="415">
                  <c:v>0.87845317203401152</c:v>
                </c:pt>
                <c:pt idx="416">
                  <c:v>9.1703674859076212E-2</c:v>
                </c:pt>
                <c:pt idx="417">
                  <c:v>8.0389856398605224E-3</c:v>
                </c:pt>
                <c:pt idx="418">
                  <c:v>5.917825504983277E-4</c:v>
                </c:pt>
                <c:pt idx="419">
                  <c:v>3.6582168578179698E-5</c:v>
                </c:pt>
                <c:pt idx="420">
                  <c:v>1.8989919655710462E-6</c:v>
                </c:pt>
                <c:pt idx="421">
                  <c:v>8.2779575873859775E-8</c:v>
                </c:pt>
                <c:pt idx="422">
                  <c:v>3.030188569926868E-9</c:v>
                </c:pt>
                <c:pt idx="423">
                  <c:v>9.3145634086928265E-11</c:v>
                </c:pt>
                <c:pt idx="424">
                  <c:v>2.404372435407048E-12</c:v>
                </c:pt>
                <c:pt idx="425">
                  <c:v>5.2117954982890862E-14</c:v>
                </c:pt>
                <c:pt idx="426">
                  <c:v>9.486792061869294E-16</c:v>
                </c:pt>
                <c:pt idx="427">
                  <c:v>1.4500994429005215E-17</c:v>
                </c:pt>
                <c:pt idx="428">
                  <c:v>1.8613265791238219E-19</c:v>
                </c:pt>
                <c:pt idx="429">
                  <c:v>2.0062902440960679E-21</c:v>
                </c:pt>
                <c:pt idx="430">
                  <c:v>1.8159811356926569E-23</c:v>
                </c:pt>
                <c:pt idx="431">
                  <c:v>1.3803057378407882E-25</c:v>
                </c:pt>
                <c:pt idx="432">
                  <c:v>8.8101974748698488E-28</c:v>
                </c:pt>
                <c:pt idx="433">
                  <c:v>4.7221783057175219E-30</c:v>
                </c:pt>
                <c:pt idx="434">
                  <c:v>2.1254236535577137E-32</c:v>
                </c:pt>
                <c:pt idx="435">
                  <c:v>8.0333192478473531E-35</c:v>
                </c:pt>
                <c:pt idx="436">
                  <c:v>2.5497108517769482E-37</c:v>
                </c:pt>
                <c:pt idx="437">
                  <c:v>6.7956848058819006E-40</c:v>
                </c:pt>
                <c:pt idx="438">
                  <c:v>1.5209744253095395E-42</c:v>
                </c:pt>
                <c:pt idx="439">
                  <c:v>2.8586236661024793E-45</c:v>
                </c:pt>
                <c:pt idx="440">
                  <c:v>4.5116816448357576E-48</c:v>
                </c:pt>
                <c:pt idx="441">
                  <c:v>5.9795196666261149E-51</c:v>
                </c:pt>
                <c:pt idx="442">
                  <c:v>6.6548847564406913E-54</c:v>
                </c:pt>
                <c:pt idx="443">
                  <c:v>6.2195815810120729E-57</c:v>
                </c:pt>
                <c:pt idx="444">
                  <c:v>4.881217812710949E-60</c:v>
                </c:pt>
                <c:pt idx="445">
                  <c:v>3.2169298846078277E-63</c:v>
                </c:pt>
                <c:pt idx="446">
                  <c:v>1.7803336156112499E-66</c:v>
                </c:pt>
                <c:pt idx="447">
                  <c:v>8.2738487606122417E-70</c:v>
                </c:pt>
                <c:pt idx="448">
                  <c:v>3.2289413239646685E-73</c:v>
                </c:pt>
                <c:pt idx="449">
                  <c:v>1.0581789482079184E-76</c:v>
                </c:pt>
                <c:pt idx="450">
                  <c:v>2.9120878375816352E-80</c:v>
                </c:pt>
                <c:pt idx="451">
                  <c:v>6.7297078775793911E-84</c:v>
                </c:pt>
                <c:pt idx="452">
                  <c:v>1.3059734387787144E-87</c:v>
                </c:pt>
                <c:pt idx="453">
                  <c:v>2.1282314893742496E-91</c:v>
                </c:pt>
                <c:pt idx="454">
                  <c:v>2.9123916305028679E-95</c:v>
                </c:pt>
                <c:pt idx="455">
                  <c:v>3.3467792908716491E-99</c:v>
                </c:pt>
                <c:pt idx="456">
                  <c:v>3.2296150541115268E-103</c:v>
                </c:pt>
                <c:pt idx="457">
                  <c:v>2.6171031346414828E-107</c:v>
                </c:pt>
                <c:pt idx="458">
                  <c:v>1.7808908541333241E-111</c:v>
                </c:pt>
                <c:pt idx="459">
                  <c:v>1.0176540342759715E-115</c:v>
                </c:pt>
                <c:pt idx="460">
                  <c:v>4.8832549923034861E-120</c:v>
                </c:pt>
                <c:pt idx="461">
                  <c:v>1.9677278660590914E-124</c:v>
                </c:pt>
                <c:pt idx="462">
                  <c:v>6.658356713420628E-129</c:v>
                </c:pt>
                <c:pt idx="463">
                  <c:v>1.8919753318428306E-133</c:v>
                </c:pt>
                <c:pt idx="464">
                  <c:v>4.5145063696400587E-138</c:v>
                </c:pt>
                <c:pt idx="465">
                  <c:v>9.045893277656088E-143</c:v>
                </c:pt>
                <c:pt idx="466">
                  <c:v>1.5220854636659345E-147</c:v>
                </c:pt>
                <c:pt idx="467">
                  <c:v>2.1573199410892887E-152</c:v>
                </c:pt>
                <c:pt idx="468">
                  <c:v>4.039489092803326E-150</c:v>
                </c:pt>
                <c:pt idx="469">
                  <c:v>2.0754154304620402E-145</c:v>
                </c:pt>
                <c:pt idx="470">
                  <c:v>9.0240806932445935E-141</c:v>
                </c:pt>
                <c:pt idx="471">
                  <c:v>3.3206277942655921E-136</c:v>
                </c:pt>
                <c:pt idx="472">
                  <c:v>1.0340861634764337E-131</c:v>
                </c:pt>
                <c:pt idx="473">
                  <c:v>2.7252889501229339E-127</c:v>
                </c:pt>
                <c:pt idx="474">
                  <c:v>6.0783777068148716E-123</c:v>
                </c:pt>
                <c:pt idx="475">
                  <c:v>1.147313519689309E-118</c:v>
                </c:pt>
                <c:pt idx="476">
                  <c:v>1.8327188171353559E-114</c:v>
                </c:pt>
                <c:pt idx="477">
                  <c:v>2.4775867308394263E-110</c:v>
                </c:pt>
                <c:pt idx="478">
                  <c:v>2.8345308869801179E-106</c:v>
                </c:pt>
                <c:pt idx="479">
                  <c:v>2.7444341883765201E-102</c:v>
                </c:pt>
                <c:pt idx="480">
                  <c:v>2.2487633147662099E-98</c:v>
                </c:pt>
                <c:pt idx="481">
                  <c:v>1.5593872340695455E-94</c:v>
                </c:pt>
                <c:pt idx="482">
                  <c:v>9.1513149270622903E-91</c:v>
                </c:pt>
                <c:pt idx="483">
                  <c:v>4.5449836737429808E-87</c:v>
                </c:pt>
                <c:pt idx="484">
                  <c:v>1.9102950648925072E-83</c:v>
                </c:pt>
                <c:pt idx="485">
                  <c:v>6.7949752584935429E-80</c:v>
                </c:pt>
                <c:pt idx="486">
                  <c:v>2.0454770238598004E-76</c:v>
                </c:pt>
                <c:pt idx="487">
                  <c:v>5.2109946973961812E-73</c:v>
                </c:pt>
                <c:pt idx="488">
                  <c:v>1.123481580920576E-69</c:v>
                </c:pt>
                <c:pt idx="489">
                  <c:v>2.0498901188304263E-66</c:v>
                </c:pt>
                <c:pt idx="490">
                  <c:v>3.1652972985612034E-63</c:v>
                </c:pt>
                <c:pt idx="491">
                  <c:v>4.1363543075695819E-60</c:v>
                </c:pt>
                <c:pt idx="492">
                  <c:v>4.5744644489401758E-57</c:v>
                </c:pt>
                <c:pt idx="493">
                  <c:v>4.2813632937555635E-54</c:v>
                </c:pt>
                <c:pt idx="494">
                  <c:v>3.3911203706193365E-51</c:v>
                </c:pt>
                <c:pt idx="495">
                  <c:v>2.2731266303190034E-48</c:v>
                </c:pt>
                <c:pt idx="496">
                  <c:v>1.289505960387089E-45</c:v>
                </c:pt>
                <c:pt idx="497">
                  <c:v>6.1907373329656646E-43</c:v>
                </c:pt>
                <c:pt idx="498">
                  <c:v>2.5152473571403043E-40</c:v>
                </c:pt>
                <c:pt idx="499">
                  <c:v>8.6484509132559247E-38</c:v>
                </c:pt>
                <c:pt idx="500">
                  <c:v>2.5166061180368476E-35</c:v>
                </c:pt>
                <c:pt idx="501">
                  <c:v>6.1974277316924039E-33</c:v>
                </c:pt>
                <c:pt idx="502">
                  <c:v>1.2915969002200246E-30</c:v>
                </c:pt>
                <c:pt idx="503">
                  <c:v>2.2780424716765211E-28</c:v>
                </c:pt>
                <c:pt idx="504">
                  <c:v>3.4002898519098843E-26</c:v>
                </c:pt>
                <c:pt idx="505">
                  <c:v>4.2952590511062032E-24</c:v>
                </c:pt>
                <c:pt idx="506">
                  <c:v>4.5917906970380573E-22</c:v>
                </c:pt>
                <c:pt idx="507">
                  <c:v>4.1542641309745585E-20</c:v>
                </c:pt>
                <c:pt idx="508">
                  <c:v>3.1807199116776341E-18</c:v>
                </c:pt>
                <c:pt idx="509">
                  <c:v>2.0609907814478345E-16</c:v>
                </c:pt>
                <c:pt idx="510">
                  <c:v>1.1301757140850363E-14</c:v>
                </c:pt>
                <c:pt idx="511">
                  <c:v>5.2448756004637553E-13</c:v>
                </c:pt>
                <c:pt idx="512">
                  <c:v>2.0598884998816125E-11</c:v>
                </c:pt>
                <c:pt idx="513">
                  <c:v>6.8465460547367283E-10</c:v>
                </c:pt>
                <c:pt idx="514">
                  <c:v>1.925833134428016E-8</c:v>
                </c:pt>
                <c:pt idx="515">
                  <c:v>4.5844271419679129E-7</c:v>
                </c:pt>
                <c:pt idx="516">
                  <c:v>9.2357207978863051E-6</c:v>
                </c:pt>
                <c:pt idx="517">
                  <c:v>1.5746201894555479E-4</c:v>
                </c:pt>
                <c:pt idx="518">
                  <c:v>2.2719571468068976E-3</c:v>
                </c:pt>
                <c:pt idx="519">
                  <c:v>2.7742382501481481E-2</c:v>
                </c:pt>
                <c:pt idx="520">
                  <c:v>0.28668612526389586</c:v>
                </c:pt>
                <c:pt idx="521">
                  <c:v>2.5071995105303726</c:v>
                </c:pt>
                <c:pt idx="522">
                  <c:v>18.556258486970833</c:v>
                </c:pt>
                <c:pt idx="523">
                  <c:v>116.22812522134925</c:v>
                </c:pt>
                <c:pt idx="524">
                  <c:v>616.10020242418011</c:v>
                </c:pt>
                <c:pt idx="525">
                  <c:v>2763.826459066082</c:v>
                </c:pt>
                <c:pt idx="526">
                  <c:v>10492.75394217782</c:v>
                </c:pt>
                <c:pt idx="527">
                  <c:v>33712.23199888513</c:v>
                </c:pt>
                <c:pt idx="528">
                  <c:v>91665.270657661036</c:v>
                </c:pt>
                <c:pt idx="529">
                  <c:v>210931.50096370769</c:v>
                </c:pt>
                <c:pt idx="530">
                  <c:v>410768.71632827265</c:v>
                </c:pt>
                <c:pt idx="531">
                  <c:v>676974.91811815253</c:v>
                </c:pt>
                <c:pt idx="532">
                  <c:v>944206.73908146005</c:v>
                </c:pt>
                <c:pt idx="533">
                  <c:v>1114502.156124606</c:v>
                </c:pt>
                <c:pt idx="534">
                  <c:v>1113304.6680011188</c:v>
                </c:pt>
                <c:pt idx="535">
                  <c:v>941166.47060352459</c:v>
                </c:pt>
                <c:pt idx="536">
                  <c:v>673345.81239263003</c:v>
                </c:pt>
                <c:pt idx="537">
                  <c:v>407689.17485271784</c:v>
                </c:pt>
                <c:pt idx="538">
                  <c:v>208900.50810903241</c:v>
                </c:pt>
                <c:pt idx="539">
                  <c:v>90587.674815982158</c:v>
                </c:pt>
                <c:pt idx="540">
                  <c:v>33244.36396201764</c:v>
                </c:pt>
                <c:pt idx="541">
                  <c:v>10324.909272657404</c:v>
                </c:pt>
                <c:pt idx="542">
                  <c:v>2713.7745147658429</c:v>
                </c:pt>
                <c:pt idx="543">
                  <c:v>603.64356463713796</c:v>
                </c:pt>
                <c:pt idx="544">
                  <c:v>113.63358025892131</c:v>
                </c:pt>
                <c:pt idx="545">
                  <c:v>18.103064769338214</c:v>
                </c:pt>
                <c:pt idx="546">
                  <c:v>2.4407135941645004</c:v>
                </c:pt>
                <c:pt idx="547">
                  <c:v>0.27848437602489406</c:v>
                </c:pt>
                <c:pt idx="548">
                  <c:v>2.6890826409105263E-2</c:v>
                </c:pt>
                <c:pt idx="549">
                  <c:v>2.1974892714552536E-3</c:v>
                </c:pt>
                <c:pt idx="550">
                  <c:v>1.5197378414797254E-4</c:v>
                </c:pt>
                <c:pt idx="551">
                  <c:v>8.8946710533487172E-6</c:v>
                </c:pt>
                <c:pt idx="552">
                  <c:v>4.4056541879595271E-7</c:v>
                </c:pt>
                <c:pt idx="553">
                  <c:v>1.8467589767111896E-8</c:v>
                </c:pt>
                <c:pt idx="554">
                  <c:v>6.5513278284396293E-10</c:v>
                </c:pt>
                <c:pt idx="555">
                  <c:v>1.9668341723640102E-11</c:v>
                </c:pt>
                <c:pt idx="556">
                  <c:v>4.9971853515053673E-13</c:v>
                </c:pt>
                <c:pt idx="557">
                  <c:v>1.0744902302493497E-14</c:v>
                </c:pt>
                <c:pt idx="558">
                  <c:v>1.9552341935709862E-16</c:v>
                </c:pt>
                <c:pt idx="559">
                  <c:v>3.0110252406548937E-18</c:v>
                </c:pt>
                <c:pt idx="560">
                  <c:v>3.9241835090204338E-20</c:v>
                </c:pt>
                <c:pt idx="561">
                  <c:v>4.328162126602811E-22</c:v>
                </c:pt>
                <c:pt idx="562">
                  <c:v>4.0399596947230671E-24</c:v>
                </c:pt>
                <c:pt idx="563">
                  <c:v>3.1913162529991835E-26</c:v>
                </c:pt>
                <c:pt idx="564">
                  <c:v>2.1334474772655242E-28</c:v>
                </c:pt>
                <c:pt idx="565">
                  <c:v>1.2070169444589893E-30</c:v>
                </c:pt>
                <c:pt idx="566">
                  <c:v>5.7791514792139387E-33</c:v>
                </c:pt>
                <c:pt idx="567">
                  <c:v>2.3417152759109463E-35</c:v>
                </c:pt>
                <c:pt idx="568">
                  <c:v>8.0301452296787434E-38</c:v>
                </c:pt>
                <c:pt idx="569">
                  <c:v>2.3304082570968028E-40</c:v>
                </c:pt>
                <c:pt idx="570">
                  <c:v>5.7234767219781896E-43</c:v>
                </c:pt>
                <c:pt idx="571">
                  <c:v>1.189616915932316E-45</c:v>
                </c:pt>
                <c:pt idx="572">
                  <c:v>2.0925393862236726E-48</c:v>
                </c:pt>
                <c:pt idx="573">
                  <c:v>3.1150100415966074E-51</c:v>
                </c:pt>
                <c:pt idx="574">
                  <c:v>3.9243213278296869E-54</c:v>
                </c:pt>
                <c:pt idx="575">
                  <c:v>4.1839739335830853E-57</c:v>
                </c:pt>
                <c:pt idx="576">
                  <c:v>3.7751366755566866E-60</c:v>
                </c:pt>
                <c:pt idx="577">
                  <c:v>2.8826750460744345E-63</c:v>
                </c:pt>
                <c:pt idx="578">
                  <c:v>1.8628504780740077E-66</c:v>
                </c:pt>
                <c:pt idx="579">
                  <c:v>1.0187781134018907E-69</c:v>
                </c:pt>
                <c:pt idx="580">
                  <c:v>4.7152043042417225E-73</c:v>
                </c:pt>
                <c:pt idx="581">
                  <c:v>1.8468886967367634E-76</c:v>
                </c:pt>
                <c:pt idx="582">
                  <c:v>6.1220973550272118E-80</c:v>
                </c:pt>
                <c:pt idx="583">
                  <c:v>1.7174299791820058E-83</c:v>
                </c:pt>
                <c:pt idx="584">
                  <c:v>4.077342062403669E-87</c:v>
                </c:pt>
                <c:pt idx="585">
                  <c:v>8.1920869859817228E-91</c:v>
                </c:pt>
                <c:pt idx="586">
                  <c:v>1.3929363203153717E-94</c:v>
                </c:pt>
                <c:pt idx="587">
                  <c:v>2.0044132728966681E-98</c:v>
                </c:pt>
                <c:pt idx="588">
                  <c:v>2.4409707595500608E-102</c:v>
                </c:pt>
                <c:pt idx="589">
                  <c:v>2.5156903506385115E-106</c:v>
                </c:pt>
                <c:pt idx="590">
                  <c:v>2.1941741321375502E-110</c:v>
                </c:pt>
                <c:pt idx="591">
                  <c:v>1.619587072812488E-114</c:v>
                </c:pt>
                <c:pt idx="592">
                  <c:v>3.3327173850553623E-118</c:v>
                </c:pt>
                <c:pt idx="593">
                  <c:v>2.8039638512121637E-114</c:v>
                </c:pt>
                <c:pt idx="594">
                  <c:v>2.8890884566813507E-110</c:v>
                </c:pt>
                <c:pt idx="595">
                  <c:v>2.5388759349606042E-106</c:v>
                </c:pt>
                <c:pt idx="596">
                  <c:v>1.9028928298461832E-102</c:v>
                </c:pt>
                <c:pt idx="597">
                  <c:v>1.2164083447631395E-98</c:v>
                </c:pt>
                <c:pt idx="598">
                  <c:v>6.6318800485367739E-95</c:v>
                </c:pt>
                <c:pt idx="599">
                  <c:v>3.0837995782164454E-91</c:v>
                </c:pt>
                <c:pt idx="600">
                  <c:v>1.2230038873689579E-87</c:v>
                </c:pt>
                <c:pt idx="601">
                  <c:v>4.1367734815632444E-84</c:v>
                </c:pt>
                <c:pt idx="602">
                  <c:v>1.1934050042308391E-80</c:v>
                </c:pt>
                <c:pt idx="603">
                  <c:v>2.9363389027480183E-77</c:v>
                </c:pt>
                <c:pt idx="604">
                  <c:v>6.1619293409087826E-74</c:v>
                </c:pt>
                <c:pt idx="605">
                  <c:v>1.1028576484411472E-70</c:v>
                </c:pt>
                <c:pt idx="606">
                  <c:v>1.683505018837535E-67</c:v>
                </c:pt>
                <c:pt idx="607">
                  <c:v>2.1918033279064116E-64</c:v>
                </c:pt>
                <c:pt idx="608">
                  <c:v>2.4337779893982469E-61</c:v>
                </c:pt>
                <c:pt idx="609">
                  <c:v>2.3049024352695535E-58</c:v>
                </c:pt>
                <c:pt idx="610">
                  <c:v>1.8617284906939464E-55</c:v>
                </c:pt>
                <c:pt idx="611">
                  <c:v>1.2825442374484254E-52</c:v>
                </c:pt>
                <c:pt idx="612">
                  <c:v>7.5356474654969545E-50</c:v>
                </c:pt>
                <c:pt idx="613">
                  <c:v>3.7762523001819514E-47</c:v>
                </c:pt>
                <c:pt idx="614">
                  <c:v>1.6139632559167345E-44</c:v>
                </c:pt>
                <c:pt idx="615">
                  <c:v>5.8832661290486117E-42</c:v>
                </c:pt>
                <c:pt idx="616">
                  <c:v>1.829092022396725E-39</c:v>
                </c:pt>
                <c:pt idx="617">
                  <c:v>4.8500344962810643E-37</c:v>
                </c:pt>
                <c:pt idx="618">
                  <c:v>1.0968476525507483E-34</c:v>
                </c:pt>
                <c:pt idx="619">
                  <c:v>2.1156313954004592E-32</c:v>
                </c:pt>
                <c:pt idx="620">
                  <c:v>3.4803739296951805E-30</c:v>
                </c:pt>
                <c:pt idx="621">
                  <c:v>4.8831944801376473E-28</c:v>
                </c:pt>
                <c:pt idx="622">
                  <c:v>5.8435174563130026E-26</c:v>
                </c:pt>
                <c:pt idx="623">
                  <c:v>5.9639896487626604E-24</c:v>
                </c:pt>
                <c:pt idx="624">
                  <c:v>5.1914852784742326E-22</c:v>
                </c:pt>
                <c:pt idx="625">
                  <c:v>3.8542384814670797E-20</c:v>
                </c:pt>
                <c:pt idx="626">
                  <c:v>2.4404940325847791E-18</c:v>
                </c:pt>
                <c:pt idx="627">
                  <c:v>1.3179809332173537E-16</c:v>
                </c:pt>
                <c:pt idx="628">
                  <c:v>6.0706153469596615E-15</c:v>
                </c:pt>
                <c:pt idx="629">
                  <c:v>2.384781060919998E-13</c:v>
                </c:pt>
                <c:pt idx="630">
                  <c:v>7.9901792648066539E-12</c:v>
                </c:pt>
                <c:pt idx="631">
                  <c:v>2.2832672253127278E-10</c:v>
                </c:pt>
                <c:pt idx="632">
                  <c:v>5.5647950354785521E-9</c:v>
                </c:pt>
                <c:pt idx="633">
                  <c:v>1.1567348324653071E-7</c:v>
                </c:pt>
                <c:pt idx="634">
                  <c:v>2.0507402943895784E-6</c:v>
                </c:pt>
                <c:pt idx="635">
                  <c:v>3.10084263414267E-5</c:v>
                </c:pt>
                <c:pt idx="636">
                  <c:v>3.9989041898599463E-4</c:v>
                </c:pt>
                <c:pt idx="637">
                  <c:v>4.3983975626041361E-3</c:v>
                </c:pt>
                <c:pt idx="638">
                  <c:v>4.1261040467915351E-2</c:v>
                </c:pt>
                <c:pt idx="639">
                  <c:v>0.33012474535830894</c:v>
                </c:pt>
                <c:pt idx="640">
                  <c:v>2.2527250778115904</c:v>
                </c:pt>
                <c:pt idx="641">
                  <c:v>13.110840040425709</c:v>
                </c:pt>
                <c:pt idx="642">
                  <c:v>65.079626886903384</c:v>
                </c:pt>
                <c:pt idx="643">
                  <c:v>275.5191567156304</c:v>
                </c:pt>
                <c:pt idx="644">
                  <c:v>994.83431535944237</c:v>
                </c:pt>
                <c:pt idx="645">
                  <c:v>3063.6695805136947</c:v>
                </c:pt>
                <c:pt idx="646">
                  <c:v>8046.8388165893411</c:v>
                </c:pt>
                <c:pt idx="647">
                  <c:v>18026.063247545797</c:v>
                </c:pt>
                <c:pt idx="648">
                  <c:v>34440.439854613098</c:v>
                </c:pt>
                <c:pt idx="649">
                  <c:v>56121.426158567352</c:v>
                </c:pt>
                <c:pt idx="650">
                  <c:v>77997.542379308477</c:v>
                </c:pt>
                <c:pt idx="651">
                  <c:v>92453.924146965335</c:v>
                </c:pt>
                <c:pt idx="652">
                  <c:v>93467.7934733476</c:v>
                </c:pt>
                <c:pt idx="653">
                  <c:v>80591.797420196497</c:v>
                </c:pt>
                <c:pt idx="654">
                  <c:v>59266.85800098296</c:v>
                </c:pt>
                <c:pt idx="655">
                  <c:v>37172.791574224662</c:v>
                </c:pt>
                <c:pt idx="656">
                  <c:v>19885.231890413139</c:v>
                </c:pt>
                <c:pt idx="657">
                  <c:v>9072.5287602532371</c:v>
                </c:pt>
                <c:pt idx="658">
                  <c:v>3530.3540180513537</c:v>
                </c:pt>
                <c:pt idx="659">
                  <c:v>1171.6566795156946</c:v>
                </c:pt>
                <c:pt idx="660">
                  <c:v>331.64594999134704</c:v>
                </c:pt>
                <c:pt idx="661">
                  <c:v>80.064728272797637</c:v>
                </c:pt>
                <c:pt idx="662">
                  <c:v>16.485418647411933</c:v>
                </c:pt>
                <c:pt idx="663">
                  <c:v>2.8950157950022501</c:v>
                </c:pt>
                <c:pt idx="664">
                  <c:v>0.43360482388112226</c:v>
                </c:pt>
                <c:pt idx="665">
                  <c:v>5.5389759978648118E-2</c:v>
                </c:pt>
                <c:pt idx="666">
                  <c:v>6.0347192695806287E-3</c:v>
                </c:pt>
                <c:pt idx="667">
                  <c:v>5.6075979855241623E-4</c:v>
                </c:pt>
                <c:pt idx="668">
                  <c:v>4.4441517587070104E-5</c:v>
                </c:pt>
                <c:pt idx="669">
                  <c:v>3.0039527764432258E-6</c:v>
                </c:pt>
                <c:pt idx="670">
                  <c:v>1.7317672882426529E-7</c:v>
                </c:pt>
                <c:pt idx="671">
                  <c:v>8.5148729696376024E-9</c:v>
                </c:pt>
                <c:pt idx="672">
                  <c:v>3.5707465493022571E-10</c:v>
                </c:pt>
                <c:pt idx="673">
                  <c:v>1.2771211219387935E-11</c:v>
                </c:pt>
                <c:pt idx="674">
                  <c:v>3.895806345402885E-13</c:v>
                </c:pt>
                <c:pt idx="675">
                  <c:v>1.0135725590563311E-14</c:v>
                </c:pt>
                <c:pt idx="676">
                  <c:v>2.2490781079431478E-16</c:v>
                </c:pt>
                <c:pt idx="677">
                  <c:v>4.2564392850547719E-18</c:v>
                </c:pt>
                <c:pt idx="678">
                  <c:v>6.8703768289807777E-20</c:v>
                </c:pt>
                <c:pt idx="679">
                  <c:v>9.4581649489607038E-22</c:v>
                </c:pt>
                <c:pt idx="680">
                  <c:v>1.1105175340181308E-23</c:v>
                </c:pt>
                <c:pt idx="681">
                  <c:v>1.1120803495601469E-25</c:v>
                </c:pt>
                <c:pt idx="682">
                  <c:v>9.4981521929987328E-28</c:v>
                </c:pt>
                <c:pt idx="683">
                  <c:v>6.9188560035204564E-30</c:v>
                </c:pt>
                <c:pt idx="684">
                  <c:v>4.2985469096744971E-32</c:v>
                </c:pt>
                <c:pt idx="685">
                  <c:v>2.2777248474838557E-34</c:v>
                </c:pt>
                <c:pt idx="686">
                  <c:v>1.0293736786214985E-36</c:v>
                </c:pt>
                <c:pt idx="687">
                  <c:v>3.9676839354699255E-39</c:v>
                </c:pt>
                <c:pt idx="688">
                  <c:v>1.3043474386494106E-41</c:v>
                </c:pt>
                <c:pt idx="689">
                  <c:v>3.6571411355668012E-44</c:v>
                </c:pt>
                <c:pt idx="690">
                  <c:v>8.7454540556285617E-47</c:v>
                </c:pt>
                <c:pt idx="691">
                  <c:v>1.7836729034013857E-49</c:v>
                </c:pt>
                <c:pt idx="692">
                  <c:v>3.1027035142104641E-52</c:v>
                </c:pt>
                <c:pt idx="693">
                  <c:v>4.6031756892628239E-55</c:v>
                </c:pt>
                <c:pt idx="694">
                  <c:v>5.82461245823259E-58</c:v>
                </c:pt>
                <c:pt idx="695">
                  <c:v>6.285918258686367E-61</c:v>
                </c:pt>
                <c:pt idx="696">
                  <c:v>5.7857895689472813E-64</c:v>
                </c:pt>
                <c:pt idx="697">
                  <c:v>4.5420169403363923E-67</c:v>
                </c:pt>
                <c:pt idx="698">
                  <c:v>3.0410746129868099E-70</c:v>
                </c:pt>
                <c:pt idx="699">
                  <c:v>1.736591265439469E-73</c:v>
                </c:pt>
                <c:pt idx="700">
                  <c:v>8.4578574157777703E-77</c:v>
                </c:pt>
                <c:pt idx="701">
                  <c:v>3.5133006587815254E-80</c:v>
                </c:pt>
                <c:pt idx="702">
                  <c:v>1.2446936827369161E-83</c:v>
                </c:pt>
                <c:pt idx="703">
                  <c:v>3.7609872758568827E-87</c:v>
                </c:pt>
                <c:pt idx="704">
                  <c:v>9.6924474139356921E-91</c:v>
                </c:pt>
                <c:pt idx="705">
                  <c:v>2.1303808682291445E-94</c:v>
                </c:pt>
                <c:pt idx="706">
                  <c:v>3.9936800027662163E-98</c:v>
                </c:pt>
                <c:pt idx="707">
                  <c:v>6.3853026190396048E-102</c:v>
                </c:pt>
                <c:pt idx="708">
                  <c:v>8.7072680872914242E-106</c:v>
                </c:pt>
                <c:pt idx="709">
                  <c:v>1.0126854219133185E-109</c:v>
                </c:pt>
                <c:pt idx="710">
                  <c:v>1.0045219030103445E-113</c:v>
                </c:pt>
                <c:pt idx="711">
                  <c:v>8.4983864073296271E-118</c:v>
                </c:pt>
                <c:pt idx="712">
                  <c:v>6.1320508488917508E-122</c:v>
                </c:pt>
                <c:pt idx="713">
                  <c:v>3.7736987823404505E-126</c:v>
                </c:pt>
                <c:pt idx="714">
                  <c:v>1.980710147094265E-130</c:v>
                </c:pt>
                <c:pt idx="715">
                  <c:v>8.8667983492225053E-135</c:v>
                </c:pt>
                <c:pt idx="716">
                  <c:v>3.3853606947867525E-139</c:v>
                </c:pt>
                <c:pt idx="717">
                  <c:v>1.1023900227427993E-143</c:v>
                </c:pt>
                <c:pt idx="718">
                  <c:v>3.0616659967386897E-148</c:v>
                </c:pt>
                <c:pt idx="719">
                  <c:v>7.2522465208567311E-153</c:v>
                </c:pt>
                <c:pt idx="720">
                  <c:v>1.4651413194938515E-157</c:v>
                </c:pt>
                <c:pt idx="721">
                  <c:v>2.5245192400995207E-162</c:v>
                </c:pt>
                <c:pt idx="722">
                  <c:v>3.7099671488770807E-167</c:v>
                </c:pt>
                <c:pt idx="723">
                  <c:v>4.6500075032957806E-172</c:v>
                </c:pt>
                <c:pt idx="724">
                  <c:v>4.9708362165283041E-177</c:v>
                </c:pt>
                <c:pt idx="725">
                  <c:v>4.5320789271397414E-182</c:v>
                </c:pt>
                <c:pt idx="726">
                  <c:v>3.524176783800017E-187</c:v>
                </c:pt>
                <c:pt idx="727">
                  <c:v>2.3372766355080294E-192</c:v>
                </c:pt>
                <c:pt idx="728">
                  <c:v>1.3220709424129446E-197</c:v>
                </c:pt>
                <c:pt idx="729">
                  <c:v>6.3781042419302682E-203</c:v>
                </c:pt>
                <c:pt idx="730">
                  <c:v>2.6243434832305459E-208</c:v>
                </c:pt>
                <c:pt idx="731">
                  <c:v>9.2096250754371835E-214</c:v>
                </c:pt>
                <c:pt idx="732">
                  <c:v>2.7564837395758634E-219</c:v>
                </c:pt>
                <c:pt idx="733">
                  <c:v>7.0365719056173156E-225</c:v>
                </c:pt>
                <c:pt idx="734">
                  <c:v>1.5320009536425005E-230</c:v>
                </c:pt>
                <c:pt idx="735">
                  <c:v>2.8447830510066403E-236</c:v>
                </c:pt>
                <c:pt idx="736">
                  <c:v>4.5053805362830651E-242</c:v>
                </c:pt>
                <c:pt idx="737">
                  <c:v>6.0856366084354861E-248</c:v>
                </c:pt>
                <c:pt idx="738">
                  <c:v>7.0108837111929329E-254</c:v>
                </c:pt>
                <c:pt idx="739">
                  <c:v>6.8886119689980528E-260</c:v>
                </c:pt>
                <c:pt idx="740">
                  <c:v>5.7727518722606009E-266</c:v>
                </c:pt>
                <c:pt idx="741">
                  <c:v>4.1259719414068026E-272</c:v>
                </c:pt>
                <c:pt idx="742">
                  <c:v>2.5151382397469836E-278</c:v>
                </c:pt>
                <c:pt idx="743">
                  <c:v>1.3076444073935889E-284</c:v>
                </c:pt>
                <c:pt idx="744">
                  <c:v>5.7984200287507537E-291</c:v>
                </c:pt>
                <c:pt idx="745">
                  <c:v>2.1929154805303711E-297</c:v>
                </c:pt>
                <c:pt idx="746">
                  <c:v>7.073369176160163E-304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'Fatores de forma'!$AC$1:$AC$2</c:f>
              <c:strCache>
                <c:ptCount val="1"/>
                <c:pt idx="0">
                  <c:v>CaTiO3 H_h(10nm)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forma'!$AC$3:$AC$804</c:f>
              <c:numCache>
                <c:formatCode>0.00000</c:formatCode>
                <c:ptCount val="802"/>
                <c:pt idx="0">
                  <c:v>7.3117062828476631E-2</c:v>
                </c:pt>
                <c:pt idx="1">
                  <c:v>0.11235502887116686</c:v>
                </c:pt>
                <c:pt idx="2">
                  <c:v>0.17134140229152253</c:v>
                </c:pt>
                <c:pt idx="3">
                  <c:v>0.25931529960024341</c:v>
                </c:pt>
                <c:pt idx="4">
                  <c:v>0.38948432824130436</c:v>
                </c:pt>
                <c:pt idx="5">
                  <c:v>0.580560998406912</c:v>
                </c:pt>
                <c:pt idx="6">
                  <c:v>0.85881920779807841</c:v>
                </c:pt>
                <c:pt idx="7">
                  <c:v>1.2608158616625442</c:v>
                </c:pt>
                <c:pt idx="8">
                  <c:v>1.8369511247351999</c:v>
                </c:pt>
                <c:pt idx="9">
                  <c:v>2.6560702748528362</c:v>
                </c:pt>
                <c:pt idx="10">
                  <c:v>3.8113386975737606</c:v>
                </c:pt>
                <c:pt idx="11">
                  <c:v>5.42764644367836</c:v>
                </c:pt>
                <c:pt idx="12">
                  <c:v>7.6708162275699241</c:v>
                </c:pt>
                <c:pt idx="13">
                  <c:v>10.758894015241225</c:v>
                </c:pt>
                <c:pt idx="14">
                  <c:v>14.9757886753164</c:v>
                </c:pt>
                <c:pt idx="15">
                  <c:v>20.687489919510188</c:v>
                </c:pt>
                <c:pt idx="16">
                  <c:v>28.36102473477608</c:v>
                </c:pt>
                <c:pt idx="17">
                  <c:v>38.586204395090959</c:v>
                </c:pt>
                <c:pt idx="18">
                  <c:v>52.100060188894908</c:v>
                </c:pt>
                <c:pt idx="19">
                  <c:v>69.813660910425924</c:v>
                </c:pt>
                <c:pt idx="20">
                  <c:v>92.840746162465749</c:v>
                </c:pt>
                <c:pt idx="21">
                  <c:v>122.52729755857062</c:v>
                </c:pt>
                <c:pt idx="22">
                  <c:v>160.48081094164729</c:v>
                </c:pt>
                <c:pt idx="23">
                  <c:v>208.59763887976982</c:v>
                </c:pt>
                <c:pt idx="24">
                  <c:v>269.08636321915458</c:v>
                </c:pt>
                <c:pt idx="25">
                  <c:v>344.48475929052739</c:v>
                </c:pt>
                <c:pt idx="26">
                  <c:v>437.66756097091763</c:v>
                </c:pt>
                <c:pt idx="27">
                  <c:v>551.84197035491911</c:v>
                </c:pt>
                <c:pt idx="28">
                  <c:v>690.5277232390921</c:v>
                </c:pt>
                <c:pt idx="29">
                  <c:v>857.51856979822571</c:v>
                </c:pt>
                <c:pt idx="30">
                  <c:v>1056.8223044884146</c:v>
                </c:pt>
                <c:pt idx="31">
                  <c:v>1292.5770191978613</c:v>
                </c:pt>
                <c:pt idx="32">
                  <c:v>1568.942085492976</c:v>
                </c:pt>
                <c:pt idx="33">
                  <c:v>1889.963504058727</c:v>
                </c:pt>
                <c:pt idx="34">
                  <c:v>2259.414677588426</c:v>
                </c:pt>
                <c:pt idx="35">
                  <c:v>2680.6153257124588</c:v>
                </c:pt>
                <c:pt idx="36">
                  <c:v>3156.2330958033476</c:v>
                </c:pt>
                <c:pt idx="37">
                  <c:v>3688.0743309445916</c:v>
                </c:pt>
                <c:pt idx="38">
                  <c:v>4276.8723088732158</c:v>
                </c:pt>
                <c:pt idx="39">
                  <c:v>4922.0829160035491</c:v>
                </c:pt>
                <c:pt idx="40">
                  <c:v>5621.6990106914418</c:v>
                </c:pt>
                <c:pt idx="41">
                  <c:v>6372.0955032020429</c:v>
                </c:pt>
                <c:pt idx="42">
                  <c:v>7167.9172956635539</c:v>
                </c:pt>
                <c:pt idx="43">
                  <c:v>8002.0215737499229</c:v>
                </c:pt>
                <c:pt idx="44">
                  <c:v>8865.4844584240382</c:v>
                </c:pt>
                <c:pt idx="45">
                  <c:v>9747.6797039330286</c:v>
                </c:pt>
                <c:pt idx="46">
                  <c:v>10636.434026667679</c:v>
                </c:pt>
                <c:pt idx="47">
                  <c:v>11518.259897197997</c:v>
                </c:pt>
                <c:pt idx="48">
                  <c:v>12378.662419999026</c:v>
                </c:pt>
                <c:pt idx="49">
                  <c:v>13202.512514231281</c:v>
                </c:pt>
                <c:pt idx="50">
                  <c:v>13974.474287518397</c:v>
                </c:pt>
                <c:pt idx="51">
                  <c:v>14679.470575559515</c:v>
                </c:pt>
                <c:pt idx="52">
                  <c:v>15303.167410528007</c:v>
                </c:pt>
                <c:pt idx="53">
                  <c:v>15832.45595502309</c:v>
                </c:pt>
                <c:pt idx="54">
                  <c:v>16255.909412220228</c:v>
                </c:pt>
                <c:pt idx="55">
                  <c:v>16564.192733056625</c:v>
                </c:pt>
                <c:pt idx="56">
                  <c:v>16750.404628047672</c:v>
                </c:pt>
                <c:pt idx="57">
                  <c:v>16810.33439110608</c:v>
                </c:pt>
                <c:pt idx="58">
                  <c:v>16742.620189531688</c:v>
                </c:pt>
                <c:pt idx="59">
                  <c:v>16548.800510498986</c:v>
                </c:pt>
                <c:pt idx="60">
                  <c:v>16233.256049982407</c:v>
                </c:pt>
                <c:pt idx="61">
                  <c:v>15803.045109298157</c:v>
                </c:pt>
                <c:pt idx="62">
                  <c:v>15267.641136330443</c:v>
                </c:pt>
                <c:pt idx="63">
                  <c:v>14638.58603917558</c:v>
                </c:pt>
                <c:pt idx="64">
                  <c:v>13929.076983189327</c:v>
                </c:pt>
                <c:pt idx="65">
                  <c:v>13153.507305727937</c:v>
                </c:pt>
                <c:pt idx="66">
                  <c:v>12326.983786280207</c:v>
                </c:pt>
                <c:pt idx="67">
                  <c:v>11464.842736042854</c:v>
                </c:pt>
                <c:pt idx="68">
                  <c:v>10582.186266732</c:v>
                </c:pt>
                <c:pt idx="69">
                  <c:v>9693.4578052189318</c:v>
                </c:pt>
                <c:pt idx="70">
                  <c:v>8812.0726590250397</c:v>
                </c:pt>
                <c:pt idx="71">
                  <c:v>7950.1154850318817</c:v>
                </c:pt>
                <c:pt idx="72">
                  <c:v>7118.1121779716059</c:v>
                </c:pt>
                <c:pt idx="73">
                  <c:v>6324.8792884510158</c:v>
                </c:pt>
                <c:pt idx="74">
                  <c:v>5577.4498935748989</c:v>
                </c:pt>
                <c:pt idx="75">
                  <c:v>4881.0711257355033</c:v>
                </c:pt>
                <c:pt idx="76">
                  <c:v>4239.2655081913326</c:v>
                </c:pt>
                <c:pt idx="77">
                  <c:v>3653.9459741641645</c:v>
                </c:pt>
                <c:pt idx="78">
                  <c:v>3125.5730144329195</c:v>
                </c:pt>
                <c:pt idx="79">
                  <c:v>2653.3417961273044</c:v>
                </c:pt>
                <c:pt idx="80">
                  <c:v>2235.3872549555349</c:v>
                </c:pt>
                <c:pt idx="81">
                  <c:v>1868.9959722488175</c:v>
                </c:pt>
                <c:pt idx="82">
                  <c:v>1550.8149648401293</c:v>
                </c:pt>
                <c:pt idx="83">
                  <c:v>1277.0491829274688</c:v>
                </c:pt>
                <c:pt idx="84">
                  <c:v>1043.6413710111387</c:v>
                </c:pt>
                <c:pt idx="85">
                  <c:v>846.42985343564362</c:v>
                </c:pt>
                <c:pt idx="86">
                  <c:v>681.28163334800104</c:v>
                </c:pt>
                <c:pt idx="87">
                  <c:v>544.19984303843341</c:v>
                </c:pt>
                <c:pt idx="88">
                  <c:v>431.40598522159451</c:v>
                </c:pt>
                <c:pt idx="89">
                  <c:v>339.39851887060615</c:v>
                </c:pt>
                <c:pt idx="90">
                  <c:v>264.99015675593864</c:v>
                </c:pt>
                <c:pt idx="91">
                  <c:v>205.3267647018921</c:v>
                </c:pt>
                <c:pt idx="92">
                  <c:v>157.89101218107746</c:v>
                </c:pt>
                <c:pt idx="93">
                  <c:v>120.49395964413654</c:v>
                </c:pt>
                <c:pt idx="94">
                  <c:v>91.257625941066891</c:v>
                </c:pt>
                <c:pt idx="95">
                  <c:v>68.591307148406841</c:v>
                </c:pt>
                <c:pt idx="96">
                  <c:v>51.164061804485733</c:v>
                </c:pt>
                <c:pt idx="97">
                  <c:v>37.875377765783725</c:v>
                </c:pt>
                <c:pt idx="98">
                  <c:v>27.825626677681846</c:v>
                </c:pt>
                <c:pt idx="99">
                  <c:v>20.287519852000365</c:v>
                </c:pt>
                <c:pt idx="100">
                  <c:v>14.67942296517643</c:v>
                </c:pt>
                <c:pt idx="101">
                  <c:v>10.541078153540223</c:v>
                </c:pt>
                <c:pt idx="102">
                  <c:v>7.5120263922667245</c:v>
                </c:pt>
                <c:pt idx="103">
                  <c:v>5.3128211922440887</c:v>
                </c:pt>
                <c:pt idx="104">
                  <c:v>3.7289736695072593</c:v>
                </c:pt>
                <c:pt idx="105">
                  <c:v>2.5974635192359585</c:v>
                </c:pt>
                <c:pt idx="106">
                  <c:v>1.7955835554193469</c:v>
                </c:pt>
                <c:pt idx="107">
                  <c:v>1.2318499342118399</c:v>
                </c:pt>
                <c:pt idx="108">
                  <c:v>0.83869878271087672</c:v>
                </c:pt>
                <c:pt idx="109">
                  <c:v>0.56669612554700077</c:v>
                </c:pt>
                <c:pt idx="110">
                  <c:v>0.38000603763720653</c:v>
                </c:pt>
                <c:pt idx="111">
                  <c:v>0.25288715639497067</c:v>
                </c:pt>
                <c:pt idx="112">
                  <c:v>0.16701638212662406</c:v>
                </c:pt>
                <c:pt idx="113">
                  <c:v>0.10946805290573311</c:v>
                </c:pt>
                <c:pt idx="114">
                  <c:v>7.1205204436620678E-2</c:v>
                </c:pt>
                <c:pt idx="115">
                  <c:v>4.5965512280419007E-2</c:v>
                </c:pt>
                <c:pt idx="116">
                  <c:v>2.9447504330114709E-2</c:v>
                </c:pt>
                <c:pt idx="117">
                  <c:v>1.8722373577122482E-2</c:v>
                </c:pt>
                <c:pt idx="118">
                  <c:v>1.1813248555156844E-2</c:v>
                </c:pt>
                <c:pt idx="119">
                  <c:v>7.3973096670053619E-3</c:v>
                </c:pt>
                <c:pt idx="120">
                  <c:v>4.5969976322548251E-3</c:v>
                </c:pt>
                <c:pt idx="121">
                  <c:v>2.8351156756949154E-3</c:v>
                </c:pt>
                <c:pt idx="122">
                  <c:v>1.7352550187989056E-3</c:v>
                </c:pt>
                <c:pt idx="123">
                  <c:v>1.0540272957337642E-3</c:v>
                </c:pt>
                <c:pt idx="124">
                  <c:v>6.3538422633572947E-4</c:v>
                </c:pt>
                <c:pt idx="125">
                  <c:v>3.80116763763938E-4</c:v>
                </c:pt>
                <c:pt idx="126">
                  <c:v>2.2568029448117279E-4</c:v>
                </c:pt>
                <c:pt idx="127">
                  <c:v>1.32973861077956E-4</c:v>
                </c:pt>
                <c:pt idx="128">
                  <c:v>7.7756184468216383E-5</c:v>
                </c:pt>
                <c:pt idx="129">
                  <c:v>4.5123172502201334E-5</c:v>
                </c:pt>
                <c:pt idx="130">
                  <c:v>2.598725056246031E-5</c:v>
                </c:pt>
                <c:pt idx="131">
                  <c:v>1.4853098599946374E-5</c:v>
                </c:pt>
                <c:pt idx="132">
                  <c:v>8.4249982050348545E-6</c:v>
                </c:pt>
                <c:pt idx="133">
                  <c:v>4.7426228858130255E-6</c:v>
                </c:pt>
                <c:pt idx="134">
                  <c:v>2.6494967496760574E-6</c:v>
                </c:pt>
                <c:pt idx="135">
                  <c:v>1.4689405248132455E-6</c:v>
                </c:pt>
                <c:pt idx="136">
                  <c:v>8.082413330969704E-7</c:v>
                </c:pt>
                <c:pt idx="137">
                  <c:v>4.4134064365096235E-7</c:v>
                </c:pt>
                <c:pt idx="138">
                  <c:v>2.3916786052843824E-7</c:v>
                </c:pt>
                <c:pt idx="139">
                  <c:v>1.2862570049837762E-7</c:v>
                </c:pt>
                <c:pt idx="140">
                  <c:v>6.8651302658277115E-8</c:v>
                </c:pt>
                <c:pt idx="141">
                  <c:v>3.6363538702157417E-8</c:v>
                </c:pt>
                <c:pt idx="142">
                  <c:v>1.911528635463612E-8</c:v>
                </c:pt>
                <c:pt idx="143">
                  <c:v>9.9723368343597374E-9</c:v>
                </c:pt>
                <c:pt idx="144">
                  <c:v>5.1633559462373305E-9</c:v>
                </c:pt>
                <c:pt idx="145">
                  <c:v>2.6537514321014563E-9</c:v>
                </c:pt>
                <c:pt idx="146">
                  <c:v>1.3548589652286617E-9</c:v>
                </c:pt>
                <c:pt idx="147">
                  <c:v>6.8920555079544786E-10</c:v>
                </c:pt>
                <c:pt idx="148">
                  <c:v>3.537302385873633E-10</c:v>
                </c:pt>
                <c:pt idx="149">
                  <c:v>1.9232572053281315E-10</c:v>
                </c:pt>
                <c:pt idx="150">
                  <c:v>1.2866277731084302E-10</c:v>
                </c:pt>
                <c:pt idx="151">
                  <c:v>1.3282117751402165E-10</c:v>
                </c:pt>
                <c:pt idx="152">
                  <c:v>2.0837594551409775E-10</c:v>
                </c:pt>
                <c:pt idx="153">
                  <c:v>3.9489063099542763E-10</c:v>
                </c:pt>
                <c:pt idx="154">
                  <c:v>7.8732117297120357E-10</c:v>
                </c:pt>
                <c:pt idx="155">
                  <c:v>1.5811870760342362E-9</c:v>
                </c:pt>
                <c:pt idx="156">
                  <c:v>3.1634520314929733E-9</c:v>
                </c:pt>
                <c:pt idx="157">
                  <c:v>6.2882420701626648E-9</c:v>
                </c:pt>
                <c:pt idx="158">
                  <c:v>1.2411177710195512E-8</c:v>
                </c:pt>
                <c:pt idx="159">
                  <c:v>2.4319110514522649E-8</c:v>
                </c:pt>
                <c:pt idx="160">
                  <c:v>4.7306197134508832E-8</c:v>
                </c:pt>
                <c:pt idx="161">
                  <c:v>9.1352500649130909E-8</c:v>
                </c:pt>
                <c:pt idx="162">
                  <c:v>1.7512737751809434E-7</c:v>
                </c:pt>
                <c:pt idx="163">
                  <c:v>3.3328721126410565E-7</c:v>
                </c:pt>
                <c:pt idx="164">
                  <c:v>6.2967174857344087E-7</c:v>
                </c:pt>
                <c:pt idx="165">
                  <c:v>1.1809750150685856E-6</c:v>
                </c:pt>
                <c:pt idx="166">
                  <c:v>2.198862896335303E-6</c:v>
                </c:pt>
                <c:pt idx="167">
                  <c:v>4.0643072479263744E-6</c:v>
                </c:pt>
                <c:pt idx="168">
                  <c:v>7.4577161846651106E-6</c:v>
                </c:pt>
                <c:pt idx="169">
                  <c:v>1.3584889511383312E-5</c:v>
                </c:pt>
                <c:pt idx="170">
                  <c:v>2.4566161844430966E-5</c:v>
                </c:pt>
                <c:pt idx="171">
                  <c:v>4.4101102426208232E-5</c:v>
                </c:pt>
                <c:pt idx="172">
                  <c:v>7.859456640859906E-5</c:v>
                </c:pt>
                <c:pt idx="173">
                  <c:v>1.3904857353692877E-4</c:v>
                </c:pt>
                <c:pt idx="174">
                  <c:v>2.442145260873766E-4</c:v>
                </c:pt>
                <c:pt idx="175">
                  <c:v>4.2580169546622943E-4</c:v>
                </c:pt>
                <c:pt idx="176">
                  <c:v>7.370114234302173E-4</c:v>
                </c:pt>
                <c:pt idx="177">
                  <c:v>1.2664031771305413E-3</c:v>
                </c:pt>
                <c:pt idx="178">
                  <c:v>2.1602335296724952E-3</c:v>
                </c:pt>
                <c:pt idx="179">
                  <c:v>3.6581402585851557E-3</c:v>
                </c:pt>
                <c:pt idx="180">
                  <c:v>6.149657693395069E-3</c:v>
                </c:pt>
                <c:pt idx="181">
                  <c:v>1.0262956096441863E-2</c:v>
                </c:pt>
                <c:pt idx="182">
                  <c:v>1.700297588245387E-2</c:v>
                </c:pt>
                <c:pt idx="183">
                  <c:v>2.7964582874475528E-2</c:v>
                </c:pt>
                <c:pt idx="184">
                  <c:v>4.5658610601012548E-2</c:v>
                </c:pt>
                <c:pt idx="185">
                  <c:v>7.4006178156258179E-2</c:v>
                </c:pt>
                <c:pt idx="186">
                  <c:v>0.11908147383585853</c:v>
                </c:pt>
                <c:pt idx="187">
                  <c:v>0.19021789202637904</c:v>
                </c:pt>
                <c:pt idx="188">
                  <c:v>0.3016403715859608</c:v>
                </c:pt>
                <c:pt idx="189">
                  <c:v>0.47485225944397086</c:v>
                </c:pt>
                <c:pt idx="190">
                  <c:v>0.74209326421571853</c:v>
                </c:pt>
                <c:pt idx="191">
                  <c:v>1.1513023989338158</c:v>
                </c:pt>
                <c:pt idx="192">
                  <c:v>1.7731736491003531</c:v>
                </c:pt>
                <c:pt idx="193">
                  <c:v>2.7110908229185777</c:v>
                </c:pt>
                <c:pt idx="194">
                  <c:v>4.1149807155196632</c:v>
                </c:pt>
                <c:pt idx="195">
                  <c:v>6.2004395926018274</c:v>
                </c:pt>
                <c:pt idx="196">
                  <c:v>9.2748756658179694</c:v>
                </c:pt>
                <c:pt idx="197">
                  <c:v>13.772876434554309</c:v>
                </c:pt>
                <c:pt idx="198">
                  <c:v>20.303557748516944</c:v>
                </c:pt>
                <c:pt idx="199">
                  <c:v>29.713278809316989</c:v>
                </c:pt>
                <c:pt idx="200">
                  <c:v>43.167803418615989</c:v>
                </c:pt>
                <c:pt idx="201">
                  <c:v>62.258730601603268</c:v>
                </c:pt>
                <c:pt idx="202">
                  <c:v>89.13977058109181</c:v>
                </c:pt>
                <c:pt idx="203">
                  <c:v>126.69915008309498</c:v>
                </c:pt>
                <c:pt idx="204">
                  <c:v>178.77501793719159</c:v>
                </c:pt>
                <c:pt idx="205">
                  <c:v>250.42108802431207</c:v>
                </c:pt>
                <c:pt idx="206">
                  <c:v>348.22977729968261</c:v>
                </c:pt>
                <c:pt idx="207">
                  <c:v>480.71962388597944</c:v>
                </c:pt>
                <c:pt idx="208">
                  <c:v>658.7926367404915</c:v>
                </c:pt>
                <c:pt idx="209">
                  <c:v>896.26525527453373</c:v>
                </c:pt>
                <c:pt idx="210">
                  <c:v>1210.4736063519276</c:v>
                </c:pt>
                <c:pt idx="211">
                  <c:v>1622.949576799075</c:v>
                </c:pt>
                <c:pt idx="212">
                  <c:v>2160.1587508450962</c:v>
                </c:pt>
                <c:pt idx="213">
                  <c:v>2854.2844381087484</c:v>
                </c:pt>
                <c:pt idx="214">
                  <c:v>3744.0338774818492</c:v>
                </c:pt>
                <c:pt idx="215">
                  <c:v>4875.4334081333536</c:v>
                </c:pt>
                <c:pt idx="216">
                  <c:v>6302.5692650211695</c:v>
                </c:pt>
                <c:pt idx="217">
                  <c:v>8088.2201701322974</c:v>
                </c:pt>
                <c:pt idx="218">
                  <c:v>10304.317724330953</c:v>
                </c:pt>
                <c:pt idx="219">
                  <c:v>13032.161611966507</c:v>
                </c:pt>
                <c:pt idx="220">
                  <c:v>16362.309824598689</c:v>
                </c:pt>
                <c:pt idx="221">
                  <c:v>20394.060619748027</c:v>
                </c:pt>
                <c:pt idx="222">
                  <c:v>25234.44393031696</c:v>
                </c:pt>
                <c:pt idx="223">
                  <c:v>30996.646559030185</c:v>
                </c:pt>
                <c:pt idx="224">
                  <c:v>37797.808699489644</c:v>
                </c:pt>
                <c:pt idx="225">
                  <c:v>45756.149804227018</c:v>
                </c:pt>
                <c:pt idx="226">
                  <c:v>54987.409834940183</c:v>
                </c:pt>
                <c:pt idx="227">
                  <c:v>65600.627203048673</c:v>
                </c:pt>
                <c:pt idx="228">
                  <c:v>77693.316318667377</c:v>
                </c:pt>
                <c:pt idx="229">
                  <c:v>91346.153986509118</c:v>
                </c:pt>
                <c:pt idx="230">
                  <c:v>106617.33257755225</c:v>
                </c:pt>
                <c:pt idx="231">
                  <c:v>123536.78596863142</c:v>
                </c:pt>
                <c:pt idx="232">
                  <c:v>142100.53815625285</c:v>
                </c:pt>
                <c:pt idx="233">
                  <c:v>162265.46037428192</c:v>
                </c:pt>
                <c:pt idx="234">
                  <c:v>183944.74659005745</c:v>
                </c:pt>
                <c:pt idx="235">
                  <c:v>207004.42581170041</c:v>
                </c:pt>
                <c:pt idx="236">
                  <c:v>231261.2197353676</c:v>
                </c:pt>
                <c:pt idx="237">
                  <c:v>256482.0239023446</c:v>
                </c:pt>
                <c:pt idx="238">
                  <c:v>282385.23902397777</c:v>
                </c:pt>
                <c:pt idx="239">
                  <c:v>308644.10729970044</c:v>
                </c:pt>
                <c:pt idx="240">
                  <c:v>334892.11888914777</c:v>
                </c:pt>
                <c:pt idx="241">
                  <c:v>360730.4503408575</c:v>
                </c:pt>
                <c:pt idx="242">
                  <c:v>385737.2853521544</c:v>
                </c:pt>
                <c:pt idx="243">
                  <c:v>409478.75553679577</c:v>
                </c:pt>
                <c:pt idx="244">
                  <c:v>431521.13243223215</c:v>
                </c:pt>
                <c:pt idx="245">
                  <c:v>451443.80947650381</c:v>
                </c:pt>
                <c:pt idx="246">
                  <c:v>468852.54136269086</c:v>
                </c:pt>
                <c:pt idx="247">
                  <c:v>483392.3641937098</c:v>
                </c:pt>
                <c:pt idx="248">
                  <c:v>494759.60771685542</c:v>
                </c:pt>
                <c:pt idx="249">
                  <c:v>502712.43300654384</c:v>
                </c:pt>
                <c:pt idx="250">
                  <c:v>507079.38526315766</c:v>
                </c:pt>
                <c:pt idx="251">
                  <c:v>507765.53937105526</c:v>
                </c:pt>
                <c:pt idx="252">
                  <c:v>504755.93057977915</c:v>
                </c:pt>
                <c:pt idx="253">
                  <c:v>498116.09714472684</c:v>
                </c:pt>
                <c:pt idx="254">
                  <c:v>487989.70744637505</c:v>
                </c:pt>
                <c:pt idx="255">
                  <c:v>474593.39157500246</c:v>
                </c:pt>
                <c:pt idx="256">
                  <c:v>458209.03705377993</c:v>
                </c:pt>
                <c:pt idx="257">
                  <c:v>439173.93132552953</c:v>
                </c:pt>
                <c:pt idx="258">
                  <c:v>417869.23221057665</c:v>
                </c:pt>
                <c:pt idx="259">
                  <c:v>394707.31601046253</c:v>
                </c:pt>
                <c:pt idx="260">
                  <c:v>370118.58783709496</c:v>
                </c:pt>
                <c:pt idx="261">
                  <c:v>344538.33913611807</c:v>
                </c:pt>
                <c:pt idx="262">
                  <c:v>318394.20476824103</c:v>
                </c:pt>
                <c:pt idx="263">
                  <c:v>292094.71018032823</c:v>
                </c:pt>
                <c:pt idx="264">
                  <c:v>266019.31374615605</c:v>
                </c:pt>
                <c:pt idx="265">
                  <c:v>240510.24719309693</c:v>
                </c:pt>
                <c:pt idx="266">
                  <c:v>215866.34575131949</c:v>
                </c:pt>
                <c:pt idx="267">
                  <c:v>192338.94692081251</c:v>
                </c:pt>
                <c:pt idx="268">
                  <c:v>170129.82967538576</c:v>
                </c:pt>
                <c:pt idx="269">
                  <c:v>149391.07061621806</c:v>
                </c:pt>
                <c:pt idx="270">
                  <c:v>130226.614766099</c:v>
                </c:pt>
                <c:pt idx="271">
                  <c:v>112695.2994682674</c:v>
                </c:pt>
                <c:pt idx="272">
                  <c:v>96815.031659058368</c:v>
                </c:pt>
                <c:pt idx="273">
                  <c:v>82567.801468029618</c:v>
                </c:pt>
                <c:pt idx="274">
                  <c:v>69905.217116905682</c:v>
                </c:pt>
                <c:pt idx="275">
                  <c:v>58754.264788726126</c:v>
                </c:pt>
                <c:pt idx="276">
                  <c:v>49023.029105480528</c:v>
                </c:pt>
                <c:pt idx="277">
                  <c:v>40606.151262125743</c:v>
                </c:pt>
                <c:pt idx="278">
                  <c:v>33389.84882343858</c:v>
                </c:pt>
                <c:pt idx="279">
                  <c:v>27256.370029249134</c:v>
                </c:pt>
                <c:pt idx="280">
                  <c:v>22087.802962303798</c:v>
                </c:pt>
                <c:pt idx="281">
                  <c:v>17769.203516983875</c:v>
                </c:pt>
                <c:pt idx="282">
                  <c:v>14191.043872879476</c:v>
                </c:pt>
                <c:pt idx="283">
                  <c:v>11251.013946899355</c:v>
                </c:pt>
                <c:pt idx="284">
                  <c:v>8855.2315649587017</c:v>
                </c:pt>
                <c:pt idx="285">
                  <c:v>6918.9329363550651</c:v>
                </c:pt>
                <c:pt idx="286">
                  <c:v>5366.7239738554936</c:v>
                </c:pt>
                <c:pt idx="287">
                  <c:v>4132.4759589836822</c:v>
                </c:pt>
                <c:pt idx="288">
                  <c:v>3158.9470889162135</c:v>
                </c:pt>
                <c:pt idx="289">
                  <c:v>2397.2057285305914</c:v>
                </c:pt>
                <c:pt idx="290">
                  <c:v>1805.9228834265271</c:v>
                </c:pt>
                <c:pt idx="291">
                  <c:v>1350.5915695966892</c:v>
                </c:pt>
                <c:pt idx="292">
                  <c:v>1002.7202994743774</c:v>
                </c:pt>
                <c:pt idx="293">
                  <c:v>739.03757309591288</c:v>
                </c:pt>
                <c:pt idx="294">
                  <c:v>540.73461228763063</c:v>
                </c:pt>
                <c:pt idx="295">
                  <c:v>392.76498138659662</c:v>
                </c:pt>
                <c:pt idx="296">
                  <c:v>283.21241581267373</c:v>
                </c:pt>
                <c:pt idx="297">
                  <c:v>202.73221097979976</c:v>
                </c:pt>
                <c:pt idx="298">
                  <c:v>144.06688437852736</c:v>
                </c:pt>
                <c:pt idx="299">
                  <c:v>101.63341312544429</c:v>
                </c:pt>
                <c:pt idx="300">
                  <c:v>71.177019176818519</c:v>
                </c:pt>
                <c:pt idx="301">
                  <c:v>49.485050861488524</c:v>
                </c:pt>
                <c:pt idx="302">
                  <c:v>34.153812106007969</c:v>
                </c:pt>
                <c:pt idx="303">
                  <c:v>23.40104694677806</c:v>
                </c:pt>
                <c:pt idx="304">
                  <c:v>15.917040819726381</c:v>
                </c:pt>
                <c:pt idx="305">
                  <c:v>10.747818190966592</c:v>
                </c:pt>
                <c:pt idx="306">
                  <c:v>7.2045893505186429</c:v>
                </c:pt>
                <c:pt idx="307">
                  <c:v>4.7943428904713459</c:v>
                </c:pt>
                <c:pt idx="308">
                  <c:v>3.1672321008729001</c:v>
                </c:pt>
                <c:pt idx="309">
                  <c:v>2.0771201998471041</c:v>
                </c:pt>
                <c:pt idx="310">
                  <c:v>1.3523039262235312</c:v>
                </c:pt>
                <c:pt idx="311">
                  <c:v>0.87401308211525564</c:v>
                </c:pt>
                <c:pt idx="312">
                  <c:v>0.56077999476867846</c:v>
                </c:pt>
                <c:pt idx="313">
                  <c:v>0.35718900084307509</c:v>
                </c:pt>
                <c:pt idx="314">
                  <c:v>0.22585760448756678</c:v>
                </c:pt>
                <c:pt idx="315">
                  <c:v>0.1417759940214551</c:v>
                </c:pt>
                <c:pt idx="316">
                  <c:v>8.8349239075838387E-2</c:v>
                </c:pt>
                <c:pt idx="317">
                  <c:v>5.4655940994579287E-2</c:v>
                </c:pt>
                <c:pt idx="318">
                  <c:v>3.3567054776893805E-2</c:v>
                </c:pt>
                <c:pt idx="319">
                  <c:v>2.0466831623269718E-2</c:v>
                </c:pt>
                <c:pt idx="320">
                  <c:v>1.2391081243411851E-2</c:v>
                </c:pt>
                <c:pt idx="321">
                  <c:v>7.4518678320895171E-3</c:v>
                </c:pt>
                <c:pt idx="322">
                  <c:v>4.4569448083258377E-3</c:v>
                </c:pt>
                <c:pt idx="323">
                  <c:v>2.6603847322125185E-3</c:v>
                </c:pt>
                <c:pt idx="324">
                  <c:v>1.6008567184578259E-3</c:v>
                </c:pt>
                <c:pt idx="325">
                  <c:v>9.9806333894736777E-4</c:v>
                </c:pt>
                <c:pt idx="326">
                  <c:v>6.8765383240278709E-4</c:v>
                </c:pt>
                <c:pt idx="327">
                  <c:v>5.8173859724655543E-4</c:v>
                </c:pt>
                <c:pt idx="328">
                  <c:v>6.4687541458300344E-4</c:v>
                </c:pt>
                <c:pt idx="329">
                  <c:v>8.9477361890427003E-4</c:v>
                </c:pt>
                <c:pt idx="330">
                  <c:v>1.3834892413898765E-3</c:v>
                </c:pt>
                <c:pt idx="331">
                  <c:v>2.2289669513478076E-3</c:v>
                </c:pt>
                <c:pt idx="332">
                  <c:v>3.6287593416790614E-3</c:v>
                </c:pt>
                <c:pt idx="333">
                  <c:v>5.9019272457003424E-3</c:v>
                </c:pt>
                <c:pt idx="334">
                  <c:v>9.5518082571275399E-3</c:v>
                </c:pt>
                <c:pt idx="335">
                  <c:v>1.536188391063123E-2</c:v>
                </c:pt>
                <c:pt idx="336">
                  <c:v>2.4539797000213318E-2</c:v>
                </c:pt>
                <c:pt idx="337">
                  <c:v>3.893118638027649E-2</c:v>
                </c:pt>
                <c:pt idx="338">
                  <c:v>6.1334064256599222E-2</c:v>
                </c:pt>
                <c:pt idx="339">
                  <c:v>9.5956767037113699E-2</c:v>
                </c:pt>
                <c:pt idx="340">
                  <c:v>0.14907905857223902</c:v>
                </c:pt>
                <c:pt idx="341">
                  <c:v>0.229997954880276</c:v>
                </c:pt>
                <c:pt idx="342">
                  <c:v>0.35236869001064824</c:v>
                </c:pt>
                <c:pt idx="343">
                  <c:v>0.5360885793211001</c:v>
                </c:pt>
                <c:pt idx="344">
                  <c:v>0.80991915627870614</c:v>
                </c:pt>
                <c:pt idx="345">
                  <c:v>1.2151017550109731</c:v>
                </c:pt>
                <c:pt idx="346">
                  <c:v>1.8102955451256957</c:v>
                </c:pt>
                <c:pt idx="347">
                  <c:v>2.6782565360136945</c:v>
                </c:pt>
                <c:pt idx="348">
                  <c:v>3.934782398374248</c:v>
                </c:pt>
                <c:pt idx="349">
                  <c:v>5.740571389036969</c:v>
                </c:pt>
                <c:pt idx="350">
                  <c:v>8.3167831878397358</c:v>
                </c:pt>
                <c:pt idx="351">
                  <c:v>11.965242178716728</c:v>
                </c:pt>
                <c:pt idx="352">
                  <c:v>17.094384260697229</c:v>
                </c:pt>
                <c:pt idx="353">
                  <c:v>24.252208127237751</c:v>
                </c:pt>
                <c:pt idx="354">
                  <c:v>34.167638744006084</c:v>
                </c:pt>
                <c:pt idx="355">
                  <c:v>47.801827707211402</c:v>
                </c:pt>
                <c:pt idx="356">
                  <c:v>66.410980669520455</c:v>
                </c:pt>
                <c:pt idx="357">
                  <c:v>91.622289534625125</c:v>
                </c:pt>
                <c:pt idx="358">
                  <c:v>125.52442549978069</c:v>
                </c:pt>
                <c:pt idx="359">
                  <c:v>170.77378345192975</c:v>
                </c:pt>
                <c:pt idx="360">
                  <c:v>230.71722187779989</c:v>
                </c:pt>
                <c:pt idx="361">
                  <c:v>309.53137903316184</c:v>
                </c:pt>
                <c:pt idx="362">
                  <c:v>412.37773330252145</c:v>
                </c:pt>
                <c:pt idx="363">
                  <c:v>545.57138946912244</c:v>
                </c:pt>
                <c:pt idx="364">
                  <c:v>716.76010249037847</c:v>
                </c:pt>
                <c:pt idx="365">
                  <c:v>935.10830499483723</c:v>
                </c:pt>
                <c:pt idx="366">
                  <c:v>1211.4789177448529</c:v>
                </c:pt>
                <c:pt idx="367">
                  <c:v>1558.6035578112876</c:v>
                </c:pt>
                <c:pt idx="368">
                  <c:v>1991.2295159324972</c:v>
                </c:pt>
                <c:pt idx="369">
                  <c:v>2526.2296882554497</c:v>
                </c:pt>
                <c:pt idx="370">
                  <c:v>3182.659690744511</c:v>
                </c:pt>
                <c:pt idx="371">
                  <c:v>3981.7448619063566</c:v>
                </c:pt>
                <c:pt idx="372">
                  <c:v>4946.7790002999973</c:v>
                </c:pt>
                <c:pt idx="373">
                  <c:v>6102.9167281108512</c:v>
                </c:pt>
                <c:pt idx="374">
                  <c:v>7476.8425552134713</c:v>
                </c:pt>
                <c:pt idx="375">
                  <c:v>9096.3022461544369</c:v>
                </c:pt>
                <c:pt idx="376">
                  <c:v>10989.486119429797</c:v>
                </c:pt>
                <c:pt idx="377">
                  <c:v>13184.259510025731</c:v>
                </c:pt>
                <c:pt idx="378">
                  <c:v>15707.242774872544</c:v>
                </c:pt>
                <c:pt idx="379">
                  <c:v>18582.751764586352</c:v>
                </c:pt>
                <c:pt idx="380">
                  <c:v>21831.619332561873</c:v>
                </c:pt>
                <c:pt idx="381">
                  <c:v>25469.928769038554</c:v>
                </c:pt>
                <c:pt idx="382">
                  <c:v>29507.700461141019</c:v>
                </c:pt>
                <c:pt idx="383">
                  <c:v>33947.582901971444</c:v>
                </c:pt>
                <c:pt idx="384">
                  <c:v>38783.607633718464</c:v>
                </c:pt>
                <c:pt idx="385">
                  <c:v>44000.074010794029</c:v>
                </c:pt>
                <c:pt idx="386">
                  <c:v>49570.633037136009</c:v>
                </c:pt>
                <c:pt idx="387">
                  <c:v>55457.639291290856</c:v>
                </c:pt>
                <c:pt idx="388">
                  <c:v>61611.835594190925</c:v>
                </c:pt>
                <c:pt idx="389">
                  <c:v>67972.426319910708</c:v>
                </c:pt>
                <c:pt idx="390">
                  <c:v>74467.582107494251</c:v>
                </c:pt>
                <c:pt idx="391">
                  <c:v>81015.40153310688</c:v>
                </c:pt>
                <c:pt idx="392">
                  <c:v>87525.334712451338</c:v>
                </c:pt>
                <c:pt idx="393">
                  <c:v>93900.050809928245</c:v>
                </c:pt>
                <c:pt idx="394">
                  <c:v>100037.70729525077</c:v>
                </c:pt>
                <c:pt idx="395">
                  <c:v>105834.55497434824</c:v>
                </c:pt>
                <c:pt idx="396">
                  <c:v>111187.79089841407</c:v>
                </c:pt>
                <c:pt idx="397">
                  <c:v>115998.55278153285</c:v>
                </c:pt>
                <c:pt idx="398">
                  <c:v>120174.9349583666</c:v>
                </c:pt>
                <c:pt idx="399">
                  <c:v>123634.89835913562</c:v>
                </c:pt>
                <c:pt idx="400">
                  <c:v>126308.94627815635</c:v>
                </c:pt>
                <c:pt idx="401">
                  <c:v>128142.44422891557</c:v>
                </c:pt>
                <c:pt idx="402">
                  <c:v>129097.47578438009</c:v>
                </c:pt>
                <c:pt idx="403">
                  <c:v>129154.14636469625</c:v>
                </c:pt>
                <c:pt idx="404">
                  <c:v>128311.27235424351</c:v>
                </c:pt>
                <c:pt idx="405">
                  <c:v>126586.42220746685</c:v>
                </c:pt>
                <c:pt idx="406">
                  <c:v>124015.30754952708</c:v>
                </c:pt>
                <c:pt idx="407">
                  <c:v>120650.55374849291</c:v>
                </c:pt>
                <c:pt idx="408">
                  <c:v>116559.90907605678</c:v>
                </c:pt>
                <c:pt idx="409">
                  <c:v>111823.97756769056</c:v>
                </c:pt>
                <c:pt idx="410">
                  <c:v>106533.58149912157</c:v>
                </c:pt>
                <c:pt idx="411">
                  <c:v>100786.87385791594</c:v>
                </c:pt>
                <c:pt idx="412">
                  <c:v>94686.328613831298</c:v>
                </c:pt>
                <c:pt idx="413">
                  <c:v>88335.736787273519</c:v>
                </c:pt>
                <c:pt idx="414">
                  <c:v>81837.329586049207</c:v>
                </c:pt>
                <c:pt idx="415">
                  <c:v>75289.136983323813</c:v>
                </c:pt>
                <c:pt idx="416">
                  <c:v>68782.672174544656</c:v>
                </c:pt>
                <c:pt idx="417">
                  <c:v>62401.010777445859</c:v>
                </c:pt>
                <c:pt idx="418">
                  <c:v>56217.309975815231</c:v>
                </c:pt>
                <c:pt idx="419">
                  <c:v>50293.788628759554</c:v>
                </c:pt>
                <c:pt idx="420">
                  <c:v>44681.166155931372</c:v>
                </c:pt>
                <c:pt idx="421">
                  <c:v>39418.537057406596</c:v>
                </c:pt>
                <c:pt idx="422">
                  <c:v>34533.640258634914</c:v>
                </c:pt>
                <c:pt idx="423">
                  <c:v>30043.468793950571</c:v>
                </c:pt>
                <c:pt idx="424">
                  <c:v>25955.156029412385</c:v>
                </c:pt>
                <c:pt idx="425">
                  <c:v>22267.069724567427</c:v>
                </c:pt>
                <c:pt idx="426">
                  <c:v>18970.044498618237</c:v>
                </c:pt>
                <c:pt idx="427">
                  <c:v>16048.686215575697</c:v>
                </c:pt>
                <c:pt idx="428">
                  <c:v>13482.68777663553</c:v>
                </c:pt>
                <c:pt idx="429">
                  <c:v>11248.104042429262</c:v>
                </c:pt>
                <c:pt idx="430">
                  <c:v>9318.5433023976893</c:v>
                </c:pt>
                <c:pt idx="431">
                  <c:v>7666.2430874844194</c:v>
                </c:pt>
                <c:pt idx="432">
                  <c:v>6263.0084851436795</c:v>
                </c:pt>
                <c:pt idx="433">
                  <c:v>5081.0008742249393</c:v>
                </c:pt>
                <c:pt idx="434">
                  <c:v>4093.3736986741324</c:v>
                </c:pt>
                <c:pt idx="435">
                  <c:v>3274.7592340540805</c:v>
                </c:pt>
                <c:pt idx="436">
                  <c:v>2601.6161007505571</c:v>
                </c:pt>
                <c:pt idx="437">
                  <c:v>2052.4515002488852</c:v>
                </c:pt>
                <c:pt idx="438">
                  <c:v>1607.934860097916</c:v>
                </c:pt>
                <c:pt idx="439">
                  <c:v>1250.9209147804372</c:v>
                </c:pt>
                <c:pt idx="440">
                  <c:v>966.40042501555797</c:v>
                </c:pt>
                <c:pt idx="441">
                  <c:v>741.39597914302408</c:v>
                </c:pt>
                <c:pt idx="442">
                  <c:v>564.81886799240965</c:v>
                </c:pt>
                <c:pt idx="443">
                  <c:v>427.30111043576346</c:v>
                </c:pt>
                <c:pt idx="444">
                  <c:v>321.01453917191606</c:v>
                </c:pt>
                <c:pt idx="445">
                  <c:v>239.48661194990297</c:v>
                </c:pt>
                <c:pt idx="446">
                  <c:v>177.42043287150094</c:v>
                </c:pt>
                <c:pt idx="447">
                  <c:v>130.52445494144297</c:v>
                </c:pt>
                <c:pt idx="448">
                  <c:v>95.355556880325423</c:v>
                </c:pt>
                <c:pt idx="449">
                  <c:v>69.177681581516524</c:v>
                </c:pt>
                <c:pt idx="450">
                  <c:v>49.837001964455226</c:v>
                </c:pt>
                <c:pt idx="451">
                  <c:v>35.65363392886411</c:v>
                </c:pt>
                <c:pt idx="452">
                  <c:v>25.329223050366203</c:v>
                </c:pt>
                <c:pt idx="453">
                  <c:v>17.869260045271901</c:v>
                </c:pt>
                <c:pt idx="454">
                  <c:v>12.518693873275781</c:v>
                </c:pt>
                <c:pt idx="455">
                  <c:v>8.7092737462010028</c:v>
                </c:pt>
                <c:pt idx="456">
                  <c:v>6.0170271163760214</c:v>
                </c:pt>
                <c:pt idx="457">
                  <c:v>4.128338293515613</c:v>
                </c:pt>
                <c:pt idx="458">
                  <c:v>2.8132045833169408</c:v>
                </c:pt>
                <c:pt idx="459">
                  <c:v>1.9043915971320733</c:v>
                </c:pt>
                <c:pt idx="460">
                  <c:v>1.2813693842480105</c:v>
                </c:pt>
                <c:pt idx="461">
                  <c:v>0.8580735434933765</c:v>
                </c:pt>
                <c:pt idx="462">
                  <c:v>0.57369169995194635</c:v>
                </c:pt>
                <c:pt idx="463">
                  <c:v>0.38582022414431372</c:v>
                </c:pt>
                <c:pt idx="464">
                  <c:v>0.26546602674289843</c:v>
                </c:pt>
                <c:pt idx="465">
                  <c:v>0.19348293718440185</c:v>
                </c:pt>
                <c:pt idx="466">
                  <c:v>0.15813234882182392</c:v>
                </c:pt>
                <c:pt idx="467">
                  <c:v>0.15354535493267868</c:v>
                </c:pt>
                <c:pt idx="468">
                  <c:v>0.1789411289571233</c:v>
                </c:pt>
                <c:pt idx="469">
                  <c:v>0.23852694262457652</c:v>
                </c:pt>
                <c:pt idx="470">
                  <c:v>0.34207242227312512</c:v>
                </c:pt>
                <c:pt idx="471">
                  <c:v>0.50621808644478083</c:v>
                </c:pt>
                <c:pt idx="472">
                  <c:v>0.75664968831149237</c:v>
                </c:pt>
                <c:pt idx="473">
                  <c:v>1.1313492650566821</c:v>
                </c:pt>
                <c:pt idx="474">
                  <c:v>1.6852249043361809</c:v>
                </c:pt>
                <c:pt idx="475">
                  <c:v>2.4965277495053235</c:v>
                </c:pt>
                <c:pt idx="476">
                  <c:v>3.6755900042256728</c:v>
                </c:pt>
                <c:pt idx="477">
                  <c:v>5.3765643554157183</c:v>
                </c:pt>
                <c:pt idx="478">
                  <c:v>7.8130149819631223</c:v>
                </c:pt>
                <c:pt idx="479">
                  <c:v>11.278403292393483</c:v>
                </c:pt>
                <c:pt idx="480">
                  <c:v>16.172725701943993</c:v>
                </c:pt>
                <c:pt idx="481">
                  <c:v>23.036791150250551</c:v>
                </c:pt>
                <c:pt idx="482">
                  <c:v>32.595863922532772</c:v>
                </c:pt>
                <c:pt idx="483">
                  <c:v>45.814629235341059</c:v>
                </c:pt>
                <c:pt idx="484">
                  <c:v>63.965646000373368</c:v>
                </c:pt>
                <c:pt idx="485">
                  <c:v>88.713607927903709</c:v>
                </c:pt>
                <c:pt idx="486">
                  <c:v>122.21780868577325</c:v>
                </c:pt>
                <c:pt idx="487">
                  <c:v>167.25516045675454</c:v>
                </c:pt>
                <c:pt idx="488">
                  <c:v>227.36590306955441</c:v>
                </c:pt>
                <c:pt idx="489">
                  <c:v>307.02371334812062</c:v>
                </c:pt>
                <c:pt idx="490">
                  <c:v>411.83122959181509</c:v>
                </c:pt>
                <c:pt idx="491">
                  <c:v>548.74099363268658</c:v>
                </c:pt>
                <c:pt idx="492">
                  <c:v>726.30043828165458</c:v>
                </c:pt>
                <c:pt idx="493">
                  <c:v>954.91777881715825</c:v>
                </c:pt>
                <c:pt idx="494">
                  <c:v>1247.1434902055155</c:v>
                </c:pt>
                <c:pt idx="495">
                  <c:v>1617.9594804344413</c:v>
                </c:pt>
                <c:pt idx="496">
                  <c:v>2085.0651527129271</c:v>
                </c:pt>
                <c:pt idx="497">
                  <c:v>2669.146375160642</c:v>
                </c:pt>
                <c:pt idx="498">
                  <c:v>3394.1100833416699</c:v>
                </c:pt>
                <c:pt idx="499">
                  <c:v>4287.264016729574</c:v>
                </c:pt>
                <c:pt idx="500">
                  <c:v>5379.4181734527237</c:v>
                </c:pt>
                <c:pt idx="501">
                  <c:v>6704.8822423410993</c:v>
                </c:pt>
                <c:pt idx="502">
                  <c:v>8301.3318560500993</c:v>
                </c:pt>
                <c:pt idx="503">
                  <c:v>10209.516340725604</c:v>
                </c:pt>
                <c:pt idx="504">
                  <c:v>12472.782048621</c:v>
                </c:pt>
                <c:pt idx="505">
                  <c:v>15136.388649833698</c:v>
                </c:pt>
                <c:pt idx="506">
                  <c:v>18246.601162204806</c:v>
                </c:pt>
                <c:pt idx="507">
                  <c:v>21849.548148826067</c:v>
                </c:pt>
                <c:pt idx="508">
                  <c:v>25989.846410972699</c:v>
                </c:pt>
                <c:pt idx="509">
                  <c:v>30709.004487047296</c:v>
                </c:pt>
                <c:pt idx="510">
                  <c:v>36043.630985306758</c:v>
                </c:pt>
                <c:pt idx="511">
                  <c:v>42023.488682539144</c:v>
                </c:pt>
                <c:pt idx="512">
                  <c:v>48669.450672048944</c:v>
                </c:pt>
                <c:pt idx="513">
                  <c:v>55991.429730260388</c:v>
                </c:pt>
                <c:pt idx="514">
                  <c:v>63986.365448699231</c:v>
                </c:pt>
                <c:pt idx="515">
                  <c:v>72636.364431570197</c:v>
                </c:pt>
                <c:pt idx="516">
                  <c:v>81907.095876208492</c:v>
                </c:pt>
                <c:pt idx="517">
                  <c:v>91746.547112526663</c:v>
                </c:pt>
                <c:pt idx="518">
                  <c:v>102084.2403404659</c:v>
                </c:pt>
                <c:pt idx="519">
                  <c:v>112831.00230962101</c:v>
                </c:pt>
                <c:pt idx="520">
                  <c:v>123879.362828414</c:v>
                </c:pt>
                <c:pt idx="521">
                  <c:v>135104.63598719682</c:v>
                </c:pt>
                <c:pt idx="522">
                  <c:v>146366.7105013043</c:v>
                </c:pt>
                <c:pt idx="523">
                  <c:v>157512.54375350315</c:v>
                </c:pt>
                <c:pt idx="524">
                  <c:v>168379.3194872824</c:v>
                </c:pt>
                <c:pt idx="525">
                  <c:v>178798.19356409527</c:v>
                </c:pt>
                <c:pt idx="526">
                  <c:v>188598.51787317696</c:v>
                </c:pt>
                <c:pt idx="527">
                  <c:v>197612.40158878951</c:v>
                </c:pt>
                <c:pt idx="528">
                  <c:v>205679.44365655843</c:v>
                </c:pt>
                <c:pt idx="529">
                  <c:v>212651.4525745736</c:v>
                </c:pt>
                <c:pt idx="530">
                  <c:v>218396.96074090913</c:v>
                </c:pt>
                <c:pt idx="531">
                  <c:v>222805.34186364437</c:v>
                </c:pt>
                <c:pt idx="532">
                  <c:v>225790.35153954031</c:v>
                </c:pt>
                <c:pt idx="533">
                  <c:v>227292.93278622581</c:v>
                </c:pt>
                <c:pt idx="534">
                  <c:v>227283.15905687638</c:v>
                </c:pt>
                <c:pt idx="535">
                  <c:v>225761.22543959058</c:v>
                </c:pt>
                <c:pt idx="536">
                  <c:v>222757.44218170474</c:v>
                </c:pt>
                <c:pt idx="537">
                  <c:v>218331.23083931173</c:v>
                </c:pt>
                <c:pt idx="538">
                  <c:v>212569.16949441354</c:v>
                </c:pt>
                <c:pt idx="539">
                  <c:v>205582.17686788493</c:v>
                </c:pt>
                <c:pt idx="540">
                  <c:v>197501.96324671031</c:v>
                </c:pt>
                <c:pt idx="541">
                  <c:v>188476.90678043125</c:v>
                </c:pt>
                <c:pt idx="542">
                  <c:v>178667.53525566691</c:v>
                </c:pt>
                <c:pt idx="543">
                  <c:v>168241.80493436486</c:v>
                </c:pt>
                <c:pt idx="544">
                  <c:v>157370.36913303522</c:v>
                </c:pt>
                <c:pt idx="545">
                  <c:v>146222.02030237636</c:v>
                </c:pt>
                <c:pt idx="546">
                  <c:v>134959.47144342837</c:v>
                </c:pt>
                <c:pt idx="547">
                  <c:v>123735.61729844642</c:v>
                </c:pt>
                <c:pt idx="548">
                  <c:v>112690.38480272345</c:v>
                </c:pt>
                <c:pt idx="549">
                  <c:v>101948.24792940782</c:v>
                </c:pt>
                <c:pt idx="550">
                  <c:v>91616.446519606819</c:v>
                </c:pt>
                <c:pt idx="551">
                  <c:v>81783.914086769437</c:v>
                </c:pt>
                <c:pt idx="552">
                  <c:v>72520.887804784521</c:v>
                </c:pt>
                <c:pt idx="553">
                  <c:v>63879.146475201662</c:v>
                </c:pt>
                <c:pt idx="554">
                  <c:v>55892.800341895774</c:v>
                </c:pt>
                <c:pt idx="555">
                  <c:v>48579.540846245021</c:v>
                </c:pt>
                <c:pt idx="556">
                  <c:v>41942.249002523175</c:v>
                </c:pt>
                <c:pt idx="557">
                  <c:v>35970.857812446433</c:v>
                </c:pt>
                <c:pt idx="558">
                  <c:v>30644.366463779206</c:v>
                </c:pt>
                <c:pt idx="559">
                  <c:v>25932.911129891974</c:v>
                </c:pt>
                <c:pt idx="560">
                  <c:v>21799.807981593371</c:v>
                </c:pt>
                <c:pt idx="561">
                  <c:v>18203.497426457154</c:v>
                </c:pt>
                <c:pt idx="562">
                  <c:v>15099.333489215027</c:v>
                </c:pt>
                <c:pt idx="563">
                  <c:v>12441.1775976891</c:v>
                </c:pt>
                <c:pt idx="564">
                  <c:v>10182.770932145484</c:v>
                </c:pt>
                <c:pt idx="565">
                  <c:v>8278.873193847463</c:v>
                </c:pt>
                <c:pt idx="566">
                  <c:v>6686.167606308456</c:v>
                </c:pt>
                <c:pt idx="567">
                  <c:v>5363.941832820663</c:v>
                </c:pt>
                <c:pt idx="568">
                  <c:v>4274.5621149585268</c:v>
                </c:pt>
                <c:pt idx="569">
                  <c:v>3383.7633113062216</c:v>
                </c:pt>
                <c:pt idx="570">
                  <c:v>2660.7807795500262</c:v>
                </c:pt>
                <c:pt idx="571">
                  <c:v>2078.3514336780468</c:v>
                </c:pt>
                <c:pt idx="572">
                  <c:v>1612.6111215168401</c:v>
                </c:pt>
                <c:pt idx="573">
                  <c:v>1242.9140387600767</c:v>
                </c:pt>
                <c:pt idx="574">
                  <c:v>951.59756076084648</c:v>
                </c:pt>
                <c:pt idx="575">
                  <c:v>723.71295098741643</c:v>
                </c:pt>
                <c:pt idx="576">
                  <c:v>546.73917853865112</c:v>
                </c:pt>
                <c:pt idx="577">
                  <c:v>410.29378439030449</c:v>
                </c:pt>
                <c:pt idx="578">
                  <c:v>305.85156458655439</c:v>
                </c:pt>
                <c:pt idx="579">
                  <c:v>226.47892514286761</c:v>
                </c:pt>
                <c:pt idx="580">
                  <c:v>166.58919724727181</c:v>
                </c:pt>
                <c:pt idx="581">
                  <c:v>121.72202999564242</c:v>
                </c:pt>
                <c:pt idx="582">
                  <c:v>88.348214477585188</c:v>
                </c:pt>
                <c:pt idx="583">
                  <c:v>63.699924014647401</c:v>
                </c:pt>
                <c:pt idx="584">
                  <c:v>45.625348247674651</c:v>
                </c:pt>
                <c:pt idx="585">
                  <c:v>32.466009100847415</c:v>
                </c:pt>
                <c:pt idx="586">
                  <c:v>22.954623928066862</c:v>
                </c:pt>
                <c:pt idx="587">
                  <c:v>16.131173648566666</c:v>
                </c:pt>
                <c:pt idx="588">
                  <c:v>11.274792001943954</c:v>
                </c:pt>
                <c:pt idx="589">
                  <c:v>7.8491715356921254</c:v>
                </c:pt>
                <c:pt idx="590">
                  <c:v>5.4593440702083607</c:v>
                </c:pt>
                <c:pt idx="591">
                  <c:v>3.8179064009127197</c:v>
                </c:pt>
                <c:pt idx="592">
                  <c:v>2.7190008362194842</c:v>
                </c:pt>
                <c:pt idx="593">
                  <c:v>2.0186060022021617</c:v>
                </c:pt>
                <c:pt idx="594">
                  <c:v>1.6199328035582217</c:v>
                </c:pt>
                <c:pt idx="595">
                  <c:v>1.4629447074925113</c:v>
                </c:pt>
                <c:pt idx="596">
                  <c:v>1.5172254142134918</c:v>
                </c:pt>
                <c:pt idx="597">
                  <c:v>1.7775979939753084</c:v>
                </c:pt>
                <c:pt idx="598">
                  <c:v>2.2620570733947281</c:v>
                </c:pt>
                <c:pt idx="599">
                  <c:v>3.0117101617113402</c:v>
                </c:pt>
                <c:pt idx="600">
                  <c:v>4.0925367973830244</c:v>
                </c:pt>
                <c:pt idx="601">
                  <c:v>5.5988660337736551</c:v>
                </c:pt>
                <c:pt idx="602">
                  <c:v>7.6585447793588415</c:v>
                </c:pt>
                <c:pt idx="603">
                  <c:v>10.439822080913286</c:v>
                </c:pt>
                <c:pt idx="604">
                  <c:v>14.160007385148218</c:v>
                </c:pt>
                <c:pt idx="605">
                  <c:v>19.095973283059752</c:v>
                </c:pt>
                <c:pt idx="606">
                  <c:v>25.596563796018128</c:v>
                </c:pt>
                <c:pt idx="607">
                  <c:v>34.09693604282262</c:v>
                </c:pt>
                <c:pt idx="608">
                  <c:v>45.134804096370182</c:v>
                </c:pt>
                <c:pt idx="609">
                  <c:v>59.368467120249093</c:v>
                </c:pt>
                <c:pt idx="610">
                  <c:v>77.59638816404761</c:v>
                </c:pt>
                <c:pt idx="611">
                  <c:v>100.7779450325794</c:v>
                </c:pt>
                <c:pt idx="612">
                  <c:v>130.05480173074375</c:v>
                </c:pt>
                <c:pt idx="613">
                  <c:v>166.7721515063707</c:v>
                </c:pt>
                <c:pt idx="614">
                  <c:v>212.49886641718919</c:v>
                </c:pt>
                <c:pt idx="615">
                  <c:v>269.04536254119296</c:v>
                </c:pt>
                <c:pt idx="616">
                  <c:v>338.47776653479298</c:v>
                </c:pt>
                <c:pt idx="617">
                  <c:v>423.12676354151506</c:v>
                </c:pt>
                <c:pt idx="618">
                  <c:v>525.58933674699426</c:v>
                </c:pt>
                <c:pt idx="619">
                  <c:v>648.72149581333258</c:v>
                </c:pt>
                <c:pt idx="620">
                  <c:v>795.62005706458535</c:v>
                </c:pt>
                <c:pt idx="621">
                  <c:v>969.59160476047543</c:v>
                </c:pt>
                <c:pt idx="622">
                  <c:v>1174.1069505899388</c:v>
                </c:pt>
                <c:pt idx="623">
                  <c:v>1412.7397345427394</c:v>
                </c:pt>
                <c:pt idx="624">
                  <c:v>1689.0882857289846</c:v>
                </c:pt>
                <c:pt idx="625">
                  <c:v>2006.680489745323</c:v>
                </c:pt>
                <c:pt idx="626">
                  <c:v>2368.862183147703</c:v>
                </c:pt>
                <c:pt idx="627">
                  <c:v>2778.6704972759258</c:v>
                </c:pt>
                <c:pt idx="628">
                  <c:v>3238.6945723687031</c:v>
                </c:pt>
                <c:pt idx="629">
                  <c:v>3750.9271152364827</c:v>
                </c:pt>
                <c:pt idx="630">
                  <c:v>4316.6113245576307</c:v>
                </c:pt>
                <c:pt idx="631">
                  <c:v>4936.0886921718748</c:v>
                </c:pt>
                <c:pt idx="632">
                  <c:v>5608.6540349648476</c:v>
                </c:pt>
                <c:pt idx="633">
                  <c:v>6332.424746074792</c:v>
                </c:pt>
                <c:pt idx="634">
                  <c:v>7104.2316049502415</c:v>
                </c:pt>
                <c:pt idx="635">
                  <c:v>7919.5384904454568</c:v>
                </c:pt>
                <c:pt idx="636">
                  <c:v>8772.397951205412</c:v>
                </c:pt>
                <c:pt idx="637">
                  <c:v>9655.4487745322349</c:v>
                </c:pt>
                <c:pt idx="638">
                  <c:v>10559.96045485608</c:v>
                </c:pt>
                <c:pt idx="639">
                  <c:v>11475.92781997794</c:v>
                </c:pt>
                <c:pt idx="640">
                  <c:v>12392.21708106713</c:v>
                </c:pt>
                <c:pt idx="641">
                  <c:v>13296.762313526016</c:v>
                </c:pt>
                <c:pt idx="642">
                  <c:v>14176.808958699818</c:v>
                </c:pt>
                <c:pt idx="643">
                  <c:v>15019.19848995145</c:v>
                </c:pt>
                <c:pt idx="644">
                  <c:v>15810.686052828343</c:v>
                </c:pt>
                <c:pt idx="645">
                  <c:v>16538.280813812984</c:v>
                </c:pt>
                <c:pt idx="646">
                  <c:v>17189.597075095717</c:v>
                </c:pt>
                <c:pt idx="647">
                  <c:v>17753.203056871273</c:v>
                </c:pt>
                <c:pt idx="648">
                  <c:v>18218.953710275055</c:v>
                </c:pt>
                <c:pt idx="649">
                  <c:v>18578.294064848775</c:v>
                </c:pt>
                <c:pt idx="650">
                  <c:v>18824.5204550608</c:v>
                </c:pt>
                <c:pt idx="651">
                  <c:v>18952.988487508155</c:v>
                </c:pt>
                <c:pt idx="652">
                  <c:v>18961.258736561202</c:v>
                </c:pt>
                <c:pt idx="653">
                  <c:v>18849.173783351282</c:v>
                </c:pt>
                <c:pt idx="654">
                  <c:v>18618.863199153657</c:v>
                </c:pt>
                <c:pt idx="655">
                  <c:v>18274.676252770871</c:v>
                </c:pt>
                <c:pt idx="656">
                  <c:v>17823.045312580121</c:v>
                </c:pt>
                <c:pt idx="657">
                  <c:v>17272.285936711804</c:v>
                </c:pt>
                <c:pt idx="658">
                  <c:v>16632.342330237025</c:v>
                </c:pt>
                <c:pt idx="659">
                  <c:v>15914.489050287242</c:v>
                </c:pt>
                <c:pt idx="660">
                  <c:v>15131.001445565533</c:v>
                </c:pt>
                <c:pt idx="661">
                  <c:v>14294.808252461709</c:v>
                </c:pt>
                <c:pt idx="662">
                  <c:v>13419.140006438491</c:v>
                </c:pt>
                <c:pt idx="663">
                  <c:v>12517.186479291098</c:v>
                </c:pt>
                <c:pt idx="664">
                  <c:v>11601.775276598126</c:v>
                </c:pt>
                <c:pt idx="665">
                  <c:v>10685.082117288279</c:v>
                </c:pt>
                <c:pt idx="666">
                  <c:v>9778.3812886034339</c:v>
                </c:pt>
                <c:pt idx="667">
                  <c:v>8891.8424627910736</c:v>
                </c:pt>
                <c:pt idx="668">
                  <c:v>8034.3776222584347</c:v>
                </c:pt>
                <c:pt idx="669">
                  <c:v>7213.5394107611646</c:v>
                </c:pt>
                <c:pt idx="670">
                  <c:v>6435.4699406956242</c:v>
                </c:pt>
                <c:pt idx="671">
                  <c:v>5704.8970523177677</c:v>
                </c:pt>
                <c:pt idx="672">
                  <c:v>5025.1733260455412</c:v>
                </c:pt>
                <c:pt idx="673">
                  <c:v>4398.3518516234244</c:v>
                </c:pt>
                <c:pt idx="674">
                  <c:v>3825.2918859629485</c:v>
                </c:pt>
                <c:pt idx="675">
                  <c:v>3305.7870847155896</c:v>
                </c:pt>
                <c:pt idx="676">
                  <c:v>2838.7089456762455</c:v>
                </c:pt>
                <c:pt idx="677">
                  <c:v>2422.1584089182284</c:v>
                </c:pt>
                <c:pt idx="678">
                  <c:v>2053.6191579438705</c:v>
                </c:pt>
                <c:pt idx="679">
                  <c:v>1730.1069876541183</c:v>
                </c:pt>
                <c:pt idx="680">
                  <c:v>1448.3105746561694</c:v>
                </c:pt>
                <c:pt idx="681">
                  <c:v>1204.7200311398765</c:v>
                </c:pt>
                <c:pt idx="682">
                  <c:v>995.74067917896457</c:v>
                </c:pt>
                <c:pt idx="683">
                  <c:v>817.79049119936064</c:v>
                </c:pt>
                <c:pt idx="684">
                  <c:v>667.38055943822633</c:v>
                </c:pt>
                <c:pt idx="685">
                  <c:v>541.17875002902088</c:v>
                </c:pt>
                <c:pt idx="686">
                  <c:v>436.05734600736514</c:v>
                </c:pt>
                <c:pt idx="687">
                  <c:v>349.12597985551184</c:v>
                </c:pt>
                <c:pt idx="688">
                  <c:v>277.75150216996826</c:v>
                </c:pt>
                <c:pt idx="689">
                  <c:v>219.56663883430519</c:v>
                </c:pt>
                <c:pt idx="690">
                  <c:v>172.46937094141953</c:v>
                </c:pt>
                <c:pt idx="691">
                  <c:v>134.61494975256301</c:v>
                </c:pt>
                <c:pt idx="692">
                  <c:v>104.40235519197118</c:v>
                </c:pt>
                <c:pt idx="693">
                  <c:v>80.456842876949253</c:v>
                </c:pt>
                <c:pt idx="694">
                  <c:v>61.610022334000092</c:v>
                </c:pt>
                <c:pt idx="695">
                  <c:v>46.87868643279716</c:v>
                </c:pt>
                <c:pt idx="696">
                  <c:v>35.443384833813589</c:v>
                </c:pt>
                <c:pt idx="697">
                  <c:v>26.627514804796746</c:v>
                </c:pt>
                <c:pt idx="698">
                  <c:v>19.877500262504242</c:v>
                </c:pt>
                <c:pt idx="699">
                  <c:v>14.744450416436107</c:v>
                </c:pt>
                <c:pt idx="700">
                  <c:v>10.867536292702113</c:v>
                </c:pt>
                <c:pt idx="701">
                  <c:v>7.9591977946333463</c:v>
                </c:pt>
                <c:pt idx="702">
                  <c:v>5.7921951315028517</c:v>
                </c:pt>
                <c:pt idx="703">
                  <c:v>4.1884444451148148</c:v>
                </c:pt>
                <c:pt idx="704">
                  <c:v>3.0095254686652217</c:v>
                </c:pt>
                <c:pt idx="705">
                  <c:v>2.1487157884165651</c:v>
                </c:pt>
                <c:pt idx="706">
                  <c:v>1.5243883300885668</c:v>
                </c:pt>
                <c:pt idx="707">
                  <c:v>1.0746027415645436</c:v>
                </c:pt>
                <c:pt idx="708">
                  <c:v>0.75272434334110594</c:v>
                </c:pt>
                <c:pt idx="709">
                  <c:v>0.52391359390056902</c:v>
                </c:pt>
                <c:pt idx="710">
                  <c:v>0.36234232047565312</c:v>
                </c:pt>
                <c:pt idx="711">
                  <c:v>0.24900848373573742</c:v>
                </c:pt>
                <c:pt idx="712">
                  <c:v>0.17003757974184883</c:v>
                </c:pt>
                <c:pt idx="713">
                  <c:v>0.11537490969414611</c:v>
                </c:pt>
                <c:pt idx="714">
                  <c:v>7.7788164133841958E-2</c:v>
                </c:pt>
                <c:pt idx="715">
                  <c:v>5.2113633947222425E-2</c:v>
                </c:pt>
                <c:pt idx="716">
                  <c:v>3.4691644132431469E-2</c:v>
                </c:pt>
                <c:pt idx="717">
                  <c:v>2.2947432222254326E-2</c:v>
                </c:pt>
                <c:pt idx="718">
                  <c:v>1.5082696679982337E-2</c:v>
                </c:pt>
                <c:pt idx="719">
                  <c:v>9.8505297544092141E-3</c:v>
                </c:pt>
                <c:pt idx="720">
                  <c:v>6.3925754925587873E-3</c:v>
                </c:pt>
                <c:pt idx="721">
                  <c:v>4.1221883562828259E-3</c:v>
                </c:pt>
                <c:pt idx="722">
                  <c:v>2.6412863526380061E-3</c:v>
                </c:pt>
                <c:pt idx="723">
                  <c:v>1.6816624658588376E-3</c:v>
                </c:pt>
                <c:pt idx="724">
                  <c:v>1.0638927833943889E-3</c:v>
                </c:pt>
                <c:pt idx="725">
                  <c:v>6.6879433138135574E-4</c:v>
                </c:pt>
                <c:pt idx="726">
                  <c:v>4.1775628485066815E-4</c:v>
                </c:pt>
                <c:pt idx="727">
                  <c:v>2.5929198326027863E-4</c:v>
                </c:pt>
                <c:pt idx="728">
                  <c:v>1.5991561596789066E-4</c:v>
                </c:pt>
                <c:pt idx="729">
                  <c:v>9.8000513060718893E-5</c:v>
                </c:pt>
                <c:pt idx="730">
                  <c:v>5.9676248245446073E-5</c:v>
                </c:pt>
                <c:pt idx="731">
                  <c:v>3.6108576099076579E-5</c:v>
                </c:pt>
                <c:pt idx="732">
                  <c:v>2.1709753993879066E-5</c:v>
                </c:pt>
                <c:pt idx="733">
                  <c:v>1.2969855275887783E-5</c:v>
                </c:pt>
                <c:pt idx="734">
                  <c:v>7.6992965288097908E-6</c:v>
                </c:pt>
                <c:pt idx="735">
                  <c:v>4.5415348475077602E-6</c:v>
                </c:pt>
                <c:pt idx="736">
                  <c:v>2.6618890148007625E-6</c:v>
                </c:pt>
                <c:pt idx="737">
                  <c:v>1.5502899278948401E-6</c:v>
                </c:pt>
                <c:pt idx="738">
                  <c:v>8.9716349762191838E-7</c:v>
                </c:pt>
                <c:pt idx="739">
                  <c:v>5.1590050585670547E-7</c:v>
                </c:pt>
                <c:pt idx="740">
                  <c:v>2.9477863295456379E-7</c:v>
                </c:pt>
                <c:pt idx="741">
                  <c:v>1.6736388003260188E-7</c:v>
                </c:pt>
                <c:pt idx="742">
                  <c:v>9.441981806042554E-8</c:v>
                </c:pt>
                <c:pt idx="743">
                  <c:v>5.2929802229312738E-8</c:v>
                </c:pt>
                <c:pt idx="744">
                  <c:v>2.9483094992281982E-8</c:v>
                </c:pt>
                <c:pt idx="745">
                  <c:v>1.631854977762273E-8</c:v>
                </c:pt>
                <c:pt idx="746">
                  <c:v>8.9748198094553276E-9</c:v>
                </c:pt>
                <c:pt idx="747">
                  <c:v>4.9046226968561888E-9</c:v>
                </c:pt>
                <c:pt idx="748">
                  <c:v>2.6633065532350088E-9</c:v>
                </c:pt>
                <c:pt idx="749">
                  <c:v>1.437051724695615E-9</c:v>
                </c:pt>
                <c:pt idx="750">
                  <c:v>7.70476383279295E-10</c:v>
                </c:pt>
                <c:pt idx="751">
                  <c:v>4.1047050022413103E-10</c:v>
                </c:pt>
                <c:pt idx="752">
                  <c:v>2.172902594258802E-10</c:v>
                </c:pt>
                <c:pt idx="753">
                  <c:v>1.1429684820628525E-10</c:v>
                </c:pt>
                <c:pt idx="754">
                  <c:v>5.9739824073985561E-11</c:v>
                </c:pt>
                <c:pt idx="755">
                  <c:v>3.1026251773834684E-11</c:v>
                </c:pt>
                <c:pt idx="756">
                  <c:v>1.6011439323927374E-11</c:v>
                </c:pt>
                <c:pt idx="757">
                  <c:v>8.2104530847414013E-12</c:v>
                </c:pt>
                <c:pt idx="758">
                  <c:v>4.1834979661657193E-12</c:v>
                </c:pt>
                <c:pt idx="759">
                  <c:v>2.118105992678888E-12</c:v>
                </c:pt>
                <c:pt idx="760">
                  <c:v>1.0655933563626513E-12</c:v>
                </c:pt>
                <c:pt idx="761">
                  <c:v>5.3268566258401138E-13</c:v>
                </c:pt>
                <c:pt idx="762">
                  <c:v>2.6459778225221528E-13</c:v>
                </c:pt>
                <c:pt idx="763">
                  <c:v>1.3059816663050381E-13</c:v>
                </c:pt>
                <c:pt idx="764">
                  <c:v>6.4050665884875604E-14</c:v>
                </c:pt>
                <c:pt idx="765">
                  <c:v>3.1213747036218479E-14</c:v>
                </c:pt>
                <c:pt idx="766">
                  <c:v>1.5114850367370244E-14</c:v>
                </c:pt>
                <c:pt idx="767">
                  <c:v>7.2727303616232668E-15</c:v>
                </c:pt>
                <c:pt idx="768">
                  <c:v>3.4771770845319506E-15</c:v>
                </c:pt>
                <c:pt idx="769">
                  <c:v>1.6519306829694358E-15</c:v>
                </c:pt>
                <c:pt idx="770">
                  <c:v>7.7981667801120556E-16</c:v>
                </c:pt>
                <c:pt idx="771">
                  <c:v>3.6578753938543769E-16</c:v>
                </c:pt>
                <c:pt idx="772">
                  <c:v>1.7049081362382028E-16</c:v>
                </c:pt>
                <c:pt idx="773">
                  <c:v>7.8960292416320238E-17</c:v>
                </c:pt>
                <c:pt idx="774">
                  <c:v>3.6337262069422112E-17</c:v>
                </c:pt>
                <c:pt idx="775">
                  <c:v>1.6616185908503179E-17</c:v>
                </c:pt>
                <c:pt idx="776">
                  <c:v>7.5499864561367009E-18</c:v>
                </c:pt>
                <c:pt idx="777">
                  <c:v>3.4087620870931667E-18</c:v>
                </c:pt>
                <c:pt idx="778">
                  <c:v>1.5292655235008043E-18</c:v>
                </c:pt>
                <c:pt idx="779">
                  <c:v>6.8171804974318455E-19</c:v>
                </c:pt>
                <c:pt idx="780">
                  <c:v>3.0196901095259674E-19</c:v>
                </c:pt>
                <c:pt idx="781">
                  <c:v>1.3290938504148808E-19</c:v>
                </c:pt>
                <c:pt idx="782">
                  <c:v>5.8127896741822284E-20</c:v>
                </c:pt>
                <c:pt idx="783">
                  <c:v>2.5260925494606453E-20</c:v>
                </c:pt>
                <c:pt idx="784">
                  <c:v>1.0908112170650065E-20</c:v>
                </c:pt>
                <c:pt idx="785">
                  <c:v>4.6804285624581405E-21</c:v>
                </c:pt>
                <c:pt idx="786">
                  <c:v>1.9955257449419076E-21</c:v>
                </c:pt>
                <c:pt idx="787">
                  <c:v>8.4540485527352519E-22</c:v>
                </c:pt>
                <c:pt idx="788">
                  <c:v>3.5588348004397345E-22</c:v>
                </c:pt>
                <c:pt idx="789">
                  <c:v>1.488629455533933E-22</c:v>
                </c:pt>
                <c:pt idx="790">
                  <c:v>6.1872986047013295E-23</c:v>
                </c:pt>
                <c:pt idx="791">
                  <c:v>2.5553549392491815E-23</c:v>
                </c:pt>
                <c:pt idx="792">
                  <c:v>1.0486657330671593E-23</c:v>
                </c:pt>
                <c:pt idx="793">
                  <c:v>4.2762059162065835E-24</c:v>
                </c:pt>
                <c:pt idx="794">
                  <c:v>1.7326699027234746E-24</c:v>
                </c:pt>
                <c:pt idx="795">
                  <c:v>6.976036456180964E-25</c:v>
                </c:pt>
                <c:pt idx="796">
                  <c:v>2.7908554290191554E-25</c:v>
                </c:pt>
                <c:pt idx="797">
                  <c:v>1.109434397078058E-25</c:v>
                </c:pt>
                <c:pt idx="798">
                  <c:v>4.3822949251787598E-26</c:v>
                </c:pt>
                <c:pt idx="799">
                  <c:v>1.7200349260817749E-26</c:v>
                </c:pt>
                <c:pt idx="800">
                  <c:v>6.7082403966912649E-27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625280"/>
        <c:axId val="48689088"/>
      </c:lineChart>
      <c:catAx>
        <c:axId val="302625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 sz="1200" b="1" i="0" baseline="0">
                    <a:effectLst/>
                  </a:rPr>
                  <a:t>2</a:t>
                </a:r>
                <a:r>
                  <a:rPr lang="el-GR" sz="1200" b="1" i="1" baseline="0">
                    <a:effectLst/>
                  </a:rPr>
                  <a:t>θ</a:t>
                </a:r>
                <a:endParaRPr lang="pt-BR" sz="1200">
                  <a:effectLst/>
                </a:endParaRP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/>
            </a:pPr>
            <a:endParaRPr lang="pt-BR"/>
          </a:p>
        </c:txPr>
        <c:crossAx val="48689088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48689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Intensidade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crossAx val="302625280"/>
        <c:crosses val="autoZero"/>
        <c:crossBetween val="between"/>
      </c:valAx>
      <c:spPr>
        <a:ln w="25400">
          <a:solidFill>
            <a:schemeClr val="tx1"/>
          </a:solidFill>
        </a:ln>
      </c:spPr>
    </c:plotArea>
    <c:legend>
      <c:legendPos val="r"/>
      <c:layout/>
      <c:overlay val="0"/>
      <c:spPr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ln w="19050">
      <a:solidFill>
        <a:schemeClr val="tx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u="none" strike="noStrike" baseline="0">
                <a:effectLst/>
              </a:rPr>
              <a:t>Difratogramas de raios-x do BaTiO3 - Calculado</a:t>
            </a:r>
            <a:endParaRPr lang="pt-B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'Fatores de forma'!$X$1:$X$2</c:f>
              <c:strCache>
                <c:ptCount val="1"/>
                <c:pt idx="0">
                  <c:v>BaTiO3 H_h(100nm)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forma'!$X$3:$X$803</c:f>
              <c:numCache>
                <c:formatCode>0.00000</c:formatCode>
                <c:ptCount val="801"/>
                <c:pt idx="0">
                  <c:v>3.0877831607859934E-302</c:v>
                </c:pt>
                <c:pt idx="1">
                  <c:v>4.0243164675247227E-288</c:v>
                </c:pt>
                <c:pt idx="2">
                  <c:v>2.4464949847212608E-274</c:v>
                </c:pt>
                <c:pt idx="3">
                  <c:v>6.937506554612835E-261</c:v>
                </c:pt>
                <c:pt idx="4">
                  <c:v>9.176337024584867E-248</c:v>
                </c:pt>
                <c:pt idx="5">
                  <c:v>5.6616390457181575E-235</c:v>
                </c:pt>
                <c:pt idx="6">
                  <c:v>1.6293780908971872E-222</c:v>
                </c:pt>
                <c:pt idx="7">
                  <c:v>2.1873004365914547E-210</c:v>
                </c:pt>
                <c:pt idx="8">
                  <c:v>1.3696256462543595E-198</c:v>
                </c:pt>
                <c:pt idx="9">
                  <c:v>4.0003887030071343E-187</c:v>
                </c:pt>
                <c:pt idx="10">
                  <c:v>5.4501615736965644E-176</c:v>
                </c:pt>
                <c:pt idx="11">
                  <c:v>3.4635657413721223E-165</c:v>
                </c:pt>
                <c:pt idx="12">
                  <c:v>1.026701900382327E-154</c:v>
                </c:pt>
                <c:pt idx="13">
                  <c:v>1.419620195868261E-144</c:v>
                </c:pt>
                <c:pt idx="14">
                  <c:v>9.1560223679010737E-135</c:v>
                </c:pt>
                <c:pt idx="15">
                  <c:v>2.7545356245688166E-125</c:v>
                </c:pt>
                <c:pt idx="16">
                  <c:v>3.865421115115224E-116</c:v>
                </c:pt>
                <c:pt idx="17">
                  <c:v>2.5301840200758188E-107</c:v>
                </c:pt>
                <c:pt idx="18">
                  <c:v>7.7252808145779443E-99</c:v>
                </c:pt>
                <c:pt idx="19">
                  <c:v>1.1002295730800714E-90</c:v>
                </c:pt>
                <c:pt idx="20">
                  <c:v>7.3090212743277673E-83</c:v>
                </c:pt>
                <c:pt idx="21">
                  <c:v>2.264863383196885E-75</c:v>
                </c:pt>
                <c:pt idx="22">
                  <c:v>3.2736456454017033E-68</c:v>
                </c:pt>
                <c:pt idx="23">
                  <c:v>2.2071314406647874E-61</c:v>
                </c:pt>
                <c:pt idx="24">
                  <c:v>6.9411527180337201E-55</c:v>
                </c:pt>
                <c:pt idx="25">
                  <c:v>1.0182205899284464E-48</c:v>
                </c:pt>
                <c:pt idx="26">
                  <c:v>6.9672119528364563E-43</c:v>
                </c:pt>
                <c:pt idx="27">
                  <c:v>2.2237350583971004E-37</c:v>
                </c:pt>
                <c:pt idx="28">
                  <c:v>3.3106550788801287E-32</c:v>
                </c:pt>
                <c:pt idx="29">
                  <c:v>2.299067391783445E-27</c:v>
                </c:pt>
                <c:pt idx="30">
                  <c:v>7.4472569799252607E-23</c:v>
                </c:pt>
                <c:pt idx="31">
                  <c:v>1.1252469674283979E-18</c:v>
                </c:pt>
                <c:pt idx="32">
                  <c:v>7.9306034545043604E-15</c:v>
                </c:pt>
                <c:pt idx="33">
                  <c:v>2.6071828530538218E-11</c:v>
                </c:pt>
                <c:pt idx="34">
                  <c:v>3.9980076444957117E-8</c:v>
                </c:pt>
                <c:pt idx="35">
                  <c:v>2.8597141338462107E-5</c:v>
                </c:pt>
                <c:pt idx="36">
                  <c:v>9.5413207586856324E-3</c:v>
                </c:pt>
                <c:pt idx="37">
                  <c:v>1.4849137990838024</c:v>
                </c:pt>
                <c:pt idx="38">
                  <c:v>107.79555744098306</c:v>
                </c:pt>
                <c:pt idx="39">
                  <c:v>3650.1217868020576</c:v>
                </c:pt>
                <c:pt idx="40">
                  <c:v>57652.841892748562</c:v>
                </c:pt>
                <c:pt idx="41">
                  <c:v>424757.40366419661</c:v>
                </c:pt>
                <c:pt idx="42">
                  <c:v>1459714.9895818373</c:v>
                </c:pt>
                <c:pt idx="43">
                  <c:v>2339925.6096472084</c:v>
                </c:pt>
                <c:pt idx="44">
                  <c:v>1749616.6630546837</c:v>
                </c:pt>
                <c:pt idx="45">
                  <c:v>610225.896934113</c:v>
                </c:pt>
                <c:pt idx="46">
                  <c:v>99276.220567209806</c:v>
                </c:pt>
                <c:pt idx="47">
                  <c:v>7533.6720133242079</c:v>
                </c:pt>
                <c:pt idx="48">
                  <c:v>266.67054897432831</c:v>
                </c:pt>
                <c:pt idx="49">
                  <c:v>4.4030161030974497</c:v>
                </c:pt>
                <c:pt idx="50">
                  <c:v>3.3910357260994346E-2</c:v>
                </c:pt>
                <c:pt idx="51">
                  <c:v>1.2182076696802168E-4</c:v>
                </c:pt>
                <c:pt idx="52">
                  <c:v>2.041348557480662E-7</c:v>
                </c:pt>
                <c:pt idx="53">
                  <c:v>1.5955847458156673E-10</c:v>
                </c:pt>
                <c:pt idx="54">
                  <c:v>5.8174071157941842E-14</c:v>
                </c:pt>
                <c:pt idx="55">
                  <c:v>9.8934078407292845E-18</c:v>
                </c:pt>
                <c:pt idx="56">
                  <c:v>7.8481851477825818E-22</c:v>
                </c:pt>
                <c:pt idx="57">
                  <c:v>2.9040189104442912E-26</c:v>
                </c:pt>
                <c:pt idx="58">
                  <c:v>5.0122937215312785E-31</c:v>
                </c:pt>
                <c:pt idx="59">
                  <c:v>4.0353430279117046E-36</c:v>
                </c:pt>
                <c:pt idx="60">
                  <c:v>1.5154139342121313E-41</c:v>
                </c:pt>
                <c:pt idx="61">
                  <c:v>2.6545381239271732E-47</c:v>
                </c:pt>
                <c:pt idx="62">
                  <c:v>2.1689699260726575E-53</c:v>
                </c:pt>
                <c:pt idx="63">
                  <c:v>8.2665627424388215E-60</c:v>
                </c:pt>
                <c:pt idx="64">
                  <c:v>1.4696139813202964E-66</c:v>
                </c:pt>
                <c:pt idx="65">
                  <c:v>1.2186765553707013E-73</c:v>
                </c:pt>
                <c:pt idx="66">
                  <c:v>4.7139015750623301E-81</c:v>
                </c:pt>
                <c:pt idx="67">
                  <c:v>8.5051002490311131E-89</c:v>
                </c:pt>
                <c:pt idx="68">
                  <c:v>7.1578935643037787E-97</c:v>
                </c:pt>
                <c:pt idx="69">
                  <c:v>2.8099455747604073E-105</c:v>
                </c:pt>
                <c:pt idx="70">
                  <c:v>5.1453799852230749E-114</c:v>
                </c:pt>
                <c:pt idx="71">
                  <c:v>4.3948481105281028E-123</c:v>
                </c:pt>
                <c:pt idx="72">
                  <c:v>1.7509637701480759E-132</c:v>
                </c:pt>
                <c:pt idx="73">
                  <c:v>3.2539983066862809E-142</c:v>
                </c:pt>
                <c:pt idx="74">
                  <c:v>2.8207484478374056E-152</c:v>
                </c:pt>
                <c:pt idx="75">
                  <c:v>1.1405603391286512E-162</c:v>
                </c:pt>
                <c:pt idx="76">
                  <c:v>2.1511913666587015E-173</c:v>
                </c:pt>
                <c:pt idx="77">
                  <c:v>1.8925471123703762E-184</c:v>
                </c:pt>
                <c:pt idx="78">
                  <c:v>7.7664262999030988E-196</c:v>
                </c:pt>
                <c:pt idx="79">
                  <c:v>1.4866290801581511E-207</c:v>
                </c:pt>
                <c:pt idx="80">
                  <c:v>1.3273666291913429E-219</c:v>
                </c:pt>
                <c:pt idx="81">
                  <c:v>5.5282291781261832E-232</c:v>
                </c:pt>
                <c:pt idx="82">
                  <c:v>1.0739598741316023E-244</c:v>
                </c:pt>
                <c:pt idx="83">
                  <c:v>9.7318844656293953E-258</c:v>
                </c:pt>
                <c:pt idx="84">
                  <c:v>4.1135114097113939E-271</c:v>
                </c:pt>
                <c:pt idx="85">
                  <c:v>8.1102705247575427E-285</c:v>
                </c:pt>
                <c:pt idx="86">
                  <c:v>7.4587293384744337E-299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8.8913527774565522E-298</c:v>
                </c:pt>
                <c:pt idx="188">
                  <c:v>5.0978765902457685E-284</c:v>
                </c:pt>
                <c:pt idx="189">
                  <c:v>1.4038280359349332E-270</c:v>
                </c:pt>
                <c:pt idx="190">
                  <c:v>1.8566995101059633E-257</c:v>
                </c:pt>
                <c:pt idx="191">
                  <c:v>1.1794307645939204E-244</c:v>
                </c:pt>
                <c:pt idx="192">
                  <c:v>3.5983748156059461E-232</c:v>
                </c:pt>
                <c:pt idx="193">
                  <c:v>5.2728262770908354E-220</c:v>
                </c:pt>
                <c:pt idx="194">
                  <c:v>3.7109375430402474E-208</c:v>
                </c:pt>
                <c:pt idx="195">
                  <c:v>1.2543737145293829E-196</c:v>
                </c:pt>
                <c:pt idx="196">
                  <c:v>2.0364481744714768E-185</c:v>
                </c:pt>
                <c:pt idx="197">
                  <c:v>1.5878990809013261E-174</c:v>
                </c:pt>
                <c:pt idx="198">
                  <c:v>5.9466934335341183E-164</c:v>
                </c:pt>
                <c:pt idx="199">
                  <c:v>1.0696244474150357E-153</c:v>
                </c:pt>
                <c:pt idx="200">
                  <c:v>9.24038802901011E-144</c:v>
                </c:pt>
                <c:pt idx="201">
                  <c:v>3.8340009368851096E-134</c:v>
                </c:pt>
                <c:pt idx="202">
                  <c:v>7.6404218553680601E-125</c:v>
                </c:pt>
                <c:pt idx="203">
                  <c:v>7.312831715100226E-116</c:v>
                </c:pt>
                <c:pt idx="204">
                  <c:v>3.3616843964988296E-107</c:v>
                </c:pt>
                <c:pt idx="205">
                  <c:v>7.422178845476597E-99</c:v>
                </c:pt>
                <c:pt idx="206">
                  <c:v>7.8706211672063729E-91</c:v>
                </c:pt>
                <c:pt idx="207">
                  <c:v>4.0085723007721498E-83</c:v>
                </c:pt>
                <c:pt idx="208">
                  <c:v>9.8055859502023066E-76</c:v>
                </c:pt>
                <c:pt idx="209">
                  <c:v>1.1520212713717484E-68</c:v>
                </c:pt>
                <c:pt idx="210">
                  <c:v>6.5005568864028411E-62</c:v>
                </c:pt>
                <c:pt idx="211">
                  <c:v>1.7617478324926875E-55</c:v>
                </c:pt>
                <c:pt idx="212">
                  <c:v>2.2931900367804677E-49</c:v>
                </c:pt>
                <c:pt idx="213">
                  <c:v>1.4336378693183375E-43</c:v>
                </c:pt>
                <c:pt idx="214">
                  <c:v>4.3046911756475647E-38</c:v>
                </c:pt>
                <c:pt idx="215">
                  <c:v>6.2079420393422138E-33</c:v>
                </c:pt>
                <c:pt idx="216">
                  <c:v>4.2998808812960011E-28</c:v>
                </c:pt>
                <c:pt idx="217">
                  <c:v>1.4304356107779556E-23</c:v>
                </c:pt>
                <c:pt idx="218">
                  <c:v>2.2855110210197506E-19</c:v>
                </c:pt>
                <c:pt idx="219">
                  <c:v>1.7538863334512127E-15</c:v>
                </c:pt>
                <c:pt idx="220">
                  <c:v>6.4643176021112653E-12</c:v>
                </c:pt>
                <c:pt idx="221">
                  <c:v>1.1443188326103842E-8</c:v>
                </c:pt>
                <c:pt idx="222">
                  <c:v>9.7291415631440056E-6</c:v>
                </c:pt>
                <c:pt idx="223">
                  <c:v>3.9728769814264065E-3</c:v>
                </c:pt>
                <c:pt idx="224">
                  <c:v>0.77918185432093068</c:v>
                </c:pt>
                <c:pt idx="225">
                  <c:v>73.396552355861573</c:v>
                </c:pt>
                <c:pt idx="226">
                  <c:v>3320.5926960751881</c:v>
                </c:pt>
                <c:pt idx="227">
                  <c:v>72153.711224873492</c:v>
                </c:pt>
                <c:pt idx="228">
                  <c:v>753017.13241656194</c:v>
                </c:pt>
                <c:pt idx="229">
                  <c:v>3774454.1854608986</c:v>
                </c:pt>
                <c:pt idx="230">
                  <c:v>9086708.0971422847</c:v>
                </c:pt>
                <c:pt idx="231">
                  <c:v>10506597.940862974</c:v>
                </c:pt>
                <c:pt idx="232">
                  <c:v>5834730.0446135858</c:v>
                </c:pt>
                <c:pt idx="233">
                  <c:v>1556261.376049751</c:v>
                </c:pt>
                <c:pt idx="234">
                  <c:v>199364.31667059154</c:v>
                </c:pt>
                <c:pt idx="235">
                  <c:v>12266.352349882223</c:v>
                </c:pt>
                <c:pt idx="236">
                  <c:v>362.48209596891701</c:v>
                </c:pt>
                <c:pt idx="237">
                  <c:v>5.1447088583796186</c:v>
                </c:pt>
                <c:pt idx="238">
                  <c:v>3.5070193572325686E-2</c:v>
                </c:pt>
                <c:pt idx="239">
                  <c:v>1.1482029037468933E-4</c:v>
                </c:pt>
                <c:pt idx="240">
                  <c:v>1.8055197207502803E-7</c:v>
                </c:pt>
                <c:pt idx="241">
                  <c:v>1.3636061446344204E-10</c:v>
                </c:pt>
                <c:pt idx="242">
                  <c:v>4.9462809464587056E-14</c:v>
                </c:pt>
                <c:pt idx="243">
                  <c:v>8.6173102468307155E-18</c:v>
                </c:pt>
                <c:pt idx="244">
                  <c:v>7.2105400807493602E-22</c:v>
                </c:pt>
                <c:pt idx="245">
                  <c:v>2.8977904659495522E-26</c:v>
                </c:pt>
                <c:pt idx="246">
                  <c:v>5.5933150329080872E-31</c:v>
                </c:pt>
                <c:pt idx="247">
                  <c:v>5.185309697410968E-36</c:v>
                </c:pt>
                <c:pt idx="248">
                  <c:v>2.3087836440936069E-41</c:v>
                </c:pt>
                <c:pt idx="249">
                  <c:v>4.9373611085876096E-47</c:v>
                </c:pt>
                <c:pt idx="250">
                  <c:v>5.0711874519532456E-53</c:v>
                </c:pt>
                <c:pt idx="251">
                  <c:v>2.5016557931754715E-59</c:v>
                </c:pt>
                <c:pt idx="252">
                  <c:v>5.9271860811404778E-66</c:v>
                </c:pt>
                <c:pt idx="253">
                  <c:v>6.7448560812743273E-73</c:v>
                </c:pt>
                <c:pt idx="254">
                  <c:v>3.6863785503281334E-80</c:v>
                </c:pt>
                <c:pt idx="255">
                  <c:v>9.6767671578044026E-88</c:v>
                </c:pt>
                <c:pt idx="256">
                  <c:v>1.2200110652310143E-95</c:v>
                </c:pt>
                <c:pt idx="257">
                  <c:v>7.3875488521757841E-104</c:v>
                </c:pt>
                <c:pt idx="258">
                  <c:v>2.148523358345747E-112</c:v>
                </c:pt>
                <c:pt idx="259">
                  <c:v>3.0011168907299382E-121</c:v>
                </c:pt>
                <c:pt idx="260">
                  <c:v>2.013394418420269E-130</c:v>
                </c:pt>
                <c:pt idx="261">
                  <c:v>6.4875083105514914E-140</c:v>
                </c:pt>
                <c:pt idx="262">
                  <c:v>1.0039916751259984E-149</c:v>
                </c:pt>
                <c:pt idx="263">
                  <c:v>7.4625183834262489E-160</c:v>
                </c:pt>
                <c:pt idx="264">
                  <c:v>2.6640589702266683E-170</c:v>
                </c:pt>
                <c:pt idx="265">
                  <c:v>4.5677820289444133E-181</c:v>
                </c:pt>
                <c:pt idx="266">
                  <c:v>3.7615776107364761E-192</c:v>
                </c:pt>
                <c:pt idx="267">
                  <c:v>1.4877768604768728E-203</c:v>
                </c:pt>
                <c:pt idx="268">
                  <c:v>2.8262377337849903E-215</c:v>
                </c:pt>
                <c:pt idx="269">
                  <c:v>2.5785924029545505E-227</c:v>
                </c:pt>
                <c:pt idx="270">
                  <c:v>1.1299515567988373E-239</c:v>
                </c:pt>
                <c:pt idx="271">
                  <c:v>2.3781545154984974E-252</c:v>
                </c:pt>
                <c:pt idx="272">
                  <c:v>2.4039389264395176E-265</c:v>
                </c:pt>
                <c:pt idx="273">
                  <c:v>1.1671049446494021E-278</c:v>
                </c:pt>
                <c:pt idx="274">
                  <c:v>2.7214446495778787E-292</c:v>
                </c:pt>
                <c:pt idx="275">
                  <c:v>3.0478403914754229E-306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7.078786244024134E-298</c:v>
                </c:pt>
                <c:pt idx="334">
                  <c:v>2.1106647053919475E-284</c:v>
                </c:pt>
                <c:pt idx="335">
                  <c:v>3.1122828548739734E-271</c:v>
                </c:pt>
                <c:pt idx="336">
                  <c:v>2.2695420583473403E-258</c:v>
                </c:pt>
                <c:pt idx="337">
                  <c:v>8.1845870683997881E-246</c:v>
                </c:pt>
                <c:pt idx="338">
                  <c:v>1.4596699710324169E-233</c:v>
                </c:pt>
                <c:pt idx="339">
                  <c:v>1.2873953519999631E-221</c:v>
                </c:pt>
                <c:pt idx="340">
                  <c:v>5.6152430984290729E-210</c:v>
                </c:pt>
                <c:pt idx="341">
                  <c:v>1.211224233499619E-198</c:v>
                </c:pt>
                <c:pt idx="342">
                  <c:v>1.2920517323963274E-187</c:v>
                </c:pt>
                <c:pt idx="343">
                  <c:v>6.816079021755081E-177</c:v>
                </c:pt>
                <c:pt idx="344">
                  <c:v>1.7782331146478393E-166</c:v>
                </c:pt>
                <c:pt idx="345">
                  <c:v>2.2942573567462243E-156</c:v>
                </c:pt>
                <c:pt idx="346">
                  <c:v>1.4638444657890898E-146</c:v>
                </c:pt>
                <c:pt idx="347">
                  <c:v>4.618990830108043E-137</c:v>
                </c:pt>
                <c:pt idx="348">
                  <c:v>7.2077319578287762E-128</c:v>
                </c:pt>
                <c:pt idx="349">
                  <c:v>5.5622373626092661E-119</c:v>
                </c:pt>
                <c:pt idx="350">
                  <c:v>2.1227545039147061E-110</c:v>
                </c:pt>
                <c:pt idx="351">
                  <c:v>4.0063546087708733E-102</c:v>
                </c:pt>
                <c:pt idx="352">
                  <c:v>3.7393693604176885E-94</c:v>
                </c:pt>
                <c:pt idx="353">
                  <c:v>1.7260235078459473E-86</c:v>
                </c:pt>
                <c:pt idx="354">
                  <c:v>3.9399835649356969E-79</c:v>
                </c:pt>
                <c:pt idx="355">
                  <c:v>4.4477613521776505E-72</c:v>
                </c:pt>
                <c:pt idx="356">
                  <c:v>2.4830639579429394E-65</c:v>
                </c:pt>
                <c:pt idx="357">
                  <c:v>6.8554141745820621E-59</c:v>
                </c:pt>
                <c:pt idx="358">
                  <c:v>9.3600647451524019E-53</c:v>
                </c:pt>
                <c:pt idx="359">
                  <c:v>6.320091563732741E-47</c:v>
                </c:pt>
                <c:pt idx="360">
                  <c:v>2.1104120134010531E-41</c:v>
                </c:pt>
                <c:pt idx="361">
                  <c:v>3.4850618761225935E-36</c:v>
                </c:pt>
                <c:pt idx="362">
                  <c:v>2.8461192900917901E-31</c:v>
                </c:pt>
                <c:pt idx="363">
                  <c:v>1.1494631872423683E-26</c:v>
                </c:pt>
                <c:pt idx="364">
                  <c:v>2.2958124044412964E-22</c:v>
                </c:pt>
                <c:pt idx="365">
                  <c:v>2.2676555738089294E-18</c:v>
                </c:pt>
                <c:pt idx="366">
                  <c:v>1.1076872280044555E-14</c:v>
                </c:pt>
                <c:pt idx="367">
                  <c:v>2.6758179779993893E-11</c:v>
                </c:pt>
                <c:pt idx="368">
                  <c:v>3.1966519210809024E-8</c:v>
                </c:pt>
                <c:pt idx="369">
                  <c:v>1.8885717701041199E-5</c:v>
                </c:pt>
                <c:pt idx="370">
                  <c:v>5.5178641118394326E-3</c:v>
                </c:pt>
                <c:pt idx="371">
                  <c:v>0.79727449455629584</c:v>
                </c:pt>
                <c:pt idx="372">
                  <c:v>56.969722441744146</c:v>
                </c:pt>
                <c:pt idx="373">
                  <c:v>2013.1665186493055</c:v>
                </c:pt>
                <c:pt idx="374">
                  <c:v>35181.524702271367</c:v>
                </c:pt>
                <c:pt idx="375">
                  <c:v>304052.77949055302</c:v>
                </c:pt>
                <c:pt idx="376">
                  <c:v>1299519.0830795742</c:v>
                </c:pt>
                <c:pt idx="377">
                  <c:v>2746728.3345881398</c:v>
                </c:pt>
                <c:pt idx="378">
                  <c:v>2871098.6604780862</c:v>
                </c:pt>
                <c:pt idx="379">
                  <c:v>1484157.1484674986</c:v>
                </c:pt>
                <c:pt idx="380">
                  <c:v>379411.9650415011</c:v>
                </c:pt>
                <c:pt idx="381">
                  <c:v>47966.885400475556</c:v>
                </c:pt>
                <c:pt idx="382">
                  <c:v>2998.9648768352895</c:v>
                </c:pt>
                <c:pt idx="383">
                  <c:v>92.725802776383176</c:v>
                </c:pt>
                <c:pt idx="384">
                  <c:v>1.4178464075405206</c:v>
                </c:pt>
                <c:pt idx="385">
                  <c:v>1.0721539132750299E-2</c:v>
                </c:pt>
                <c:pt idx="386">
                  <c:v>4.0094467109568472E-5</c:v>
                </c:pt>
                <c:pt idx="387">
                  <c:v>7.4149993798433016E-8</c:v>
                </c:pt>
                <c:pt idx="388">
                  <c:v>6.7816778414585527E-11</c:v>
                </c:pt>
                <c:pt idx="389">
                  <c:v>3.0673444901290827E-14</c:v>
                </c:pt>
                <c:pt idx="390">
                  <c:v>6.8609983572326227E-18</c:v>
                </c:pt>
                <c:pt idx="391">
                  <c:v>7.5894698413525352E-22</c:v>
                </c:pt>
                <c:pt idx="392">
                  <c:v>4.1517856780527684E-26</c:v>
                </c:pt>
                <c:pt idx="393">
                  <c:v>1.1232017619068603E-30</c:v>
                </c:pt>
                <c:pt idx="394">
                  <c:v>1.5027266497267895E-35</c:v>
                </c:pt>
                <c:pt idx="395">
                  <c:v>9.9426365315155342E-41</c:v>
                </c:pt>
                <c:pt idx="396">
                  <c:v>3.2532879242042798E-46</c:v>
                </c:pt>
                <c:pt idx="397">
                  <c:v>5.2643263142933147E-52</c:v>
                </c:pt>
                <c:pt idx="398">
                  <c:v>4.2127187411532854E-58</c:v>
                </c:pt>
                <c:pt idx="399">
                  <c:v>1.6671761570465224E-64</c:v>
                </c:pt>
                <c:pt idx="400">
                  <c:v>3.2628708141157469E-71</c:v>
                </c:pt>
                <c:pt idx="401">
                  <c:v>3.1580400292197258E-78</c:v>
                </c:pt>
                <c:pt idx="402">
                  <c:v>1.5115925560971128E-85</c:v>
                </c:pt>
                <c:pt idx="403">
                  <c:v>3.5780896791581577E-93</c:v>
                </c:pt>
                <c:pt idx="404">
                  <c:v>4.1885823727501417E-101</c:v>
                </c:pt>
                <c:pt idx="405">
                  <c:v>2.4248353956057971E-109</c:v>
                </c:pt>
                <c:pt idx="406">
                  <c:v>6.9421953079241191E-118</c:v>
                </c:pt>
                <c:pt idx="407">
                  <c:v>9.829032142433107E-127</c:v>
                </c:pt>
                <c:pt idx="408">
                  <c:v>6.8821485975555417E-136</c:v>
                </c:pt>
                <c:pt idx="409">
                  <c:v>2.3830694463654816E-145</c:v>
                </c:pt>
                <c:pt idx="410">
                  <c:v>4.0808319828942016E-155</c:v>
                </c:pt>
                <c:pt idx="411">
                  <c:v>3.4558914491367687E-165</c:v>
                </c:pt>
                <c:pt idx="412">
                  <c:v>1.4473408963493282E-175</c:v>
                </c:pt>
                <c:pt idx="413">
                  <c:v>2.9976500936343371E-186</c:v>
                </c:pt>
                <c:pt idx="414">
                  <c:v>3.0703678095777583E-197</c:v>
                </c:pt>
                <c:pt idx="415">
                  <c:v>1.5552465027733111E-208</c:v>
                </c:pt>
                <c:pt idx="416">
                  <c:v>3.8958966317842735E-220</c:v>
                </c:pt>
                <c:pt idx="417">
                  <c:v>4.8263074032459528E-232</c:v>
                </c:pt>
                <c:pt idx="418">
                  <c:v>2.9567996455397587E-244</c:v>
                </c:pt>
                <c:pt idx="419">
                  <c:v>8.9583531227260516E-257</c:v>
                </c:pt>
                <c:pt idx="420">
                  <c:v>1.3422512602420613E-269</c:v>
                </c:pt>
                <c:pt idx="421">
                  <c:v>9.9457794843711846E-283</c:v>
                </c:pt>
                <c:pt idx="422">
                  <c:v>3.6445439697418384E-296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4.8146503361250045E-304</c:v>
                </c:pt>
                <c:pt idx="459">
                  <c:v>1.033750008166585E-290</c:v>
                </c:pt>
                <c:pt idx="460">
                  <c:v>1.1302171882925867E-277</c:v>
                </c:pt>
                <c:pt idx="461">
                  <c:v>6.2922199771992638E-265</c:v>
                </c:pt>
                <c:pt idx="462">
                  <c:v>1.783780838794075E-252</c:v>
                </c:pt>
                <c:pt idx="463">
                  <c:v>2.5749849758822488E-240</c:v>
                </c:pt>
                <c:pt idx="464">
                  <c:v>1.8927947039992468E-228</c:v>
                </c:pt>
                <c:pt idx="465">
                  <c:v>7.0848055093775789E-217</c:v>
                </c:pt>
                <c:pt idx="466">
                  <c:v>1.3503550121988842E-205</c:v>
                </c:pt>
                <c:pt idx="467">
                  <c:v>1.3105801826862298E-194</c:v>
                </c:pt>
                <c:pt idx="468">
                  <c:v>6.4770140682617708E-184</c:v>
                </c:pt>
                <c:pt idx="469">
                  <c:v>1.6299778087212045E-173</c:v>
                </c:pt>
                <c:pt idx="470">
                  <c:v>2.0887388803847268E-163</c:v>
                </c:pt>
                <c:pt idx="471">
                  <c:v>1.3629571986664251E-153</c:v>
                </c:pt>
                <c:pt idx="472">
                  <c:v>4.5287244033992602E-144</c:v>
                </c:pt>
                <c:pt idx="473">
                  <c:v>7.6624062642862752E-135</c:v>
                </c:pt>
                <c:pt idx="474">
                  <c:v>6.6016130506438909E-126</c:v>
                </c:pt>
                <c:pt idx="475">
                  <c:v>2.8962134273996573E-117</c:v>
                </c:pt>
                <c:pt idx="476">
                  <c:v>6.4700355696642869E-109</c:v>
                </c:pt>
                <c:pt idx="477">
                  <c:v>7.3600096128138284E-101</c:v>
                </c:pt>
                <c:pt idx="478">
                  <c:v>4.2632981196068534E-93</c:v>
                </c:pt>
                <c:pt idx="479">
                  <c:v>1.2575018463946443E-85</c:v>
                </c:pt>
                <c:pt idx="480">
                  <c:v>1.8887182115703635E-78</c:v>
                </c:pt>
                <c:pt idx="481">
                  <c:v>1.4445125261540323E-71</c:v>
                </c:pt>
                <c:pt idx="482">
                  <c:v>5.6256286938308114E-65</c:v>
                </c:pt>
                <c:pt idx="483">
                  <c:v>1.1156203405760192E-58</c:v>
                </c:pt>
                <c:pt idx="484">
                  <c:v>1.1265679492403355E-52</c:v>
                </c:pt>
                <c:pt idx="485">
                  <c:v>5.7928724571920733E-47</c:v>
                </c:pt>
                <c:pt idx="486">
                  <c:v>1.5167924198518616E-41</c:v>
                </c:pt>
                <c:pt idx="487">
                  <c:v>2.0223389216964381E-36</c:v>
                </c:pt>
                <c:pt idx="488">
                  <c:v>1.3730215028343097E-31</c:v>
                </c:pt>
                <c:pt idx="489">
                  <c:v>4.7467498455624436E-27</c:v>
                </c:pt>
                <c:pt idx="490">
                  <c:v>8.3562410384617022E-23</c:v>
                </c:pt>
                <c:pt idx="491">
                  <c:v>7.4906788960354013E-19</c:v>
                </c:pt>
                <c:pt idx="492">
                  <c:v>3.4192197225730154E-15</c:v>
                </c:pt>
                <c:pt idx="493">
                  <c:v>7.947461761745749E-12</c:v>
                </c:pt>
                <c:pt idx="494">
                  <c:v>9.4064443808427694E-9</c:v>
                </c:pt>
                <c:pt idx="495">
                  <c:v>5.6691525635078215E-6</c:v>
                </c:pt>
                <c:pt idx="496">
                  <c:v>1.7398283564131448E-3</c:v>
                </c:pt>
                <c:pt idx="497">
                  <c:v>0.27188814580003312</c:v>
                </c:pt>
                <c:pt idx="498">
                  <c:v>21.63564011322844</c:v>
                </c:pt>
                <c:pt idx="499">
                  <c:v>876.6875363709521</c:v>
                </c:pt>
                <c:pt idx="500">
                  <c:v>18089.040189298848</c:v>
                </c:pt>
                <c:pt idx="501">
                  <c:v>190056.10416375962</c:v>
                </c:pt>
                <c:pt idx="502">
                  <c:v>1016819.1797054084</c:v>
                </c:pt>
                <c:pt idx="503">
                  <c:v>2770136.9740063744</c:v>
                </c:pt>
                <c:pt idx="504">
                  <c:v>3842858.2602194562</c:v>
                </c:pt>
                <c:pt idx="505">
                  <c:v>2714582.8203333947</c:v>
                </c:pt>
                <c:pt idx="506">
                  <c:v>976444.20880266884</c:v>
                </c:pt>
                <c:pt idx="507">
                  <c:v>178849.35550469882</c:v>
                </c:pt>
                <c:pt idx="508">
                  <c:v>16681.032660884812</c:v>
                </c:pt>
                <c:pt idx="509">
                  <c:v>792.23512503709014</c:v>
                </c:pt>
                <c:pt idx="510">
                  <c:v>19.159354024389604</c:v>
                </c:pt>
                <c:pt idx="511">
                  <c:v>0.23594090384033256</c:v>
                </c:pt>
                <c:pt idx="512">
                  <c:v>1.4795213036223626E-3</c:v>
                </c:pt>
                <c:pt idx="513">
                  <c:v>4.724271137226459E-6</c:v>
                </c:pt>
                <c:pt idx="514">
                  <c:v>7.6814642649142726E-9</c:v>
                </c:pt>
                <c:pt idx="515">
                  <c:v>6.3598785437429043E-12</c:v>
                </c:pt>
                <c:pt idx="516">
                  <c:v>2.6813236390263193E-15</c:v>
                </c:pt>
                <c:pt idx="517">
                  <c:v>5.7563243879154807E-19</c:v>
                </c:pt>
                <c:pt idx="518">
                  <c:v>6.2926980139029677E-23</c:v>
                </c:pt>
                <c:pt idx="519">
                  <c:v>3.5028708786410864E-27</c:v>
                </c:pt>
                <c:pt idx="520">
                  <c:v>9.9290334755367598E-32</c:v>
                </c:pt>
                <c:pt idx="521">
                  <c:v>1.4331294768382908E-36</c:v>
                </c:pt>
                <c:pt idx="522">
                  <c:v>1.0533179622828862E-41</c:v>
                </c:pt>
                <c:pt idx="523">
                  <c:v>3.9421138214012253E-47</c:v>
                </c:pt>
                <c:pt idx="524">
                  <c:v>7.5126721467546521E-53</c:v>
                </c:pt>
                <c:pt idx="525">
                  <c:v>7.2904665453811365E-59</c:v>
                </c:pt>
                <c:pt idx="526">
                  <c:v>3.6025649047503692E-65</c:v>
                </c:pt>
                <c:pt idx="527">
                  <c:v>9.0649187157624431E-72</c:v>
                </c:pt>
                <c:pt idx="528">
                  <c:v>1.161479695811294E-78</c:v>
                </c:pt>
                <c:pt idx="529">
                  <c:v>7.578005879572968E-86</c:v>
                </c:pt>
                <c:pt idx="530">
                  <c:v>2.5176413413382119E-93</c:v>
                </c:pt>
                <c:pt idx="531">
                  <c:v>4.259203518628821E-101</c:v>
                </c:pt>
                <c:pt idx="532">
                  <c:v>3.6690914085328821E-109</c:v>
                </c:pt>
                <c:pt idx="533">
                  <c:v>1.6094751595002009E-117</c:v>
                </c:pt>
                <c:pt idx="534">
                  <c:v>3.5950557755142968E-126</c:v>
                </c:pt>
                <c:pt idx="535">
                  <c:v>4.089051635979969E-135</c:v>
                </c:pt>
                <c:pt idx="536">
                  <c:v>2.3682915460152394E-144</c:v>
                </c:pt>
                <c:pt idx="537">
                  <c:v>6.9846289926677218E-154</c:v>
                </c:pt>
                <c:pt idx="538">
                  <c:v>1.0489315000285768E-163</c:v>
                </c:pt>
                <c:pt idx="539">
                  <c:v>8.0213325327279357E-174</c:v>
                </c:pt>
                <c:pt idx="540">
                  <c:v>3.1235000821453014E-184</c:v>
                </c:pt>
                <c:pt idx="541">
                  <c:v>6.1934427901721424E-195</c:v>
                </c:pt>
                <c:pt idx="542">
                  <c:v>6.253430775504881E-206</c:v>
                </c:pt>
                <c:pt idx="543">
                  <c:v>3.215142088636367E-217</c:v>
                </c:pt>
                <c:pt idx="544">
                  <c:v>8.4173929628633154E-229</c:v>
                </c:pt>
                <c:pt idx="545">
                  <c:v>1.1221492979157492E-240</c:v>
                </c:pt>
                <c:pt idx="546">
                  <c:v>7.6176197369176209E-253</c:v>
                </c:pt>
                <c:pt idx="547">
                  <c:v>2.6331981688024414E-265</c:v>
                </c:pt>
                <c:pt idx="548">
                  <c:v>4.6349324296857208E-278</c:v>
                </c:pt>
                <c:pt idx="549">
                  <c:v>4.1543097766539841E-291</c:v>
                </c:pt>
                <c:pt idx="550">
                  <c:v>1.8960507428840841E-304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6.6124011975874474E-302</c:v>
                </c:pt>
                <c:pt idx="572">
                  <c:v>6.3988057233156726E-289</c:v>
                </c:pt>
                <c:pt idx="573">
                  <c:v>3.2466128710531815E-276</c:v>
                </c:pt>
                <c:pt idx="574">
                  <c:v>8.636821426838584E-264</c:v>
                </c:pt>
                <c:pt idx="575">
                  <c:v>1.2046731403251857E-251</c:v>
                </c:pt>
                <c:pt idx="576">
                  <c:v>8.8100093047741926E-240</c:v>
                </c:pt>
                <c:pt idx="577">
                  <c:v>3.3781222309443864E-228</c:v>
                </c:pt>
                <c:pt idx="578">
                  <c:v>6.7915078178207177E-217</c:v>
                </c:pt>
                <c:pt idx="579">
                  <c:v>7.1589429749609435E-206</c:v>
                </c:pt>
                <c:pt idx="580">
                  <c:v>3.9566119092804319E-195</c:v>
                </c:pt>
                <c:pt idx="581">
                  <c:v>1.1465417072213529E-184</c:v>
                </c:pt>
                <c:pt idx="582">
                  <c:v>1.7419998523493915E-174</c:v>
                </c:pt>
                <c:pt idx="583">
                  <c:v>1.387708418722152E-164</c:v>
                </c:pt>
                <c:pt idx="584">
                  <c:v>5.7961575906844803E-155</c:v>
                </c:pt>
                <c:pt idx="585">
                  <c:v>1.2693284073358416E-145</c:v>
                </c:pt>
                <c:pt idx="586">
                  <c:v>1.4574701438349787E-136</c:v>
                </c:pt>
                <c:pt idx="587">
                  <c:v>8.7743951201418236E-128</c:v>
                </c:pt>
                <c:pt idx="588">
                  <c:v>2.7696606462091544E-119</c:v>
                </c:pt>
                <c:pt idx="589">
                  <c:v>4.5838224358268214E-111</c:v>
                </c:pt>
                <c:pt idx="590">
                  <c:v>3.9775977790515309E-103</c:v>
                </c:pt>
                <c:pt idx="591">
                  <c:v>1.8096967053713362E-95</c:v>
                </c:pt>
                <c:pt idx="592">
                  <c:v>4.3170052795391955E-88</c:v>
                </c:pt>
                <c:pt idx="593">
                  <c:v>5.3994710450764514E-81</c:v>
                </c:pt>
                <c:pt idx="594">
                  <c:v>3.5408840549428488E-74</c:v>
                </c:pt>
                <c:pt idx="595">
                  <c:v>1.217486203488631E-67</c:v>
                </c:pt>
                <c:pt idx="596">
                  <c:v>2.1948671754325185E-61</c:v>
                </c:pt>
                <c:pt idx="597">
                  <c:v>2.0746473779036647E-55</c:v>
                </c:pt>
                <c:pt idx="598">
                  <c:v>1.0281871979466526E-49</c:v>
                </c:pt>
                <c:pt idx="599">
                  <c:v>2.6717261765519145E-44</c:v>
                </c:pt>
                <c:pt idx="600">
                  <c:v>3.6400181713908634E-39</c:v>
                </c:pt>
                <c:pt idx="601">
                  <c:v>2.6002015368363821E-34</c:v>
                </c:pt>
                <c:pt idx="602">
                  <c:v>9.7387299300436209E-30</c:v>
                </c:pt>
                <c:pt idx="603">
                  <c:v>1.9124473457246951E-25</c:v>
                </c:pt>
                <c:pt idx="604">
                  <c:v>1.9691033183492566E-21</c:v>
                </c:pt>
                <c:pt idx="605">
                  <c:v>1.0630149541034305E-17</c:v>
                </c:pt>
                <c:pt idx="606">
                  <c:v>3.008860803796388E-14</c:v>
                </c:pt>
                <c:pt idx="607">
                  <c:v>4.4653620013898927E-11</c:v>
                </c:pt>
                <c:pt idx="608">
                  <c:v>3.474586281915904E-8</c:v>
                </c:pt>
                <c:pt idx="609">
                  <c:v>1.4175597771722134E-5</c:v>
                </c:pt>
                <c:pt idx="610">
                  <c:v>3.0322954592207373E-3</c:v>
                </c:pt>
                <c:pt idx="611">
                  <c:v>0.34008971812830963</c:v>
                </c:pt>
                <c:pt idx="612">
                  <c:v>19.998956766856466</c:v>
                </c:pt>
                <c:pt idx="613">
                  <c:v>616.61350688184291</c:v>
                </c:pt>
                <c:pt idx="614">
                  <c:v>9968.0585115955146</c:v>
                </c:pt>
                <c:pt idx="615">
                  <c:v>84488.962330087306</c:v>
                </c:pt>
                <c:pt idx="616">
                  <c:v>375475.17354464956</c:v>
                </c:pt>
                <c:pt idx="617">
                  <c:v>874891.7673860935</c:v>
                </c:pt>
                <c:pt idx="618">
                  <c:v>1068856.2125918057</c:v>
                </c:pt>
                <c:pt idx="619">
                  <c:v>684661.7953809289</c:v>
                </c:pt>
                <c:pt idx="620">
                  <c:v>229945.41591372859</c:v>
                </c:pt>
                <c:pt idx="621">
                  <c:v>40491.630990383346</c:v>
                </c:pt>
                <c:pt idx="622">
                  <c:v>3738.502172880455</c:v>
                </c:pt>
                <c:pt idx="623">
                  <c:v>180.97636344042363</c:v>
                </c:pt>
                <c:pt idx="624">
                  <c:v>4.5934387500472278</c:v>
                </c:pt>
                <c:pt idx="625">
                  <c:v>6.1128797849993664E-2</c:v>
                </c:pt>
                <c:pt idx="626">
                  <c:v>4.2652612113668146E-4</c:v>
                </c:pt>
                <c:pt idx="627">
                  <c:v>1.5604047514283635E-6</c:v>
                </c:pt>
                <c:pt idx="628">
                  <c:v>2.993096697154749E-9</c:v>
                </c:pt>
                <c:pt idx="629">
                  <c:v>3.0102050784349672E-12</c:v>
                </c:pt>
                <c:pt idx="630">
                  <c:v>1.5873155590004447E-15</c:v>
                </c:pt>
                <c:pt idx="631">
                  <c:v>4.3885627771331349E-19</c:v>
                </c:pt>
                <c:pt idx="632">
                  <c:v>6.3617003625980978E-23</c:v>
                </c:pt>
                <c:pt idx="633">
                  <c:v>4.835216863866008E-27</c:v>
                </c:pt>
                <c:pt idx="634">
                  <c:v>1.9268617585143856E-31</c:v>
                </c:pt>
                <c:pt idx="635">
                  <c:v>4.0260300358920207E-36</c:v>
                </c:pt>
                <c:pt idx="636">
                  <c:v>4.4105760650836992E-41</c:v>
                </c:pt>
                <c:pt idx="637">
                  <c:v>2.5334099673033868E-46</c:v>
                </c:pt>
                <c:pt idx="638">
                  <c:v>7.6297004278838317E-52</c:v>
                </c:pt>
                <c:pt idx="639">
                  <c:v>1.204762248183963E-57</c:v>
                </c:pt>
                <c:pt idx="640">
                  <c:v>9.9744065793747136E-64</c:v>
                </c:pt>
                <c:pt idx="641">
                  <c:v>4.3297681026119513E-70</c:v>
                </c:pt>
                <c:pt idx="642">
                  <c:v>9.854487864739716E-77</c:v>
                </c:pt>
                <c:pt idx="643">
                  <c:v>1.1759675399857452E-83</c:v>
                </c:pt>
                <c:pt idx="644">
                  <c:v>7.3578081898180288E-91</c:v>
                </c:pt>
                <c:pt idx="645">
                  <c:v>2.4137564244811071E-98</c:v>
                </c:pt>
                <c:pt idx="646">
                  <c:v>4.1517412222664782E-106</c:v>
                </c:pt>
                <c:pt idx="647">
                  <c:v>3.744199339574073E-114</c:v>
                </c:pt>
                <c:pt idx="648">
                  <c:v>1.770433021463498E-122</c:v>
                </c:pt>
                <c:pt idx="649">
                  <c:v>4.3892659201300831E-131</c:v>
                </c:pt>
                <c:pt idx="650">
                  <c:v>5.7055318952079599E-140</c:v>
                </c:pt>
                <c:pt idx="651">
                  <c:v>3.888590714343422E-149</c:v>
                </c:pt>
                <c:pt idx="652">
                  <c:v>1.3895692174576916E-158</c:v>
                </c:pt>
                <c:pt idx="653">
                  <c:v>2.60351442098651E-168</c:v>
                </c:pt>
                <c:pt idx="654">
                  <c:v>2.5575942280562733E-178</c:v>
                </c:pt>
                <c:pt idx="655">
                  <c:v>1.3173317265636518E-188</c:v>
                </c:pt>
                <c:pt idx="656">
                  <c:v>3.5575459036589651E-199</c:v>
                </c:pt>
                <c:pt idx="657">
                  <c:v>5.0372989570976633E-210</c:v>
                </c:pt>
                <c:pt idx="658">
                  <c:v>3.7397002472128827E-221</c:v>
                </c:pt>
                <c:pt idx="659">
                  <c:v>1.4556860242448501E-232</c:v>
                </c:pt>
                <c:pt idx="660">
                  <c:v>2.9709167656050217E-244</c:v>
                </c:pt>
                <c:pt idx="661">
                  <c:v>3.1791067380211421E-256</c:v>
                </c:pt>
                <c:pt idx="662">
                  <c:v>1.7836580047929734E-268</c:v>
                </c:pt>
                <c:pt idx="663">
                  <c:v>5.2469861481452539E-281</c:v>
                </c:pt>
                <c:pt idx="664">
                  <c:v>8.0928240986854178E-294</c:v>
                </c:pt>
                <c:pt idx="665">
                  <c:v>6.54458536566857E-307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'Fatores de forma'!$Y$1:$Y$2</c:f>
              <c:strCache>
                <c:ptCount val="1"/>
                <c:pt idx="0">
                  <c:v>BaTiO3 H_h(50nm)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forma'!$Y$3:$Y$803</c:f>
              <c:numCache>
                <c:formatCode>0.00000</c:formatCode>
                <c:ptCount val="801"/>
                <c:pt idx="0">
                  <c:v>1.2590278942880475E-71</c:v>
                </c:pt>
                <c:pt idx="1">
                  <c:v>4.2539921585521557E-68</c:v>
                </c:pt>
                <c:pt idx="2">
                  <c:v>1.1878448962794177E-64</c:v>
                </c:pt>
                <c:pt idx="3">
                  <c:v>2.7410976366708128E-61</c:v>
                </c:pt>
                <c:pt idx="4">
                  <c:v>5.2274633003789686E-58</c:v>
                </c:pt>
                <c:pt idx="5">
                  <c:v>8.2387096568766546E-55</c:v>
                </c:pt>
                <c:pt idx="6">
                  <c:v>1.073072639528243E-51</c:v>
                </c:pt>
                <c:pt idx="7">
                  <c:v>1.1550499442501937E-48</c:v>
                </c:pt>
                <c:pt idx="8">
                  <c:v>1.0274817659393368E-45</c:v>
                </c:pt>
                <c:pt idx="9">
                  <c:v>7.5535168372997718E-43</c:v>
                </c:pt>
                <c:pt idx="10">
                  <c:v>4.5890839017720703E-40</c:v>
                </c:pt>
                <c:pt idx="11">
                  <c:v>2.3041169161690241E-37</c:v>
                </c:pt>
                <c:pt idx="12">
                  <c:v>9.5605911206271362E-35</c:v>
                </c:pt>
                <c:pt idx="13">
                  <c:v>3.2784358931617361E-32</c:v>
                </c:pt>
                <c:pt idx="14">
                  <c:v>9.2907412459191179E-30</c:v>
                </c:pt>
                <c:pt idx="15">
                  <c:v>2.1758840664862382E-27</c:v>
                </c:pt>
                <c:pt idx="16">
                  <c:v>4.2113647458472603E-25</c:v>
                </c:pt>
                <c:pt idx="17">
                  <c:v>6.7361489340652832E-23</c:v>
                </c:pt>
                <c:pt idx="18">
                  <c:v>8.9043500003431558E-21</c:v>
                </c:pt>
                <c:pt idx="19">
                  <c:v>9.7273486472436136E-19</c:v>
                </c:pt>
                <c:pt idx="20">
                  <c:v>8.7818994461825863E-17</c:v>
                </c:pt>
                <c:pt idx="21">
                  <c:v>6.5521549018891054E-15</c:v>
                </c:pt>
                <c:pt idx="22">
                  <c:v>4.0400019103306616E-13</c:v>
                </c:pt>
                <c:pt idx="23">
                  <c:v>2.0586414027056989E-11</c:v>
                </c:pt>
                <c:pt idx="24">
                  <c:v>8.6692505269182449E-10</c:v>
                </c:pt>
                <c:pt idx="25">
                  <c:v>3.0170612175170233E-8</c:v>
                </c:pt>
                <c:pt idx="26">
                  <c:v>8.6773758586272332E-7</c:v>
                </c:pt>
                <c:pt idx="27">
                  <c:v>2.0625021708417314E-5</c:v>
                </c:pt>
                <c:pt idx="28">
                  <c:v>4.051372143061372E-4</c:v>
                </c:pt>
                <c:pt idx="29">
                  <c:v>6.5767537185392978E-3</c:v>
                </c:pt>
                <c:pt idx="30">
                  <c:v>8.8231312280031698E-2</c:v>
                </c:pt>
                <c:pt idx="31">
                  <c:v>0.97821792441462918</c:v>
                </c:pt>
                <c:pt idx="32">
                  <c:v>8.9629342858883767</c:v>
                </c:pt>
                <c:pt idx="33">
                  <c:v>67.868230533444105</c:v>
                </c:pt>
                <c:pt idx="34">
                  <c:v>424.70224687856728</c:v>
                </c:pt>
                <c:pt idx="35">
                  <c:v>2196.3639612667762</c:v>
                </c:pt>
                <c:pt idx="36">
                  <c:v>9386.9775155839616</c:v>
                </c:pt>
                <c:pt idx="37">
                  <c:v>33154.994816632097</c:v>
                </c:pt>
                <c:pt idx="38">
                  <c:v>96777.381946749534</c:v>
                </c:pt>
                <c:pt idx="39">
                  <c:v>233453.55533738638</c:v>
                </c:pt>
                <c:pt idx="40">
                  <c:v>465402.63041944575</c:v>
                </c:pt>
                <c:pt idx="41">
                  <c:v>766759.01878950757</c:v>
                </c:pt>
                <c:pt idx="42">
                  <c:v>1043976.3743806089</c:v>
                </c:pt>
                <c:pt idx="43">
                  <c:v>1174692.4196497716</c:v>
                </c:pt>
                <c:pt idx="44">
                  <c:v>1092343.8807412742</c:v>
                </c:pt>
                <c:pt idx="45">
                  <c:v>839452.85825421242</c:v>
                </c:pt>
                <c:pt idx="46">
                  <c:v>533132.25972827594</c:v>
                </c:pt>
                <c:pt idx="47">
                  <c:v>279817.79551682161</c:v>
                </c:pt>
                <c:pt idx="48">
                  <c:v>121371.69507111843</c:v>
                </c:pt>
                <c:pt idx="49">
                  <c:v>43507.208795293322</c:v>
                </c:pt>
                <c:pt idx="50">
                  <c:v>12888.629659537486</c:v>
                </c:pt>
                <c:pt idx="51">
                  <c:v>3155.3968375731301</c:v>
                </c:pt>
                <c:pt idx="52">
                  <c:v>638.41479805829294</c:v>
                </c:pt>
                <c:pt idx="53">
                  <c:v>106.74649464160925</c:v>
                </c:pt>
                <c:pt idx="54">
                  <c:v>14.750475413842846</c:v>
                </c:pt>
                <c:pt idx="55">
                  <c:v>1.684457786272628</c:v>
                </c:pt>
                <c:pt idx="56">
                  <c:v>0.15897028893284218</c:v>
                </c:pt>
                <c:pt idx="57">
                  <c:v>1.2398624679091905E-2</c:v>
                </c:pt>
                <c:pt idx="58">
                  <c:v>7.9915824003906177E-4</c:v>
                </c:pt>
                <c:pt idx="59">
                  <c:v>4.2569031362386468E-5</c:v>
                </c:pt>
                <c:pt idx="60">
                  <c:v>1.873943413751055E-6</c:v>
                </c:pt>
                <c:pt idx="61">
                  <c:v>6.8174332640303094E-8</c:v>
                </c:pt>
                <c:pt idx="62">
                  <c:v>2.0496845907428345E-9</c:v>
                </c:pt>
                <c:pt idx="63">
                  <c:v>5.0927797585848756E-11</c:v>
                </c:pt>
                <c:pt idx="64">
                  <c:v>1.0457418108574774E-12</c:v>
                </c:pt>
                <c:pt idx="65">
                  <c:v>1.7745807562204706E-14</c:v>
                </c:pt>
                <c:pt idx="66">
                  <c:v>2.488678415605621E-16</c:v>
                </c:pt>
                <c:pt idx="67">
                  <c:v>2.8843204744061792E-18</c:v>
                </c:pt>
                <c:pt idx="68">
                  <c:v>2.7626124370961916E-20</c:v>
                </c:pt>
                <c:pt idx="69">
                  <c:v>2.1867449418467661E-22</c:v>
                </c:pt>
                <c:pt idx="70">
                  <c:v>1.4304675712629288E-24</c:v>
                </c:pt>
                <c:pt idx="71">
                  <c:v>7.7332067456053615E-27</c:v>
                </c:pt>
                <c:pt idx="72">
                  <c:v>3.4549593628783748E-29</c:v>
                </c:pt>
                <c:pt idx="73">
                  <c:v>1.2756395751334557E-31</c:v>
                </c:pt>
                <c:pt idx="74">
                  <c:v>3.8923756142391112E-34</c:v>
                </c:pt>
                <c:pt idx="75">
                  <c:v>9.8152919059143041E-37</c:v>
                </c:pt>
                <c:pt idx="76">
                  <c:v>2.0454714170454712E-39</c:v>
                </c:pt>
                <c:pt idx="77">
                  <c:v>3.5227784296240146E-42</c:v>
                </c:pt>
                <c:pt idx="78">
                  <c:v>5.0139380061746518E-45</c:v>
                </c:pt>
                <c:pt idx="79">
                  <c:v>5.8975863659477873E-48</c:v>
                </c:pt>
                <c:pt idx="80">
                  <c:v>5.7328605434124079E-51</c:v>
                </c:pt>
                <c:pt idx="81">
                  <c:v>4.6054297628113008E-54</c:v>
                </c:pt>
                <c:pt idx="82">
                  <c:v>3.0575295807452732E-57</c:v>
                </c:pt>
                <c:pt idx="83">
                  <c:v>1.6775400201564585E-60</c:v>
                </c:pt>
                <c:pt idx="84">
                  <c:v>7.6063591931959574E-64</c:v>
                </c:pt>
                <c:pt idx="85">
                  <c:v>2.8502469443408895E-67</c:v>
                </c:pt>
                <c:pt idx="86">
                  <c:v>8.8265272335290391E-71</c:v>
                </c:pt>
                <c:pt idx="87">
                  <c:v>2.2589101688460106E-74</c:v>
                </c:pt>
                <c:pt idx="88">
                  <c:v>4.7775998628006903E-78</c:v>
                </c:pt>
                <c:pt idx="89">
                  <c:v>8.350688904634176E-82</c:v>
                </c:pt>
                <c:pt idx="90">
                  <c:v>1.2062478555612251E-85</c:v>
                </c:pt>
                <c:pt idx="91">
                  <c:v>1.4399669418809044E-89</c:v>
                </c:pt>
                <c:pt idx="92">
                  <c:v>1.4205947574777867E-93</c:v>
                </c:pt>
                <c:pt idx="93">
                  <c:v>1.1582161371347886E-97</c:v>
                </c:pt>
                <c:pt idx="94">
                  <c:v>7.8038827133671321E-102</c:v>
                </c:pt>
                <c:pt idx="95">
                  <c:v>4.3454381604484736E-106</c:v>
                </c:pt>
                <c:pt idx="96">
                  <c:v>1.9996690844178688E-110</c:v>
                </c:pt>
                <c:pt idx="97">
                  <c:v>7.604740672981361E-115</c:v>
                </c:pt>
                <c:pt idx="98">
                  <c:v>2.3900798122217384E-119</c:v>
                </c:pt>
                <c:pt idx="99">
                  <c:v>6.2078628934025856E-124</c:v>
                </c:pt>
                <c:pt idx="100">
                  <c:v>1.3325194215693432E-128</c:v>
                </c:pt>
                <c:pt idx="101">
                  <c:v>2.3637780574811704E-133</c:v>
                </c:pt>
                <c:pt idx="102">
                  <c:v>3.4653057903291046E-138</c:v>
                </c:pt>
                <c:pt idx="103">
                  <c:v>4.1983452499441002E-143</c:v>
                </c:pt>
                <c:pt idx="104">
                  <c:v>4.2035522838561923E-148</c:v>
                </c:pt>
                <c:pt idx="105">
                  <c:v>3.4782154145678278E-153</c:v>
                </c:pt>
                <c:pt idx="106">
                  <c:v>2.3784729438507034E-158</c:v>
                </c:pt>
                <c:pt idx="107">
                  <c:v>1.344131236076226E-163</c:v>
                </c:pt>
                <c:pt idx="108">
                  <c:v>6.2775018605561945E-169</c:v>
                </c:pt>
                <c:pt idx="109">
                  <c:v>2.422890263204919E-174</c:v>
                </c:pt>
                <c:pt idx="110">
                  <c:v>7.7282712614862053E-180</c:v>
                </c:pt>
                <c:pt idx="111">
                  <c:v>2.0371954064514216E-185</c:v>
                </c:pt>
                <c:pt idx="112">
                  <c:v>4.4379738334834404E-191</c:v>
                </c:pt>
                <c:pt idx="113">
                  <c:v>7.9898477640214462E-197</c:v>
                </c:pt>
                <c:pt idx="114">
                  <c:v>1.1887594704942323E-202</c:v>
                </c:pt>
                <c:pt idx="115">
                  <c:v>1.4616762600543137E-208</c:v>
                </c:pt>
                <c:pt idx="116">
                  <c:v>1.485286094336073E-214</c:v>
                </c:pt>
                <c:pt idx="117">
                  <c:v>1.2472995192266186E-220</c:v>
                </c:pt>
                <c:pt idx="118">
                  <c:v>8.6563162180062511E-227</c:v>
                </c:pt>
                <c:pt idx="119">
                  <c:v>4.9647477670962616E-233</c:v>
                </c:pt>
                <c:pt idx="120">
                  <c:v>2.3532224530234736E-239</c:v>
                </c:pt>
                <c:pt idx="121">
                  <c:v>9.2178682397733941E-246</c:v>
                </c:pt>
                <c:pt idx="122">
                  <c:v>2.9840062381550052E-252</c:v>
                </c:pt>
                <c:pt idx="123">
                  <c:v>7.983083568066624E-259</c:v>
                </c:pt>
                <c:pt idx="124">
                  <c:v>1.7649944437712881E-265</c:v>
                </c:pt>
                <c:pt idx="125">
                  <c:v>3.2249109562503919E-272</c:v>
                </c:pt>
                <c:pt idx="126">
                  <c:v>4.8696060809117993E-279</c:v>
                </c:pt>
                <c:pt idx="127">
                  <c:v>6.0767539585379516E-286</c:v>
                </c:pt>
                <c:pt idx="128">
                  <c:v>6.2668773080742567E-293</c:v>
                </c:pt>
                <c:pt idx="129">
                  <c:v>5.3411214094542364E-300</c:v>
                </c:pt>
                <c:pt idx="130">
                  <c:v>3.7619708500205093E-307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3.3104975255853224E-307</c:v>
                </c:pt>
                <c:pt idx="143">
                  <c:v>3.4880970721871999E-300</c:v>
                </c:pt>
                <c:pt idx="144">
                  <c:v>3.0595646686916615E-293</c:v>
                </c:pt>
                <c:pt idx="145">
                  <c:v>2.2341199722341987E-286</c:v>
                </c:pt>
                <c:pt idx="146">
                  <c:v>1.3580917916490982E-279</c:v>
                </c:pt>
                <c:pt idx="147">
                  <c:v>6.8727023756459426E-273</c:v>
                </c:pt>
                <c:pt idx="148">
                  <c:v>2.8953543931376884E-266</c:v>
                </c:pt>
                <c:pt idx="149">
                  <c:v>1.0154339997977804E-259</c:v>
                </c:pt>
                <c:pt idx="150">
                  <c:v>2.9646774620091091E-253</c:v>
                </c:pt>
                <c:pt idx="151">
                  <c:v>7.205746545737333E-247</c:v>
                </c:pt>
                <c:pt idx="152">
                  <c:v>1.4579958642412053E-240</c:v>
                </c:pt>
                <c:pt idx="153">
                  <c:v>2.4558926611362625E-234</c:v>
                </c:pt>
                <c:pt idx="154">
                  <c:v>3.4438026033746782E-228</c:v>
                </c:pt>
                <c:pt idx="155">
                  <c:v>4.0201559271688403E-222</c:v>
                </c:pt>
                <c:pt idx="156">
                  <c:v>3.9068193101722086E-216</c:v>
                </c:pt>
                <c:pt idx="157">
                  <c:v>3.1606727531177449E-210</c:v>
                </c:pt>
                <c:pt idx="158">
                  <c:v>2.1286855836439062E-204</c:v>
                </c:pt>
                <c:pt idx="159">
                  <c:v>1.1934913746978917E-198</c:v>
                </c:pt>
                <c:pt idx="160">
                  <c:v>5.5706109683542123E-193</c:v>
                </c:pt>
                <c:pt idx="161">
                  <c:v>2.1645227489234199E-187</c:v>
                </c:pt>
                <c:pt idx="162">
                  <c:v>7.0015993975939144E-182</c:v>
                </c:pt>
                <c:pt idx="163">
                  <c:v>1.8854201408472677E-176</c:v>
                </c:pt>
                <c:pt idx="164">
                  <c:v>4.226635583410814E-171</c:v>
                </c:pt>
                <c:pt idx="165">
                  <c:v>7.8878246466621865E-166</c:v>
                </c:pt>
                <c:pt idx="166">
                  <c:v>1.225449641272647E-160</c:v>
                </c:pt>
                <c:pt idx="167">
                  <c:v>1.5849277528379858E-155</c:v>
                </c:pt>
                <c:pt idx="168">
                  <c:v>1.706472330195639E-150</c:v>
                </c:pt>
                <c:pt idx="169">
                  <c:v>1.5295539881843618E-145</c:v>
                </c:pt>
                <c:pt idx="170">
                  <c:v>1.1413166425971973E-140</c:v>
                </c:pt>
                <c:pt idx="171">
                  <c:v>7.0896250794456105E-136</c:v>
                </c:pt>
                <c:pt idx="172">
                  <c:v>3.666200119715896E-131</c:v>
                </c:pt>
                <c:pt idx="173">
                  <c:v>1.5782828774159599E-126</c:v>
                </c:pt>
                <c:pt idx="174">
                  <c:v>5.6562591882995749E-122</c:v>
                </c:pt>
                <c:pt idx="175">
                  <c:v>1.6875223698392703E-117</c:v>
                </c:pt>
                <c:pt idx="176">
                  <c:v>4.1912691862827326E-113</c:v>
                </c:pt>
                <c:pt idx="177">
                  <c:v>8.6659733645034658E-109</c:v>
                </c:pt>
                <c:pt idx="178">
                  <c:v>1.4916431039093521E-104</c:v>
                </c:pt>
                <c:pt idx="179">
                  <c:v>2.1374121749489653E-100</c:v>
                </c:pt>
                <c:pt idx="180">
                  <c:v>2.5496901869212279E-96</c:v>
                </c:pt>
                <c:pt idx="181">
                  <c:v>2.5319919787842244E-92</c:v>
                </c:pt>
                <c:pt idx="182">
                  <c:v>2.0932110465855782E-88</c:v>
                </c:pt>
                <c:pt idx="183">
                  <c:v>1.4405869951558963E-84</c:v>
                </c:pt>
                <c:pt idx="184">
                  <c:v>8.2535681418091547E-81</c:v>
                </c:pt>
                <c:pt idx="185">
                  <c:v>3.936586256465528E-77</c:v>
                </c:pt>
                <c:pt idx="186">
                  <c:v>1.5630525600009893E-73</c:v>
                </c:pt>
                <c:pt idx="187">
                  <c:v>5.166580156964408E-70</c:v>
                </c:pt>
                <c:pt idx="188">
                  <c:v>1.4217018895730291E-66</c:v>
                </c:pt>
                <c:pt idx="189">
                  <c:v>3.2567894989293427E-63</c:v>
                </c:pt>
                <c:pt idx="190">
                  <c:v>6.2107867366890999E-60</c:v>
                </c:pt>
                <c:pt idx="191">
                  <c:v>9.8600546973909452E-57</c:v>
                </c:pt>
                <c:pt idx="192">
                  <c:v>1.3031302034656401E-53</c:v>
                </c:pt>
                <c:pt idx="193">
                  <c:v>1.4337455300223912E-50</c:v>
                </c:pt>
                <c:pt idx="194">
                  <c:v>1.3132037747876809E-47</c:v>
                </c:pt>
                <c:pt idx="195">
                  <c:v>1.0013086026272394E-44</c:v>
                </c:pt>
                <c:pt idx="196">
                  <c:v>6.3559365302043966E-42</c:v>
                </c:pt>
                <c:pt idx="197">
                  <c:v>3.358666909556119E-39</c:v>
                </c:pt>
                <c:pt idx="198">
                  <c:v>1.4775088765770271E-36</c:v>
                </c:pt>
                <c:pt idx="199">
                  <c:v>5.4108941893544724E-34</c:v>
                </c:pt>
                <c:pt idx="200">
                  <c:v>1.6496194303261003E-31</c:v>
                </c:pt>
                <c:pt idx="201">
                  <c:v>4.1867233527587628E-29</c:v>
                </c:pt>
                <c:pt idx="202">
                  <c:v>8.8458698593945331E-27</c:v>
                </c:pt>
                <c:pt idx="203">
                  <c:v>1.5559033147538682E-24</c:v>
                </c:pt>
                <c:pt idx="204">
                  <c:v>2.2782451046699403E-22</c:v>
                </c:pt>
                <c:pt idx="205">
                  <c:v>2.7771162834406344E-20</c:v>
                </c:pt>
                <c:pt idx="206">
                  <c:v>2.8181458350800396E-18</c:v>
                </c:pt>
                <c:pt idx="207">
                  <c:v>2.3807217601055374E-16</c:v>
                </c:pt>
                <c:pt idx="208">
                  <c:v>1.6742858192088223E-14</c:v>
                </c:pt>
                <c:pt idx="209">
                  <c:v>9.8022626620682818E-13</c:v>
                </c:pt>
                <c:pt idx="210">
                  <c:v>4.7774797175918391E-11</c:v>
                </c:pt>
                <c:pt idx="211">
                  <c:v>1.9384167219979471E-9</c:v>
                </c:pt>
                <c:pt idx="212">
                  <c:v>6.5474354085438911E-8</c:v>
                </c:pt>
                <c:pt idx="213">
                  <c:v>1.8410732894844648E-6</c:v>
                </c:pt>
                <c:pt idx="214">
                  <c:v>4.3096967390963141E-5</c:v>
                </c:pt>
                <c:pt idx="215">
                  <c:v>8.398430343775794E-4</c:v>
                </c:pt>
                <c:pt idx="216">
                  <c:v>1.3624648830044366E-2</c:v>
                </c:pt>
                <c:pt idx="217">
                  <c:v>0.18400443446032627</c:v>
                </c:pt>
                <c:pt idx="218">
                  <c:v>2.0687453795458386</c:v>
                </c:pt>
                <c:pt idx="219">
                  <c:v>19.362506304879645</c:v>
                </c:pt>
                <c:pt idx="220">
                  <c:v>150.86617607406367</c:v>
                </c:pt>
                <c:pt idx="221">
                  <c:v>978.58368866104695</c:v>
                </c:pt>
                <c:pt idx="222">
                  <c:v>5284.2072408343993</c:v>
                </c:pt>
                <c:pt idx="223">
                  <c:v>23754.040388373265</c:v>
                </c:pt>
                <c:pt idx="224">
                  <c:v>88893.686817456241</c:v>
                </c:pt>
                <c:pt idx="225">
                  <c:v>276936.4535130639</c:v>
                </c:pt>
                <c:pt idx="226">
                  <c:v>718232.59957028495</c:v>
                </c:pt>
                <c:pt idx="227">
                  <c:v>1550693.1900435251</c:v>
                </c:pt>
                <c:pt idx="228">
                  <c:v>2787163.368691328</c:v>
                </c:pt>
                <c:pt idx="229">
                  <c:v>4170371.5647974829</c:v>
                </c:pt>
                <c:pt idx="230">
                  <c:v>5194728.5133904722</c:v>
                </c:pt>
                <c:pt idx="231">
                  <c:v>5386748.9974612016</c:v>
                </c:pt>
                <c:pt idx="232">
                  <c:v>4650144.0130155487</c:v>
                </c:pt>
                <c:pt idx="233">
                  <c:v>3341810.705495283</c:v>
                </c:pt>
                <c:pt idx="234">
                  <c:v>1999277.4533529954</c:v>
                </c:pt>
                <c:pt idx="235">
                  <c:v>995726.51054677821</c:v>
                </c:pt>
                <c:pt idx="236">
                  <c:v>412841.02845176117</c:v>
                </c:pt>
                <c:pt idx="237">
                  <c:v>142495.58607186211</c:v>
                </c:pt>
                <c:pt idx="238">
                  <c:v>40944.516960877372</c:v>
                </c:pt>
                <c:pt idx="239">
                  <c:v>9794.1301616400542</c:v>
                </c:pt>
                <c:pt idx="240">
                  <c:v>1950.3464774295196</c:v>
                </c:pt>
                <c:pt idx="241">
                  <c:v>323.32065397750068</c:v>
                </c:pt>
                <c:pt idx="242">
                  <c:v>44.62013770900343</c:v>
                </c:pt>
                <c:pt idx="243">
                  <c:v>5.126301477519088</c:v>
                </c:pt>
                <c:pt idx="244">
                  <c:v>0.49029014063370896</c:v>
                </c:pt>
                <c:pt idx="245">
                  <c:v>3.9037136744685168E-2</c:v>
                </c:pt>
                <c:pt idx="246">
                  <c:v>2.5874891144101386E-3</c:v>
                </c:pt>
                <c:pt idx="247">
                  <c:v>1.4277589334495106E-4</c:v>
                </c:pt>
                <c:pt idx="248">
                  <c:v>6.5585377173487831E-6</c:v>
                </c:pt>
                <c:pt idx="249">
                  <c:v>2.5080427458827681E-7</c:v>
                </c:pt>
                <c:pt idx="250">
                  <c:v>7.9843327349236489E-9</c:v>
                </c:pt>
                <c:pt idx="251">
                  <c:v>2.1160118706625861E-10</c:v>
                </c:pt>
                <c:pt idx="252">
                  <c:v>4.6684568782796196E-12</c:v>
                </c:pt>
                <c:pt idx="253">
                  <c:v>8.5744127010891157E-14</c:v>
                </c:pt>
                <c:pt idx="254">
                  <c:v>1.311025665427611E-15</c:v>
                </c:pt>
                <c:pt idx="255">
                  <c:v>1.6687596263684941E-17</c:v>
                </c:pt>
                <c:pt idx="256">
                  <c:v>1.7682845548857643E-19</c:v>
                </c:pt>
                <c:pt idx="257">
                  <c:v>1.5598624465573251E-21</c:v>
                </c:pt>
                <c:pt idx="258">
                  <c:v>1.1455030004390296E-23</c:v>
                </c:pt>
                <c:pt idx="259">
                  <c:v>7.002964728455878E-26</c:v>
                </c:pt>
                <c:pt idx="260">
                  <c:v>3.5640470303920372E-28</c:v>
                </c:pt>
                <c:pt idx="261">
                  <c:v>1.5100130234391328E-30</c:v>
                </c:pt>
                <c:pt idx="262">
                  <c:v>5.325908968489278E-33</c:v>
                </c:pt>
                <c:pt idx="263">
                  <c:v>1.5638048822527184E-35</c:v>
                </c:pt>
                <c:pt idx="264">
                  <c:v>3.8224971445380498E-38</c:v>
                </c:pt>
                <c:pt idx="265">
                  <c:v>7.7783513074112018E-41</c:v>
                </c:pt>
                <c:pt idx="266">
                  <c:v>1.317661078775576E-43</c:v>
                </c:pt>
                <c:pt idx="267">
                  <c:v>1.858213714837944E-46</c:v>
                </c:pt>
                <c:pt idx="268">
                  <c:v>2.1815410213116628E-49</c:v>
                </c:pt>
                <c:pt idx="269">
                  <c:v>2.1320966406408712E-52</c:v>
                </c:pt>
                <c:pt idx="270">
                  <c:v>1.7347071454187594E-55</c:v>
                </c:pt>
                <c:pt idx="271">
                  <c:v>1.1749549853456793E-58</c:v>
                </c:pt>
                <c:pt idx="272">
                  <c:v>6.6250943666785432E-62</c:v>
                </c:pt>
                <c:pt idx="273">
                  <c:v>3.1098446050988972E-65</c:v>
                </c:pt>
                <c:pt idx="274">
                  <c:v>1.2152372902350781E-68</c:v>
                </c:pt>
                <c:pt idx="275">
                  <c:v>3.9532953920586436E-72</c:v>
                </c:pt>
                <c:pt idx="276">
                  <c:v>1.0706147545649952E-75</c:v>
                </c:pt>
                <c:pt idx="277">
                  <c:v>2.4136981731268406E-79</c:v>
                </c:pt>
                <c:pt idx="278">
                  <c:v>4.530107193381054E-83</c:v>
                </c:pt>
                <c:pt idx="279">
                  <c:v>7.0779872323088914E-87</c:v>
                </c:pt>
                <c:pt idx="280">
                  <c:v>9.2063366251743794E-91</c:v>
                </c:pt>
                <c:pt idx="281">
                  <c:v>9.9687270693742866E-95</c:v>
                </c:pt>
                <c:pt idx="282">
                  <c:v>8.9860398520681634E-99</c:v>
                </c:pt>
                <c:pt idx="283">
                  <c:v>6.7433042392781538E-103</c:v>
                </c:pt>
                <c:pt idx="284">
                  <c:v>4.2126264251370617E-107</c:v>
                </c:pt>
                <c:pt idx="285">
                  <c:v>2.1908312168778582E-111</c:v>
                </c:pt>
                <c:pt idx="286">
                  <c:v>9.4850728919004758E-116</c:v>
                </c:pt>
                <c:pt idx="287">
                  <c:v>3.4185993397407283E-120</c:v>
                </c:pt>
                <c:pt idx="288">
                  <c:v>1.025726357550753E-124</c:v>
                </c:pt>
                <c:pt idx="289">
                  <c:v>2.5620677274704116E-129</c:v>
                </c:pt>
                <c:pt idx="290">
                  <c:v>5.3275247492701866E-134</c:v>
                </c:pt>
                <c:pt idx="291">
                  <c:v>9.2222337387148358E-139</c:v>
                </c:pt>
                <c:pt idx="292">
                  <c:v>1.3289925733705853E-143</c:v>
                </c:pt>
                <c:pt idx="293">
                  <c:v>1.5943540240008343E-148</c:v>
                </c:pt>
                <c:pt idx="294">
                  <c:v>1.5922921346022077E-153</c:v>
                </c:pt>
                <c:pt idx="295">
                  <c:v>1.3238431020673483E-158</c:v>
                </c:pt>
                <c:pt idx="296">
                  <c:v>9.1627547692113537E-164</c:v>
                </c:pt>
                <c:pt idx="297">
                  <c:v>5.2794829198541594E-169</c:v>
                </c:pt>
                <c:pt idx="298">
                  <c:v>2.5324011057701897E-174</c:v>
                </c:pt>
                <c:pt idx="299">
                  <c:v>1.0112286819215391E-179</c:v>
                </c:pt>
                <c:pt idx="300">
                  <c:v>3.3615691026761262E-185</c:v>
                </c:pt>
                <c:pt idx="301">
                  <c:v>9.3027315122136856E-191</c:v>
                </c:pt>
                <c:pt idx="302">
                  <c:v>2.1431605668767288E-196</c:v>
                </c:pt>
                <c:pt idx="303">
                  <c:v>4.1103579538082477E-202</c:v>
                </c:pt>
                <c:pt idx="304">
                  <c:v>2.1441176021152357E-201</c:v>
                </c:pt>
                <c:pt idx="305">
                  <c:v>8.2588238258303956E-196</c:v>
                </c:pt>
                <c:pt idx="306">
                  <c:v>2.6677048320835134E-190</c:v>
                </c:pt>
                <c:pt idx="307">
                  <c:v>7.2261536133228645E-185</c:v>
                </c:pt>
                <c:pt idx="308">
                  <c:v>1.6414454118187044E-179</c:v>
                </c:pt>
                <c:pt idx="309">
                  <c:v>3.1267671443637446E-174</c:v>
                </c:pt>
                <c:pt idx="310">
                  <c:v>4.9947582850918297E-169</c:v>
                </c:pt>
                <c:pt idx="311">
                  <c:v>6.6908801822761065E-164</c:v>
                </c:pt>
                <c:pt idx="312">
                  <c:v>7.5162613085541087E-159</c:v>
                </c:pt>
                <c:pt idx="313">
                  <c:v>7.0806043645003686E-154</c:v>
                </c:pt>
                <c:pt idx="314">
                  <c:v>5.5935642032610601E-149</c:v>
                </c:pt>
                <c:pt idx="315">
                  <c:v>3.7055848901172429E-144</c:v>
                </c:pt>
                <c:pt idx="316">
                  <c:v>2.0586131709286591E-139</c:v>
                </c:pt>
                <c:pt idx="317">
                  <c:v>9.5905291112412425E-135</c:v>
                </c:pt>
                <c:pt idx="318">
                  <c:v>3.7467975666327109E-130</c:v>
                </c:pt>
                <c:pt idx="319">
                  <c:v>1.2275176114399852E-125</c:v>
                </c:pt>
                <c:pt idx="320">
                  <c:v>3.3724465454868121E-121</c:v>
                </c:pt>
                <c:pt idx="321">
                  <c:v>7.7698432662076045E-117</c:v>
                </c:pt>
                <c:pt idx="322">
                  <c:v>1.5011679462539676E-112</c:v>
                </c:pt>
                <c:pt idx="323">
                  <c:v>2.4321824338320398E-108</c:v>
                </c:pt>
                <c:pt idx="324">
                  <c:v>3.3045540002483925E-104</c:v>
                </c:pt>
                <c:pt idx="325">
                  <c:v>3.7651250030100253E-100</c:v>
                </c:pt>
                <c:pt idx="326">
                  <c:v>3.5974584485696769E-96</c:v>
                </c:pt>
                <c:pt idx="327">
                  <c:v>2.8824515365048392E-92</c:v>
                </c:pt>
                <c:pt idx="328">
                  <c:v>1.9367701474446291E-88</c:v>
                </c:pt>
                <c:pt idx="329">
                  <c:v>1.0912995885869136E-84</c:v>
                </c:pt>
                <c:pt idx="330">
                  <c:v>5.1565560314033824E-81</c:v>
                </c:pt>
                <c:pt idx="331">
                  <c:v>2.0432679909064508E-77</c:v>
                </c:pt>
                <c:pt idx="332">
                  <c:v>6.7895464306939329E-74</c:v>
                </c:pt>
                <c:pt idx="333">
                  <c:v>1.8919342280654963E-70</c:v>
                </c:pt>
                <c:pt idx="334">
                  <c:v>4.4210064320935782E-67</c:v>
                </c:pt>
                <c:pt idx="335">
                  <c:v>8.663354778862463E-64</c:v>
                </c:pt>
                <c:pt idx="336">
                  <c:v>1.423642333137901E-60</c:v>
                </c:pt>
                <c:pt idx="337">
                  <c:v>1.9618487768380994E-57</c:v>
                </c:pt>
                <c:pt idx="338">
                  <c:v>2.2671486853106795E-54</c:v>
                </c:pt>
                <c:pt idx="339">
                  <c:v>2.1970721498261766E-51</c:v>
                </c:pt>
                <c:pt idx="340">
                  <c:v>1.785494330308685E-48</c:v>
                </c:pt>
                <c:pt idx="341">
                  <c:v>1.2168091662890502E-45</c:v>
                </c:pt>
                <c:pt idx="342">
                  <c:v>6.9540260055566213E-43</c:v>
                </c:pt>
                <c:pt idx="343">
                  <c:v>3.3327289111008536E-40</c:v>
                </c:pt>
                <c:pt idx="344">
                  <c:v>1.3394099109134697E-37</c:v>
                </c:pt>
                <c:pt idx="345">
                  <c:v>4.5141591670749849E-35</c:v>
                </c:pt>
                <c:pt idx="346">
                  <c:v>1.2758219465686967E-32</c:v>
                </c:pt>
                <c:pt idx="347">
                  <c:v>3.0238003279060053E-30</c:v>
                </c:pt>
                <c:pt idx="348">
                  <c:v>6.0098826461150788E-28</c:v>
                </c:pt>
                <c:pt idx="349">
                  <c:v>1.0016793351340159E-25</c:v>
                </c:pt>
                <c:pt idx="350">
                  <c:v>1.4000426873448039E-23</c:v>
                </c:pt>
                <c:pt idx="351">
                  <c:v>1.640981486812037E-21</c:v>
                </c:pt>
                <c:pt idx="352">
                  <c:v>1.6129315091448227E-19</c:v>
                </c:pt>
                <c:pt idx="353">
                  <c:v>1.3294683763715478E-17</c:v>
                </c:pt>
                <c:pt idx="354">
                  <c:v>9.189458849719006E-16</c:v>
                </c:pt>
                <c:pt idx="355">
                  <c:v>5.3266198598757064E-14</c:v>
                </c:pt>
                <c:pt idx="356">
                  <c:v>2.5891863650512024E-12</c:v>
                </c:pt>
                <c:pt idx="357">
                  <c:v>1.0554186381104076E-10</c:v>
                </c:pt>
                <c:pt idx="358">
                  <c:v>3.6077467820484803E-9</c:v>
                </c:pt>
                <c:pt idx="359">
                  <c:v>1.0341824828452557E-7</c:v>
                </c:pt>
                <c:pt idx="360">
                  <c:v>2.4860402020012366E-6</c:v>
                </c:pt>
                <c:pt idx="361">
                  <c:v>5.0115141173322866E-5</c:v>
                </c:pt>
                <c:pt idx="362">
                  <c:v>8.4718763698797019E-4</c:v>
                </c:pt>
                <c:pt idx="363">
                  <c:v>1.2009919641768001E-2</c:v>
                </c:pt>
                <c:pt idx="364">
                  <c:v>0.14277442976928525</c:v>
                </c:pt>
                <c:pt idx="365">
                  <c:v>1.4233464015434134</c:v>
                </c:pt>
                <c:pt idx="366">
                  <c:v>11.899278297666104</c:v>
                </c:pt>
                <c:pt idx="367">
                  <c:v>83.421976754020321</c:v>
                </c:pt>
                <c:pt idx="368">
                  <c:v>490.44484271878889</c:v>
                </c:pt>
                <c:pt idx="369">
                  <c:v>2417.9633187772833</c:v>
                </c:pt>
                <c:pt idx="370">
                  <c:v>9996.7558388222296</c:v>
                </c:pt>
                <c:pt idx="371">
                  <c:v>34659.181512861833</c:v>
                </c:pt>
                <c:pt idx="372">
                  <c:v>100769.09557076277</c:v>
                </c:pt>
                <c:pt idx="373">
                  <c:v>245689.30936767551</c:v>
                </c:pt>
                <c:pt idx="374">
                  <c:v>502336.80501500954</c:v>
                </c:pt>
                <c:pt idx="375">
                  <c:v>861298.27862575767</c:v>
                </c:pt>
                <c:pt idx="376">
                  <c:v>1238403.0134504372</c:v>
                </c:pt>
                <c:pt idx="377">
                  <c:v>1493207.8406338945</c:v>
                </c:pt>
                <c:pt idx="378">
                  <c:v>1509831.0897409706</c:v>
                </c:pt>
                <c:pt idx="379">
                  <c:v>1280225.009036487</c:v>
                </c:pt>
                <c:pt idx="380">
                  <c:v>910320.01259384642</c:v>
                </c:pt>
                <c:pt idx="381">
                  <c:v>542814.84297074017</c:v>
                </c:pt>
                <c:pt idx="382">
                  <c:v>271430.83307987283</c:v>
                </c:pt>
                <c:pt idx="383">
                  <c:v>113819.45067880233</c:v>
                </c:pt>
                <c:pt idx="384">
                  <c:v>40024.289535052245</c:v>
                </c:pt>
                <c:pt idx="385">
                  <c:v>11802.67962130898</c:v>
                </c:pt>
                <c:pt idx="386">
                  <c:v>2918.6864788928933</c:v>
                </c:pt>
                <c:pt idx="387">
                  <c:v>605.26298388042414</c:v>
                </c:pt>
                <c:pt idx="388">
                  <c:v>105.25691173456721</c:v>
                </c:pt>
                <c:pt idx="389">
                  <c:v>15.349950285397144</c:v>
                </c:pt>
                <c:pt idx="390">
                  <c:v>1.8772113164328077</c:v>
                </c:pt>
                <c:pt idx="391">
                  <c:v>0.19251704842117962</c:v>
                </c:pt>
                <c:pt idx="392">
                  <c:v>1.6556749055219457E-2</c:v>
                </c:pt>
                <c:pt idx="393">
                  <c:v>1.1940727263347536E-3</c:v>
                </c:pt>
                <c:pt idx="394">
                  <c:v>7.2216482625950178E-5</c:v>
                </c:pt>
                <c:pt idx="395">
                  <c:v>3.6626188450857273E-6</c:v>
                </c:pt>
                <c:pt idx="396">
                  <c:v>1.5577471310179411E-7</c:v>
                </c:pt>
                <c:pt idx="397">
                  <c:v>5.5558694871421631E-9</c:v>
                </c:pt>
                <c:pt idx="398">
                  <c:v>1.6617165717806911E-10</c:v>
                </c:pt>
                <c:pt idx="399">
                  <c:v>4.1678464206778006E-12</c:v>
                </c:pt>
                <c:pt idx="400">
                  <c:v>8.7662995076073075E-14</c:v>
                </c:pt>
                <c:pt idx="401">
                  <c:v>1.5462180629956307E-15</c:v>
                </c:pt>
                <c:pt idx="402">
                  <c:v>2.2870466379117374E-17</c:v>
                </c:pt>
                <c:pt idx="403">
                  <c:v>2.8368027554550873E-19</c:v>
                </c:pt>
                <c:pt idx="404">
                  <c:v>2.9507546484301761E-21</c:v>
                </c:pt>
                <c:pt idx="405">
                  <c:v>2.5738717337747473E-23</c:v>
                </c:pt>
                <c:pt idx="406">
                  <c:v>1.8827408329726981E-25</c:v>
                </c:pt>
                <c:pt idx="407">
                  <c:v>1.1548990486600246E-27</c:v>
                </c:pt>
                <c:pt idx="408">
                  <c:v>5.9408330256072596E-30</c:v>
                </c:pt>
                <c:pt idx="409">
                  <c:v>2.5627161714161294E-32</c:v>
                </c:pt>
                <c:pt idx="410">
                  <c:v>9.2705075800267696E-35</c:v>
                </c:pt>
                <c:pt idx="411">
                  <c:v>2.8122657515428163E-37</c:v>
                </c:pt>
                <c:pt idx="412">
                  <c:v>7.1541664982837124E-40</c:v>
                </c:pt>
                <c:pt idx="413">
                  <c:v>1.5262004215930143E-42</c:v>
                </c:pt>
                <c:pt idx="414">
                  <c:v>2.7303224232655158E-45</c:v>
                </c:pt>
                <c:pt idx="415">
                  <c:v>4.0960584294755686E-48</c:v>
                </c:pt>
                <c:pt idx="416">
                  <c:v>5.153095500127721E-51</c:v>
                </c:pt>
                <c:pt idx="417">
                  <c:v>5.4365086052963392E-54</c:v>
                </c:pt>
                <c:pt idx="418">
                  <c:v>4.8097423122829962E-57</c:v>
                </c:pt>
                <c:pt idx="419">
                  <c:v>3.568398755009306E-60</c:v>
                </c:pt>
                <c:pt idx="420">
                  <c:v>2.2201115175727332E-63</c:v>
                </c:pt>
                <c:pt idx="421">
                  <c:v>1.1583132952687349E-66</c:v>
                </c:pt>
                <c:pt idx="422">
                  <c:v>5.0678894572813827E-70</c:v>
                </c:pt>
                <c:pt idx="423">
                  <c:v>1.8594224323867944E-73</c:v>
                </c:pt>
                <c:pt idx="424">
                  <c:v>5.7210907857779171E-77</c:v>
                </c:pt>
                <c:pt idx="425">
                  <c:v>1.4761464742679365E-80</c:v>
                </c:pt>
                <c:pt idx="426">
                  <c:v>3.1939632024263107E-84</c:v>
                </c:pt>
                <c:pt idx="427">
                  <c:v>5.7953571290300337E-88</c:v>
                </c:pt>
                <c:pt idx="428">
                  <c:v>8.8182080274468998E-92</c:v>
                </c:pt>
                <c:pt idx="429">
                  <c:v>1.1252015369572046E-95</c:v>
                </c:pt>
                <c:pt idx="430">
                  <c:v>1.2040101114243543E-99</c:v>
                </c:pt>
                <c:pt idx="431">
                  <c:v>1.0803881009355149E-103</c:v>
                </c:pt>
                <c:pt idx="432">
                  <c:v>8.1297893201425214E-108</c:v>
                </c:pt>
                <c:pt idx="433">
                  <c:v>5.1301330738906798E-112</c:v>
                </c:pt>
                <c:pt idx="434">
                  <c:v>2.7147373049957792E-116</c:v>
                </c:pt>
                <c:pt idx="435">
                  <c:v>1.2046942342176443E-120</c:v>
                </c:pt>
                <c:pt idx="436">
                  <c:v>4.4830717878552406E-125</c:v>
                </c:pt>
                <c:pt idx="437">
                  <c:v>1.3990215219586419E-129</c:v>
                </c:pt>
                <c:pt idx="438">
                  <c:v>3.6611956564230548E-134</c:v>
                </c:pt>
                <c:pt idx="439">
                  <c:v>8.0347306436468006E-139</c:v>
                </c:pt>
                <c:pt idx="440">
                  <c:v>1.671232759488248E-143</c:v>
                </c:pt>
                <c:pt idx="441">
                  <c:v>8.6400833787388999E-140</c:v>
                </c:pt>
                <c:pt idx="442">
                  <c:v>3.2747209107527428E-135</c:v>
                </c:pt>
                <c:pt idx="443">
                  <c:v>1.0484664924125788E-130</c:v>
                </c:pt>
                <c:pt idx="444">
                  <c:v>2.8356897934373298E-126</c:v>
                </c:pt>
                <c:pt idx="445">
                  <c:v>6.4786838336690944E-122</c:v>
                </c:pt>
                <c:pt idx="446">
                  <c:v>1.2503706036031561E-117</c:v>
                </c:pt>
                <c:pt idx="447">
                  <c:v>2.0385183496440536E-113</c:v>
                </c:pt>
                <c:pt idx="448">
                  <c:v>2.8074653011851956E-109</c:v>
                </c:pt>
                <c:pt idx="449">
                  <c:v>3.2661646302956395E-105</c:v>
                </c:pt>
                <c:pt idx="450">
                  <c:v>3.209856724023425E-101</c:v>
                </c:pt>
                <c:pt idx="451">
                  <c:v>2.6647540171428966E-97</c:v>
                </c:pt>
                <c:pt idx="452">
                  <c:v>1.868755593319521E-93</c:v>
                </c:pt>
                <c:pt idx="453">
                  <c:v>1.1070616013528761E-89</c:v>
                </c:pt>
                <c:pt idx="454">
                  <c:v>5.540066416711254E-86</c:v>
                </c:pt>
                <c:pt idx="455">
                  <c:v>2.3419739336595324E-82</c:v>
                </c:pt>
                <c:pt idx="456">
                  <c:v>8.3632108220338129E-79</c:v>
                </c:pt>
                <c:pt idx="457">
                  <c:v>2.522829695852018E-75</c:v>
                </c:pt>
                <c:pt idx="458">
                  <c:v>6.4287527918917617E-72</c:v>
                </c:pt>
                <c:pt idx="459">
                  <c:v>1.3838512788991958E-68</c:v>
                </c:pt>
                <c:pt idx="460">
                  <c:v>2.5163787837441271E-65</c:v>
                </c:pt>
                <c:pt idx="461">
                  <c:v>3.8653294197666408E-62</c:v>
                </c:pt>
                <c:pt idx="462">
                  <c:v>5.0155771084928219E-59</c:v>
                </c:pt>
                <c:pt idx="463">
                  <c:v>5.4976769018822451E-56</c:v>
                </c:pt>
                <c:pt idx="464">
                  <c:v>5.0905114188356729E-53</c:v>
                </c:pt>
                <c:pt idx="465">
                  <c:v>3.9816907030056417E-50</c:v>
                </c:pt>
                <c:pt idx="466">
                  <c:v>2.6308587291558531E-47</c:v>
                </c:pt>
                <c:pt idx="467">
                  <c:v>1.4684238752074529E-44</c:v>
                </c:pt>
                <c:pt idx="468">
                  <c:v>6.9235566178949932E-42</c:v>
                </c:pt>
                <c:pt idx="469">
                  <c:v>2.7575980346700142E-39</c:v>
                </c:pt>
                <c:pt idx="470">
                  <c:v>9.2780471594107998E-37</c:v>
                </c:pt>
                <c:pt idx="471">
                  <c:v>2.6369754853034217E-34</c:v>
                </c:pt>
                <c:pt idx="472">
                  <c:v>6.331104923879052E-32</c:v>
                </c:pt>
                <c:pt idx="473">
                  <c:v>1.2840349107447663E-29</c:v>
                </c:pt>
                <c:pt idx="474">
                  <c:v>2.1998752525292465E-27</c:v>
                </c:pt>
                <c:pt idx="475">
                  <c:v>3.1837809410439564E-25</c:v>
                </c:pt>
                <c:pt idx="476">
                  <c:v>3.8923528671338683E-23</c:v>
                </c:pt>
                <c:pt idx="477">
                  <c:v>4.0198063632318346E-21</c:v>
                </c:pt>
                <c:pt idx="478">
                  <c:v>3.5068885460141509E-19</c:v>
                </c:pt>
                <c:pt idx="479">
                  <c:v>2.5844176348055242E-17</c:v>
                </c:pt>
                <c:pt idx="480">
                  <c:v>1.6088936215353619E-15</c:v>
                </c:pt>
                <c:pt idx="481">
                  <c:v>8.4608864380190852E-14</c:v>
                </c:pt>
                <c:pt idx="482">
                  <c:v>3.7586189929386816E-12</c:v>
                </c:pt>
                <c:pt idx="483">
                  <c:v>1.4104725675517825E-10</c:v>
                </c:pt>
                <c:pt idx="484">
                  <c:v>4.4712081249876251E-9</c:v>
                </c:pt>
                <c:pt idx="485">
                  <c:v>1.1973166712803931E-7</c:v>
                </c:pt>
                <c:pt idx="486">
                  <c:v>2.7084266305967817E-6</c:v>
                </c:pt>
                <c:pt idx="487">
                  <c:v>5.1754607943040656E-5</c:v>
                </c:pt>
                <c:pt idx="488">
                  <c:v>8.3542000873991691E-4</c:v>
                </c:pt>
                <c:pt idx="489">
                  <c:v>1.1391597304955217E-2</c:v>
                </c:pt>
                <c:pt idx="490">
                  <c:v>0.13121644809925406</c:v>
                </c:pt>
                <c:pt idx="491">
                  <c:v>1.2767793002259862</c:v>
                </c:pt>
                <c:pt idx="492">
                  <c:v>10.494633836626383</c:v>
                </c:pt>
                <c:pt idx="493">
                  <c:v>72.868973165635495</c:v>
                </c:pt>
                <c:pt idx="494">
                  <c:v>427.40727578552116</c:v>
                </c:pt>
                <c:pt idx="495">
                  <c:v>2117.7031083518959</c:v>
                </c:pt>
                <c:pt idx="496">
                  <c:v>8863.6406213752671</c:v>
                </c:pt>
                <c:pt idx="497">
                  <c:v>31338.853642720373</c:v>
                </c:pt>
                <c:pt idx="498">
                  <c:v>93600.458286807829</c:v>
                </c:pt>
                <c:pt idx="499">
                  <c:v>236154.78298458588</c:v>
                </c:pt>
                <c:pt idx="500">
                  <c:v>503314.47297038179</c:v>
                </c:pt>
                <c:pt idx="501">
                  <c:v>906162.30792011227</c:v>
                </c:pt>
                <c:pt idx="502">
                  <c:v>1378149.9393173705</c:v>
                </c:pt>
                <c:pt idx="503">
                  <c:v>1770560.817036273</c:v>
                </c:pt>
                <c:pt idx="504">
                  <c:v>1921538.6729228373</c:v>
                </c:pt>
                <c:pt idx="505">
                  <c:v>1761616.2671112949</c:v>
                </c:pt>
                <c:pt idx="506">
                  <c:v>1364260.7872295266</c:v>
                </c:pt>
                <c:pt idx="507">
                  <c:v>892498.26969783474</c:v>
                </c:pt>
                <c:pt idx="508">
                  <c:v>493220.67261335754</c:v>
                </c:pt>
                <c:pt idx="509">
                  <c:v>230249.6938186122</c:v>
                </c:pt>
                <c:pt idx="510">
                  <c:v>90798.934771671324</c:v>
                </c:pt>
                <c:pt idx="511">
                  <c:v>30247.281463506217</c:v>
                </c:pt>
                <c:pt idx="512">
                  <c:v>8511.6908948918863</c:v>
                </c:pt>
                <c:pt idx="513">
                  <c:v>2023.3417440547562</c:v>
                </c:pt>
                <c:pt idx="514">
                  <c:v>406.29973733844218</c:v>
                </c:pt>
                <c:pt idx="515">
                  <c:v>68.920392711732617</c:v>
                </c:pt>
                <c:pt idx="516">
                  <c:v>9.875812756433092</c:v>
                </c:pt>
                <c:pt idx="517">
                  <c:v>1.1954236757151504</c:v>
                </c:pt>
                <c:pt idx="518">
                  <c:v>0.12223477024819689</c:v>
                </c:pt>
                <c:pt idx="519">
                  <c:v>1.0558240982103582E-2</c:v>
                </c:pt>
                <c:pt idx="520">
                  <c:v>7.7039291778407525E-4</c:v>
                </c:pt>
                <c:pt idx="521">
                  <c:v>4.7485049506682794E-5</c:v>
                </c:pt>
                <c:pt idx="522">
                  <c:v>2.4724380038591579E-6</c:v>
                </c:pt>
                <c:pt idx="523">
                  <c:v>1.087471359455064E-7</c:v>
                </c:pt>
                <c:pt idx="524">
                  <c:v>4.0404910313080908E-9</c:v>
                </c:pt>
                <c:pt idx="525">
                  <c:v>1.2681609275176273E-10</c:v>
                </c:pt>
                <c:pt idx="526">
                  <c:v>3.3623157226122051E-12</c:v>
                </c:pt>
                <c:pt idx="527">
                  <c:v>7.5305468799808406E-14</c:v>
                </c:pt>
                <c:pt idx="528">
                  <c:v>1.4247492711681333E-15</c:v>
                </c:pt>
                <c:pt idx="529">
                  <c:v>2.2770589413648952E-17</c:v>
                </c:pt>
                <c:pt idx="530">
                  <c:v>3.0742133435814901E-19</c:v>
                </c:pt>
                <c:pt idx="531">
                  <c:v>3.5060462120138379E-21</c:v>
                </c:pt>
                <c:pt idx="532">
                  <c:v>3.3777318640898465E-23</c:v>
                </c:pt>
                <c:pt idx="533">
                  <c:v>2.7488852281296548E-25</c:v>
                </c:pt>
                <c:pt idx="534">
                  <c:v>1.8897830358106826E-27</c:v>
                </c:pt>
                <c:pt idx="535">
                  <c:v>1.0974662834304102E-29</c:v>
                </c:pt>
                <c:pt idx="536">
                  <c:v>5.3838670785079521E-32</c:v>
                </c:pt>
                <c:pt idx="537">
                  <c:v>2.2311120075400682E-34</c:v>
                </c:pt>
                <c:pt idx="538">
                  <c:v>7.8103827994626697E-37</c:v>
                </c:pt>
                <c:pt idx="539">
                  <c:v>2.309655293919372E-39</c:v>
                </c:pt>
                <c:pt idx="540">
                  <c:v>5.7696028340144717E-42</c:v>
                </c:pt>
                <c:pt idx="541">
                  <c:v>1.2174988804059522E-44</c:v>
                </c:pt>
                <c:pt idx="542">
                  <c:v>2.1702767836141359E-47</c:v>
                </c:pt>
                <c:pt idx="543">
                  <c:v>3.2680265835785758E-50</c:v>
                </c:pt>
                <c:pt idx="544">
                  <c:v>4.1569991774534007E-53</c:v>
                </c:pt>
                <c:pt idx="545">
                  <c:v>4.4668173922272065E-56</c:v>
                </c:pt>
                <c:pt idx="546">
                  <c:v>4.0545285260022227E-59</c:v>
                </c:pt>
                <c:pt idx="547">
                  <c:v>3.1088976460454452E-62</c:v>
                </c:pt>
                <c:pt idx="548">
                  <c:v>2.0137075099494732E-65</c:v>
                </c:pt>
                <c:pt idx="549">
                  <c:v>1.1018190004877522E-68</c:v>
                </c:pt>
                <c:pt idx="550">
                  <c:v>5.0926992183859923E-72</c:v>
                </c:pt>
                <c:pt idx="551">
                  <c:v>1.9884272143303265E-75</c:v>
                </c:pt>
                <c:pt idx="552">
                  <c:v>6.5583602970112813E-79</c:v>
                </c:pt>
                <c:pt idx="553">
                  <c:v>1.8272785123285589E-82</c:v>
                </c:pt>
                <c:pt idx="554">
                  <c:v>4.3006898555418669E-86</c:v>
                </c:pt>
                <c:pt idx="555">
                  <c:v>8.5505766354377178E-90</c:v>
                </c:pt>
                <c:pt idx="556">
                  <c:v>1.4360732246275175E-93</c:v>
                </c:pt>
                <c:pt idx="557">
                  <c:v>2.0374251745539345E-97</c:v>
                </c:pt>
                <c:pt idx="558">
                  <c:v>2.4418031691884993E-101</c:v>
                </c:pt>
                <c:pt idx="559">
                  <c:v>2.472085800432603E-105</c:v>
                </c:pt>
                <c:pt idx="560">
                  <c:v>2.118080658538186E-109</c:v>
                </c:pt>
                <c:pt idx="561">
                  <c:v>4.0698659240861852E-108</c:v>
                </c:pt>
                <c:pt idx="562">
                  <c:v>3.6060668430903604E-104</c:v>
                </c:pt>
                <c:pt idx="563">
                  <c:v>2.7188611940084216E-100</c:v>
                </c:pt>
                <c:pt idx="564">
                  <c:v>1.7443686093827536E-96</c:v>
                </c:pt>
                <c:pt idx="565">
                  <c:v>9.5232997160380285E-93</c:v>
                </c:pt>
                <c:pt idx="566">
                  <c:v>4.4241985148606185E-89</c:v>
                </c:pt>
                <c:pt idx="567">
                  <c:v>1.7489593753694808E-85</c:v>
                </c:pt>
                <c:pt idx="568">
                  <c:v>5.8833244772093348E-82</c:v>
                </c:pt>
                <c:pt idx="569">
                  <c:v>1.6840843648931922E-78</c:v>
                </c:pt>
                <c:pt idx="570">
                  <c:v>4.1020679458694849E-75</c:v>
                </c:pt>
                <c:pt idx="571">
                  <c:v>8.5023664426480805E-72</c:v>
                </c:pt>
                <c:pt idx="572">
                  <c:v>1.4995976488074276E-68</c:v>
                </c:pt>
                <c:pt idx="573">
                  <c:v>2.250648359044077E-65</c:v>
                </c:pt>
                <c:pt idx="574">
                  <c:v>2.8743424229057789E-62</c:v>
                </c:pt>
                <c:pt idx="575">
                  <c:v>3.1236856790561203E-59</c:v>
                </c:pt>
                <c:pt idx="576">
                  <c:v>2.888644593927073E-56</c:v>
                </c:pt>
                <c:pt idx="577">
                  <c:v>2.2731016624423055E-53</c:v>
                </c:pt>
                <c:pt idx="578">
                  <c:v>1.5220943396851063E-50</c:v>
                </c:pt>
                <c:pt idx="579">
                  <c:v>8.6728581928941711E-48</c:v>
                </c:pt>
                <c:pt idx="580">
                  <c:v>4.2051441053463942E-45</c:v>
                </c:pt>
                <c:pt idx="581">
                  <c:v>1.7349920297279308E-42</c:v>
                </c:pt>
                <c:pt idx="582">
                  <c:v>6.0913288772102177E-40</c:v>
                </c:pt>
                <c:pt idx="583">
                  <c:v>1.8198038329829423E-37</c:v>
                </c:pt>
                <c:pt idx="584">
                  <c:v>4.6263135715153033E-35</c:v>
                </c:pt>
                <c:pt idx="585">
                  <c:v>1.0007912959725391E-32</c:v>
                </c:pt>
                <c:pt idx="586">
                  <c:v>1.8422558167459915E-30</c:v>
                </c:pt>
                <c:pt idx="587">
                  <c:v>2.8857208443433756E-28</c:v>
                </c:pt>
                <c:pt idx="588">
                  <c:v>3.8464196064848439E-26</c:v>
                </c:pt>
                <c:pt idx="589">
                  <c:v>4.3627162366738644E-24</c:v>
                </c:pt>
                <c:pt idx="590">
                  <c:v>4.2107090699682216E-22</c:v>
                </c:pt>
                <c:pt idx="591">
                  <c:v>3.4582108466191907E-20</c:v>
                </c:pt>
                <c:pt idx="592">
                  <c:v>2.4168275594977697E-18</c:v>
                </c:pt>
                <c:pt idx="593">
                  <c:v>1.4372682233120595E-16</c:v>
                </c:pt>
                <c:pt idx="594">
                  <c:v>7.2732404640254931E-15</c:v>
                </c:pt>
                <c:pt idx="595">
                  <c:v>3.131958737989167E-13</c:v>
                </c:pt>
                <c:pt idx="596">
                  <c:v>1.1476304969106801E-11</c:v>
                </c:pt>
                <c:pt idx="597">
                  <c:v>3.5783769901546236E-10</c:v>
                </c:pt>
                <c:pt idx="598">
                  <c:v>9.4944118725579997E-9</c:v>
                </c:pt>
                <c:pt idx="599">
                  <c:v>2.1436210153149504E-7</c:v>
                </c:pt>
                <c:pt idx="600">
                  <c:v>4.118375177303809E-6</c:v>
                </c:pt>
                <c:pt idx="601">
                  <c:v>6.7328939252726542E-5</c:v>
                </c:pt>
                <c:pt idx="602">
                  <c:v>9.3664625338541212E-4</c:v>
                </c:pt>
                <c:pt idx="603">
                  <c:v>1.1087851260056823E-2</c:v>
                </c:pt>
                <c:pt idx="604">
                  <c:v>0.11169073417690763</c:v>
                </c:pt>
                <c:pt idx="605">
                  <c:v>0.9573811298222773</c:v>
                </c:pt>
                <c:pt idx="606">
                  <c:v>6.9831367021580224</c:v>
                </c:pt>
                <c:pt idx="607">
                  <c:v>43.342522945607726</c:v>
                </c:pt>
                <c:pt idx="608">
                  <c:v>228.91581354484171</c:v>
                </c:pt>
                <c:pt idx="609">
                  <c:v>1028.8104458050918</c:v>
                </c:pt>
                <c:pt idx="610">
                  <c:v>3934.5303398285755</c:v>
                </c:pt>
                <c:pt idx="611">
                  <c:v>12804.080479731047</c:v>
                </c:pt>
                <c:pt idx="612">
                  <c:v>35456.989198800773</c:v>
                </c:pt>
                <c:pt idx="613">
                  <c:v>83551.312794078185</c:v>
                </c:pt>
                <c:pt idx="614">
                  <c:v>167533.88681963659</c:v>
                </c:pt>
                <c:pt idx="615">
                  <c:v>285857.77811323793</c:v>
                </c:pt>
                <c:pt idx="616">
                  <c:v>415045.13381771953</c:v>
                </c:pt>
                <c:pt idx="617">
                  <c:v>512788.8839742592</c:v>
                </c:pt>
                <c:pt idx="618">
                  <c:v>539113.04562464287</c:v>
                </c:pt>
                <c:pt idx="619">
                  <c:v>482301.97832548211</c:v>
                </c:pt>
                <c:pt idx="620">
                  <c:v>367160.71651032206</c:v>
                </c:pt>
                <c:pt idx="621">
                  <c:v>237843.52746169528</c:v>
                </c:pt>
                <c:pt idx="622">
                  <c:v>131106.56199197989</c:v>
                </c:pt>
                <c:pt idx="623">
                  <c:v>61497.220024603645</c:v>
                </c:pt>
                <c:pt idx="624">
                  <c:v>24546.213205238106</c:v>
                </c:pt>
                <c:pt idx="625">
                  <c:v>8337.0322880711756</c:v>
                </c:pt>
                <c:pt idx="626">
                  <c:v>2409.5526925949434</c:v>
                </c:pt>
                <c:pt idx="627">
                  <c:v>592.59684601380241</c:v>
                </c:pt>
                <c:pt idx="628">
                  <c:v>124.01671020098044</c:v>
                </c:pt>
                <c:pt idx="629">
                  <c:v>22.08508325155308</c:v>
                </c:pt>
                <c:pt idx="630">
                  <c:v>3.3466927122916363</c:v>
                </c:pt>
                <c:pt idx="631">
                  <c:v>0.43154948083673322</c:v>
                </c:pt>
                <c:pt idx="632">
                  <c:v>4.7352544638894919E-2</c:v>
                </c:pt>
                <c:pt idx="633">
                  <c:v>4.4213409741570321E-3</c:v>
                </c:pt>
                <c:pt idx="634">
                  <c:v>3.5128746981454197E-4</c:v>
                </c:pt>
                <c:pt idx="635">
                  <c:v>2.3750309437743015E-5</c:v>
                </c:pt>
                <c:pt idx="636">
                  <c:v>1.3663874006530668E-6</c:v>
                </c:pt>
                <c:pt idx="637">
                  <c:v>6.6892339980698359E-8</c:v>
                </c:pt>
                <c:pt idx="638">
                  <c:v>2.7866144911262743E-9</c:v>
                </c:pt>
                <c:pt idx="639">
                  <c:v>9.8781440996850747E-11</c:v>
                </c:pt>
                <c:pt idx="640">
                  <c:v>2.9796948233341877E-12</c:v>
                </c:pt>
                <c:pt idx="641">
                  <c:v>7.6483222655193707E-14</c:v>
                </c:pt>
                <c:pt idx="642">
                  <c:v>1.6705463677602479E-15</c:v>
                </c:pt>
                <c:pt idx="643">
                  <c:v>3.1049088356371003E-17</c:v>
                </c:pt>
                <c:pt idx="644">
                  <c:v>4.9106291237763162E-19</c:v>
                </c:pt>
                <c:pt idx="645">
                  <c:v>6.6088117356967845E-21</c:v>
                </c:pt>
                <c:pt idx="646">
                  <c:v>7.5684611978215944E-23</c:v>
                </c:pt>
                <c:pt idx="647">
                  <c:v>7.3754710091966592E-25</c:v>
                </c:pt>
                <c:pt idx="648">
                  <c:v>6.1160340555854748E-27</c:v>
                </c:pt>
                <c:pt idx="649">
                  <c:v>4.3156676569630532E-29</c:v>
                </c:pt>
                <c:pt idx="650">
                  <c:v>2.5913379425765989E-31</c:v>
                </c:pt>
                <c:pt idx="651">
                  <c:v>1.3240307709362732E-33</c:v>
                </c:pt>
                <c:pt idx="652">
                  <c:v>5.7566531865906345E-36</c:v>
                </c:pt>
                <c:pt idx="653">
                  <c:v>2.1298058548566666E-38</c:v>
                </c:pt>
                <c:pt idx="654">
                  <c:v>6.705141240302564E-41</c:v>
                </c:pt>
                <c:pt idx="655">
                  <c:v>1.7962790615959865E-43</c:v>
                </c:pt>
                <c:pt idx="656">
                  <c:v>4.0948467022321721E-46</c:v>
                </c:pt>
                <c:pt idx="657">
                  <c:v>7.9432723112943439E-49</c:v>
                </c:pt>
                <c:pt idx="658">
                  <c:v>1.3111706462955516E-51</c:v>
                </c:pt>
                <c:pt idx="659">
                  <c:v>1.8416917718190351E-54</c:v>
                </c:pt>
                <c:pt idx="660">
                  <c:v>2.201266583689276E-57</c:v>
                </c:pt>
                <c:pt idx="661">
                  <c:v>2.2388566999882369E-60</c:v>
                </c:pt>
                <c:pt idx="662">
                  <c:v>1.9376615279789516E-63</c:v>
                </c:pt>
                <c:pt idx="663">
                  <c:v>1.4270115856955113E-66</c:v>
                </c:pt>
                <c:pt idx="664">
                  <c:v>8.9428314385183687E-70</c:v>
                </c:pt>
                <c:pt idx="665">
                  <c:v>4.7689256751707829E-73</c:v>
                </c:pt>
                <c:pt idx="666">
                  <c:v>2.1640337320823401E-76</c:v>
                </c:pt>
                <c:pt idx="667">
                  <c:v>8.3561352643161085E-80</c:v>
                </c:pt>
                <c:pt idx="668">
                  <c:v>2.7456480087490784E-83</c:v>
                </c:pt>
                <c:pt idx="669">
                  <c:v>7.6768352739176098E-87</c:v>
                </c:pt>
                <c:pt idx="670">
                  <c:v>1.8264910428604082E-90</c:v>
                </c:pt>
                <c:pt idx="671">
                  <c:v>3.6978631508705105E-94</c:v>
                </c:pt>
                <c:pt idx="672">
                  <c:v>6.3706256556452872E-98</c:v>
                </c:pt>
                <c:pt idx="673">
                  <c:v>9.339234940613314E-102</c:v>
                </c:pt>
                <c:pt idx="674">
                  <c:v>1.1650336744377747E-105</c:v>
                </c:pt>
                <c:pt idx="675">
                  <c:v>1.2366978888710311E-109</c:v>
                </c:pt>
                <c:pt idx="676">
                  <c:v>1.1170862945642039E-113</c:v>
                </c:pt>
                <c:pt idx="677">
                  <c:v>8.5863342514302466E-118</c:v>
                </c:pt>
                <c:pt idx="678">
                  <c:v>5.6159964075097582E-122</c:v>
                </c:pt>
                <c:pt idx="679">
                  <c:v>3.1256749699884706E-126</c:v>
                </c:pt>
                <c:pt idx="680">
                  <c:v>1.4803307885004614E-130</c:v>
                </c:pt>
                <c:pt idx="681">
                  <c:v>5.9658412396188708E-135</c:v>
                </c:pt>
                <c:pt idx="682">
                  <c:v>2.0458913925016958E-139</c:v>
                </c:pt>
                <c:pt idx="683">
                  <c:v>5.9702349379692348E-144</c:v>
                </c:pt>
                <c:pt idx="684">
                  <c:v>1.4825120473534859E-148</c:v>
                </c:pt>
                <c:pt idx="685">
                  <c:v>3.1325860102502258E-153</c:v>
                </c:pt>
                <c:pt idx="686">
                  <c:v>5.6325588773136516E-158</c:v>
                </c:pt>
                <c:pt idx="687">
                  <c:v>8.6179989993590572E-163</c:v>
                </c:pt>
                <c:pt idx="688">
                  <c:v>1.1220316349195995E-167</c:v>
                </c:pt>
                <c:pt idx="689">
                  <c:v>1.2430875799878102E-172</c:v>
                </c:pt>
                <c:pt idx="690">
                  <c:v>1.17191554789343E-177</c:v>
                </c:pt>
                <c:pt idx="691">
                  <c:v>9.4013207087744663E-183</c:v>
                </c:pt>
                <c:pt idx="692">
                  <c:v>6.4176995779342259E-188</c:v>
                </c:pt>
                <c:pt idx="693">
                  <c:v>3.727930967339345E-193</c:v>
                </c:pt>
                <c:pt idx="694">
                  <c:v>1.8426985885236052E-198</c:v>
                </c:pt>
                <c:pt idx="695">
                  <c:v>7.7506603911363425E-204</c:v>
                </c:pt>
                <c:pt idx="696">
                  <c:v>2.7740933793579557E-209</c:v>
                </c:pt>
                <c:pt idx="697">
                  <c:v>8.4489240669546956E-215</c:v>
                </c:pt>
                <c:pt idx="698">
                  <c:v>2.1896752084846902E-220</c:v>
                </c:pt>
                <c:pt idx="699">
                  <c:v>4.8289861391252221E-226</c:v>
                </c:pt>
                <c:pt idx="700">
                  <c:v>9.0621277361598801E-232</c:v>
                </c:pt>
                <c:pt idx="701">
                  <c:v>1.4471127282405591E-237</c:v>
                </c:pt>
                <c:pt idx="702">
                  <c:v>1.9664029202948382E-243</c:v>
                </c:pt>
                <c:pt idx="703">
                  <c:v>2.2737390511152335E-249</c:v>
                </c:pt>
                <c:pt idx="704">
                  <c:v>2.2372097031109861E-255</c:v>
                </c:pt>
                <c:pt idx="705">
                  <c:v>1.8731421255322071E-261</c:v>
                </c:pt>
                <c:pt idx="706">
                  <c:v>1.3345434889738333E-267</c:v>
                </c:pt>
                <c:pt idx="707">
                  <c:v>8.0908228779090091E-274</c:v>
                </c:pt>
                <c:pt idx="708">
                  <c:v>4.1739824631245045E-280</c:v>
                </c:pt>
                <c:pt idx="709">
                  <c:v>1.8323418864831252E-286</c:v>
                </c:pt>
                <c:pt idx="710">
                  <c:v>6.8447936833074179E-293</c:v>
                </c:pt>
                <c:pt idx="711">
                  <c:v>2.1757659600442366E-299</c:v>
                </c:pt>
                <c:pt idx="712">
                  <c:v>5.8852099007615256E-306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'Fatores de forma'!$Z$1:$Z$2</c:f>
              <c:strCache>
                <c:ptCount val="1"/>
                <c:pt idx="0">
                  <c:v>BaTiO3 H_h(10nm)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forma'!$Z$3:$Z$803</c:f>
              <c:numCache>
                <c:formatCode>0.00000</c:formatCode>
                <c:ptCount val="801"/>
                <c:pt idx="0">
                  <c:v>196.2091629099022</c:v>
                </c:pt>
                <c:pt idx="1">
                  <c:v>271.56246256111217</c:v>
                </c:pt>
                <c:pt idx="2">
                  <c:v>372.9995091475447</c:v>
                </c:pt>
                <c:pt idx="3">
                  <c:v>508.43431148742701</c:v>
                </c:pt>
                <c:pt idx="4">
                  <c:v>687.77994894692176</c:v>
                </c:pt>
                <c:pt idx="5">
                  <c:v>923.31999123057926</c:v>
                </c:pt>
                <c:pt idx="6">
                  <c:v>1230.1074130674808</c:v>
                </c:pt>
                <c:pt idx="7">
                  <c:v>1626.3795369754464</c:v>
                </c:pt>
                <c:pt idx="8">
                  <c:v>2133.9725850977961</c:v>
                </c:pt>
                <c:pt idx="9">
                  <c:v>2778.7139343234649</c:v>
                </c:pt>
                <c:pt idx="10">
                  <c:v>3590.764399787648</c:v>
                </c:pt>
                <c:pt idx="11">
                  <c:v>4604.8771804674025</c:v>
                </c:pt>
                <c:pt idx="12">
                  <c:v>5860.5349554048044</c:v>
                </c:pt>
                <c:pt idx="13">
                  <c:v>7401.9225865473481</c:v>
                </c:pt>
                <c:pt idx="14">
                  <c:v>9277.6906048982619</c:v>
                </c:pt>
                <c:pt idx="15">
                  <c:v>11540.464806826109</c:v>
                </c:pt>
                <c:pt idx="16">
                  <c:v>14246.060525410261</c:v>
                </c:pt>
                <c:pt idx="17">
                  <c:v>17452.367041698264</c:v>
                </c:pt>
                <c:pt idx="18">
                  <c:v>21217.87857657831</c:v>
                </c:pt>
                <c:pt idx="19">
                  <c:v>25599.863529750419</c:v>
                </c:pt>
                <c:pt idx="20">
                  <c:v>30652.182967155273</c:v>
                </c:pt>
                <c:pt idx="21">
                  <c:v>36422.792284576477</c:v>
                </c:pt>
                <c:pt idx="22">
                  <c:v>42950.985560217305</c:v>
                </c:pt>
                <c:pt idx="23">
                  <c:v>50264.468999443736</c:v>
                </c:pt>
                <c:pt idx="24">
                  <c:v>58376.376331597407</c:v>
                </c:pt>
                <c:pt idx="25">
                  <c:v>67282.362997743388</c:v>
                </c:pt>
                <c:pt idx="26">
                  <c:v>76957.935246575638</c:v>
                </c:pt>
                <c:pt idx="27">
                  <c:v>87356.182599297317</c:v>
                </c:pt>
                <c:pt idx="28">
                  <c:v>98406.085505971103</c:v>
                </c:pt>
                <c:pt idx="29">
                  <c:v>110011.56274908071</c:v>
                </c:pt>
                <c:pt idx="30">
                  <c:v>122051.40421782593</c:v>
                </c:pt>
                <c:pt idx="31">
                  <c:v>134380.20383301601</c:v>
                </c:pt>
                <c:pt idx="32">
                  <c:v>146830.36532359241</c:v>
                </c:pt>
                <c:pt idx="33">
                  <c:v>159215.20190058</c:v>
                </c:pt>
                <c:pt idx="34">
                  <c:v>171333.09225782592</c:v>
                </c:pt>
                <c:pt idx="35">
                  <c:v>182972.59320254892</c:v>
                </c:pt>
                <c:pt idx="36">
                  <c:v>193918.34765730586</c:v>
                </c:pt>
                <c:pt idx="37">
                  <c:v>203957.5701838689</c:v>
                </c:pt>
                <c:pt idx="38">
                  <c:v>212886.84494374585</c:v>
                </c:pt>
                <c:pt idx="39">
                  <c:v>220518.9371159471</c:v>
                </c:pt>
                <c:pt idx="40">
                  <c:v>226689.30145791944</c:v>
                </c:pt>
                <c:pt idx="41">
                  <c:v>231261.97304656936</c:v>
                </c:pt>
                <c:pt idx="42">
                  <c:v>234134.54606656762</c:v>
                </c:pt>
                <c:pt idx="43">
                  <c:v>235241.98615324846</c:v>
                </c:pt>
                <c:pt idx="44">
                  <c:v>234559.07811356767</c:v>
                </c:pt>
                <c:pt idx="45">
                  <c:v>232101.38037534547</c:v>
                </c:pt>
                <c:pt idx="46">
                  <c:v>227924.63571343935</c:v>
                </c:pt>
                <c:pt idx="47">
                  <c:v>222122.66942002819</c:v>
                </c:pt>
                <c:pt idx="48">
                  <c:v>214823.88559062482</c:v>
                </c:pt>
                <c:pt idx="49">
                  <c:v>206186.54422839236</c:v>
                </c:pt>
                <c:pt idx="50">
                  <c:v>196393.06168270102</c:v>
                </c:pt>
                <c:pt idx="51">
                  <c:v>185643.62078551634</c:v>
                </c:pt>
                <c:pt idx="52">
                  <c:v>174149.40246405225</c:v>
                </c:pt>
                <c:pt idx="53">
                  <c:v>162125.75656796744</c:v>
                </c:pt>
                <c:pt idx="54">
                  <c:v>149785.61660747661</c:v>
                </c:pt>
                <c:pt idx="55">
                  <c:v>137333.4328828594</c:v>
                </c:pt>
                <c:pt idx="56">
                  <c:v>124959.85408122803</c:v>
                </c:pt>
                <c:pt idx="57">
                  <c:v>112837.33265915897</c:v>
                </c:pt>
                <c:pt idx="58">
                  <c:v>101116.76854478562</c:v>
                </c:pt>
                <c:pt idx="59">
                  <c:v>89925.243314107269</c:v>
                </c:pt>
                <c:pt idx="60">
                  <c:v>79364.837206061522</c:v>
                </c:pt>
                <c:pt idx="61">
                  <c:v>69512.467761293665</c:v>
                </c:pt>
                <c:pt idx="62">
                  <c:v>60420.644328794297</c:v>
                </c:pt>
                <c:pt idx="63">
                  <c:v>52118.999074454194</c:v>
                </c:pt>
                <c:pt idx="64">
                  <c:v>44616.433353335357</c:v>
                </c:pt>
                <c:pt idx="65">
                  <c:v>37903.708336626703</c:v>
                </c:pt>
                <c:pt idx="66">
                  <c:v>31956.309750807781</c:v>
                </c:pt>
                <c:pt idx="67">
                  <c:v>26737.426970463195</c:v>
                </c:pt>
                <c:pt idx="68">
                  <c:v>22200.904535974507</c:v>
                </c:pt>
                <c:pt idx="69">
                  <c:v>18294.047234401871</c:v>
                </c:pt>
                <c:pt idx="70">
                  <c:v>14960.185944186789</c:v>
                </c:pt>
                <c:pt idx="71">
                  <c:v>12140.938402226404</c:v>
                </c:pt>
                <c:pt idx="72">
                  <c:v>9778.12508490043</c:v>
                </c:pt>
                <c:pt idx="73">
                  <c:v>7815.3240529403056</c:v>
                </c:pt>
                <c:pt idx="74">
                  <c:v>6199.0688600244121</c:v>
                </c:pt>
                <c:pt idx="75">
                  <c:v>4879.7098528300421</c:v>
                </c:pt>
                <c:pt idx="76">
                  <c:v>3811.971170501371</c:v>
                </c:pt>
                <c:pt idx="77">
                  <c:v>2955.243589874206</c:v>
                </c:pt>
                <c:pt idx="78">
                  <c:v>2273.6574234230202</c:v>
                </c:pt>
                <c:pt idx="79">
                  <c:v>1735.980502918316</c:v>
                </c:pt>
                <c:pt idx="80">
                  <c:v>1315.3845180446299</c:v>
                </c:pt>
                <c:pt idx="81">
                  <c:v>989.11930307986654</c:v>
                </c:pt>
                <c:pt idx="82">
                  <c:v>738.12972929718967</c:v>
                </c:pt>
                <c:pt idx="83">
                  <c:v>546.6442527697277</c:v>
                </c:pt>
                <c:pt idx="84">
                  <c:v>401.75837989039672</c:v>
                </c:pt>
                <c:pt idx="85">
                  <c:v>293.03073229125329</c:v>
                </c:pt>
                <c:pt idx="86">
                  <c:v>212.10429628708704</c:v>
                </c:pt>
                <c:pt idx="87">
                  <c:v>152.36100520747786</c:v>
                </c:pt>
                <c:pt idx="88">
                  <c:v>108.6141134810044</c:v>
                </c:pt>
                <c:pt idx="89">
                  <c:v>76.839895055051201</c:v>
                </c:pt>
                <c:pt idx="90">
                  <c:v>53.947998036384021</c:v>
                </c:pt>
                <c:pt idx="91">
                  <c:v>37.588238318916979</c:v>
                </c:pt>
                <c:pt idx="92">
                  <c:v>25.990622366529042</c:v>
                </c:pt>
                <c:pt idx="93">
                  <c:v>17.834849764276314</c:v>
                </c:pt>
                <c:pt idx="94">
                  <c:v>12.145357426229017</c:v>
                </c:pt>
                <c:pt idx="95">
                  <c:v>8.2080352675566886</c:v>
                </c:pt>
                <c:pt idx="96">
                  <c:v>5.5049857124236992</c:v>
                </c:pt>
                <c:pt idx="97">
                  <c:v>3.6640487829644157</c:v>
                </c:pt>
                <c:pt idx="98">
                  <c:v>2.4202173334172419</c:v>
                </c:pt>
                <c:pt idx="99">
                  <c:v>1.5864834849308116</c:v>
                </c:pt>
                <c:pt idx="100">
                  <c:v>1.032059682802595</c:v>
                </c:pt>
                <c:pt idx="101">
                  <c:v>0.66628822572911028</c:v>
                </c:pt>
                <c:pt idx="102">
                  <c:v>0.42688169606804854</c:v>
                </c:pt>
                <c:pt idx="103">
                  <c:v>0.2714194692075102</c:v>
                </c:pt>
                <c:pt idx="104">
                  <c:v>0.1712625984529953</c:v>
                </c:pt>
                <c:pt idx="105">
                  <c:v>0.10724378414865547</c:v>
                </c:pt>
                <c:pt idx="106">
                  <c:v>6.6645341774099864E-2</c:v>
                </c:pt>
                <c:pt idx="107">
                  <c:v>4.1101298044311001E-2</c:v>
                </c:pt>
                <c:pt idx="108">
                  <c:v>2.515529095288185E-2</c:v>
                </c:pt>
                <c:pt idx="109">
                  <c:v>1.5278869469310209E-2</c:v>
                </c:pt>
                <c:pt idx="110">
                  <c:v>9.2096084235743624E-3</c:v>
                </c:pt>
                <c:pt idx="111">
                  <c:v>5.5090812604618568E-3</c:v>
                </c:pt>
                <c:pt idx="112">
                  <c:v>3.2704330300940333E-3</c:v>
                </c:pt>
                <c:pt idx="113">
                  <c:v>1.9267235735808074E-3</c:v>
                </c:pt>
                <c:pt idx="114">
                  <c:v>1.1264751883954044E-3</c:v>
                </c:pt>
                <c:pt idx="115">
                  <c:v>6.5359981197710951E-4</c:v>
                </c:pt>
                <c:pt idx="116">
                  <c:v>3.7634857455856873E-4</c:v>
                </c:pt>
                <c:pt idx="117">
                  <c:v>2.1505854393163168E-4</c:v>
                </c:pt>
                <c:pt idx="118">
                  <c:v>1.2195825320810403E-4</c:v>
                </c:pt>
                <c:pt idx="119">
                  <c:v>6.8636283358219523E-5</c:v>
                </c:pt>
                <c:pt idx="120">
                  <c:v>3.8334022248219688E-5</c:v>
                </c:pt>
                <c:pt idx="121">
                  <c:v>2.1247267822149334E-5</c:v>
                </c:pt>
                <c:pt idx="122">
                  <c:v>1.1687183585058207E-5</c:v>
                </c:pt>
                <c:pt idx="123">
                  <c:v>6.3797656051022385E-6</c:v>
                </c:pt>
                <c:pt idx="124">
                  <c:v>3.4561111876470602E-6</c:v>
                </c:pt>
                <c:pt idx="125">
                  <c:v>1.8580568191151133E-6</c:v>
                </c:pt>
                <c:pt idx="126">
                  <c:v>9.913323725304989E-7</c:v>
                </c:pt>
                <c:pt idx="127">
                  <c:v>5.2489385289929751E-7</c:v>
                </c:pt>
                <c:pt idx="128">
                  <c:v>2.7582098052795399E-7</c:v>
                </c:pt>
                <c:pt idx="129">
                  <c:v>1.4385807824621703E-7</c:v>
                </c:pt>
                <c:pt idx="130">
                  <c:v>7.4504960568891764E-8</c:v>
                </c:pt>
                <c:pt idx="131">
                  <c:v>3.8384937087741965E-8</c:v>
                </c:pt>
                <c:pt idx="132">
                  <c:v>1.9814981935908451E-8</c:v>
                </c:pt>
                <c:pt idx="133">
                  <c:v>1.0538961187011948E-8</c:v>
                </c:pt>
                <c:pt idx="134">
                  <c:v>6.3439342097075205E-9</c:v>
                </c:pt>
                <c:pt idx="135">
                  <c:v>5.2942641961548071E-9</c:v>
                </c:pt>
                <c:pt idx="136">
                  <c:v>6.9072554578931036E-9</c:v>
                </c:pt>
                <c:pt idx="137">
                  <c:v>1.1949549619862861E-8</c:v>
                </c:pt>
                <c:pt idx="138">
                  <c:v>2.2776548113748337E-8</c:v>
                </c:pt>
                <c:pt idx="139">
                  <c:v>4.4353820881667903E-8</c:v>
                </c:pt>
                <c:pt idx="140">
                  <c:v>8.6368269205580103E-8</c:v>
                </c:pt>
                <c:pt idx="141">
                  <c:v>1.67253875641925E-7</c:v>
                </c:pt>
                <c:pt idx="142">
                  <c:v>3.2166671725680911E-7</c:v>
                </c:pt>
                <c:pt idx="143">
                  <c:v>6.1418401179737702E-7</c:v>
                </c:pt>
                <c:pt idx="144">
                  <c:v>1.1641731046966527E-6</c:v>
                </c:pt>
                <c:pt idx="145">
                  <c:v>2.1905567378209383E-6</c:v>
                </c:pt>
                <c:pt idx="146">
                  <c:v>4.0917320289422757E-6</c:v>
                </c:pt>
                <c:pt idx="147">
                  <c:v>7.5870870026222963E-6</c:v>
                </c:pt>
                <c:pt idx="148">
                  <c:v>1.3965549169615784E-5</c:v>
                </c:pt>
                <c:pt idx="149">
                  <c:v>2.5518551185980665E-5</c:v>
                </c:pt>
                <c:pt idx="150">
                  <c:v>4.6288066786675428E-5</c:v>
                </c:pt>
                <c:pt idx="151">
                  <c:v>8.3348368649113896E-5</c:v>
                </c:pt>
                <c:pt idx="152">
                  <c:v>1.4898419417430902E-4</c:v>
                </c:pt>
                <c:pt idx="153">
                  <c:v>2.643615684376958E-4</c:v>
                </c:pt>
                <c:pt idx="154">
                  <c:v>4.6566272427437663E-4</c:v>
                </c:pt>
                <c:pt idx="155">
                  <c:v>8.1425354966912383E-4</c:v>
                </c:pt>
                <c:pt idx="156">
                  <c:v>1.4133928096912926E-3</c:v>
                </c:pt>
                <c:pt idx="157">
                  <c:v>2.4354606997286756E-3</c:v>
                </c:pt>
                <c:pt idx="158">
                  <c:v>4.1659533778055664E-3</c:v>
                </c:pt>
                <c:pt idx="159">
                  <c:v>7.0739618931353054E-3</c:v>
                </c:pt>
                <c:pt idx="160">
                  <c:v>1.1924112307290201E-2</c:v>
                </c:pt>
                <c:pt idx="161">
                  <c:v>1.9952826711829841E-2</c:v>
                </c:pt>
                <c:pt idx="162">
                  <c:v>3.3143459271894299E-2</c:v>
                </c:pt>
                <c:pt idx="163">
                  <c:v>5.4652026502942132E-2</c:v>
                </c:pt>
                <c:pt idx="164">
                  <c:v>8.9460173638564788E-2</c:v>
                </c:pt>
                <c:pt idx="165">
                  <c:v>0.14536780556101103</c:v>
                </c:pt>
                <c:pt idx="166">
                  <c:v>0.23448861599961146</c:v>
                </c:pt>
                <c:pt idx="167">
                  <c:v>0.37548303830014856</c:v>
                </c:pt>
                <c:pt idx="168">
                  <c:v>0.59686197907019023</c:v>
                </c:pt>
                <c:pt idx="169">
                  <c:v>0.94183003721006542</c:v>
                </c:pt>
                <c:pt idx="170">
                  <c:v>1.4753198664207257</c:v>
                </c:pt>
                <c:pt idx="171">
                  <c:v>2.2941133667233902</c:v>
                </c:pt>
                <c:pt idx="172">
                  <c:v>3.5412663386596304</c:v>
                </c:pt>
                <c:pt idx="173">
                  <c:v>5.4264691504593259</c:v>
                </c:pt>
                <c:pt idx="174">
                  <c:v>8.25450655352879</c:v>
                </c:pt>
                <c:pt idx="175">
                  <c:v>12.46464534614514</c:v>
                </c:pt>
                <c:pt idx="176">
                  <c:v>18.68459835908342</c:v>
                </c:pt>
                <c:pt idx="177">
                  <c:v>27.803702863342284</c:v>
                </c:pt>
                <c:pt idx="178">
                  <c:v>41.071119569374481</c:v>
                </c:pt>
                <c:pt idx="179">
                  <c:v>60.226201902227302</c:v>
                </c:pt>
                <c:pt idx="180">
                  <c:v>87.6696839830784</c:v>
                </c:pt>
                <c:pt idx="181">
                  <c:v>126.68594565996837</c:v>
                </c:pt>
                <c:pt idx="182">
                  <c:v>181.72825872535276</c:v>
                </c:pt>
                <c:pt idx="183">
                  <c:v>258.78048601728244</c:v>
                </c:pt>
                <c:pt idx="184">
                  <c:v>365.8100343651148</c:v>
                </c:pt>
                <c:pt idx="185">
                  <c:v>513.3277417610966</c:v>
                </c:pt>
                <c:pt idx="186">
                  <c:v>715.07054303293614</c:v>
                </c:pt>
                <c:pt idx="187">
                  <c:v>988.82188869407059</c:v>
                </c:pt>
                <c:pt idx="188">
                  <c:v>1357.3826264092777</c:v>
                </c:pt>
                <c:pt idx="189">
                  <c:v>1849.7010033928425</c:v>
                </c:pt>
                <c:pt idx="190">
                  <c:v>2502.1642183174449</c:v>
                </c:pt>
                <c:pt idx="191">
                  <c:v>3360.0451838038948</c:v>
                </c:pt>
                <c:pt idx="192">
                  <c:v>4479.0865764209557</c:v>
                </c:pt>
                <c:pt idx="193">
                  <c:v>5927.1897079849441</c:v>
                </c:pt>
                <c:pt idx="194">
                  <c:v>7786.1583070294928</c:v>
                </c:pt>
                <c:pt idx="195">
                  <c:v>10153.42727494037</c:v>
                </c:pt>
                <c:pt idx="196">
                  <c:v>13143.684526485129</c:v>
                </c:pt>
                <c:pt idx="197">
                  <c:v>16890.271164824797</c:v>
                </c:pt>
                <c:pt idx="198">
                  <c:v>21546.222906867268</c:v>
                </c:pt>
                <c:pt idx="199">
                  <c:v>27284.795698084345</c:v>
                </c:pt>
                <c:pt idx="200">
                  <c:v>34299.303026556736</c:v>
                </c:pt>
                <c:pt idx="201">
                  <c:v>42802.084019071342</c:v>
                </c:pt>
                <c:pt idx="202">
                  <c:v>53022.422551798372</c:v>
                </c:pt>
                <c:pt idx="203">
                  <c:v>65203.250828895507</c:v>
                </c:pt>
                <c:pt idx="204">
                  <c:v>79596.49834354069</c:v>
                </c:pt>
                <c:pt idx="205">
                  <c:v>96456.99040274648</c:v>
                </c:pt>
                <c:pt idx="206">
                  <c:v>116034.86014050004</c:v>
                </c:pt>
                <c:pt idx="207">
                  <c:v>138566.51366356658</c:v>
                </c:pt>
                <c:pt idx="208">
                  <c:v>164264.27777267905</c:v>
                </c:pt>
                <c:pt idx="209">
                  <c:v>193304.96013719114</c:v>
                </c:pt>
                <c:pt idx="210">
                  <c:v>225817.65785922942</c:v>
                </c:pt>
                <c:pt idx="211">
                  <c:v>261871.2555716873</c:v>
                </c:pt>
                <c:pt idx="212">
                  <c:v>301462.15091965965</c:v>
                </c:pt>
                <c:pt idx="213">
                  <c:v>344502.82508452871</c:v>
                </c:pt>
                <c:pt idx="214">
                  <c:v>390811.93038520036</c:v>
                </c:pt>
                <c:pt idx="215">
                  <c:v>440106.58795800916</c:v>
                </c:pt>
                <c:pt idx="216">
                  <c:v>491997.56944292871</c:v>
                </c:pt>
                <c:pt idx="217">
                  <c:v>545987.97297189594</c:v>
                </c:pt>
                <c:pt idx="218">
                  <c:v>601475.89385750715</c:v>
                </c:pt>
                <c:pt idx="219">
                  <c:v>657761.43585007777</c:v>
                </c:pt>
                <c:pt idx="220">
                  <c:v>714058.21493591997</c:v>
                </c:pt>
                <c:pt idx="221">
                  <c:v>769509.28328863578</c:v>
                </c:pt>
                <c:pt idx="222">
                  <c:v>823207.15835163975</c:v>
                </c:pt>
                <c:pt idx="223">
                  <c:v>874217.39593735419</c:v>
                </c:pt>
                <c:pt idx="224">
                  <c:v>921604.91312927066</c:v>
                </c:pt>
                <c:pt idx="225">
                  <c:v>964462.06353902374</c:v>
                </c:pt>
                <c:pt idx="226">
                  <c:v>1001937.3100305585</c:v>
                </c:pt>
                <c:pt idx="227">
                  <c:v>1033263.2419813796</c:v>
                </c:pt>
                <c:pt idx="228">
                  <c:v>1057782.6555165653</c:v>
                </c:pt>
                <c:pt idx="229">
                  <c:v>1074971.4613141876</c:v>
                </c:pt>
                <c:pt idx="230">
                  <c:v>1084457.3056395722</c:v>
                </c:pt>
                <c:pt idx="231">
                  <c:v>1086032.9807960668</c:v>
                </c:pt>
                <c:pt idx="232">
                  <c:v>1079663.9504808534</c:v>
                </c:pt>
                <c:pt idx="233">
                  <c:v>1065489.608347445</c:v>
                </c:pt>
                <c:pt idx="234">
                  <c:v>1043818.2057211417</c:v>
                </c:pt>
                <c:pt idx="235">
                  <c:v>1015115.7062395934</c:v>
                </c:pt>
                <c:pt idx="236">
                  <c:v>979989.13021456741</c:v>
                </c:pt>
                <c:pt idx="237">
                  <c:v>939165.22008530551</c:v>
                </c:pt>
                <c:pt idx="238">
                  <c:v>893465.47368888045</c:v>
                </c:pt>
                <c:pt idx="239">
                  <c:v>843778.74159245682</c:v>
                </c:pt>
                <c:pt idx="240">
                  <c:v>791032.6608462513</c:v>
                </c:pt>
                <c:pt idx="241">
                  <c:v>736165.19813751511</c:v>
                </c:pt>
                <c:pt idx="242">
                  <c:v>680097.5038067475</c:v>
                </c:pt>
                <c:pt idx="243">
                  <c:v>623709.14281320153</c:v>
                </c:pt>
                <c:pt idx="244">
                  <c:v>567816.5818293012</c:v>
                </c:pt>
                <c:pt idx="245">
                  <c:v>513155.58837334858</c:v>
                </c:pt>
                <c:pt idx="246">
                  <c:v>460367.95492186735</c:v>
                </c:pt>
                <c:pt idx="247">
                  <c:v>409992.71505210665</c:v>
                </c:pt>
                <c:pt idx="248">
                  <c:v>362461.78544652561</c:v>
                </c:pt>
                <c:pt idx="249">
                  <c:v>318099.76037403254</c:v>
                </c:pt>
                <c:pt idx="250">
                  <c:v>277127.41431011999</c:v>
                </c:pt>
                <c:pt idx="251">
                  <c:v>239668.34039391432</c:v>
                </c:pt>
                <c:pt idx="252">
                  <c:v>205758.07049705385</c:v>
                </c:pt>
                <c:pt idx="253">
                  <c:v>175354.98636038537</c:v>
                </c:pt>
                <c:pt idx="254">
                  <c:v>148352.33705925284</c:v>
                </c:pt>
                <c:pt idx="255">
                  <c:v>124590.72010180705</c:v>
                </c:pt>
                <c:pt idx="256">
                  <c:v>103870.45421000962</c:v>
                </c:pt>
                <c:pt idx="257">
                  <c:v>85963.362874790866</c:v>
                </c:pt>
                <c:pt idx="258">
                  <c:v>70623.590586250677</c:v>
                </c:pt>
                <c:pt idx="259">
                  <c:v>57597.18020901976</c:v>
                </c:pt>
                <c:pt idx="260">
                  <c:v>46630.24331958015</c:v>
                </c:pt>
                <c:pt idx="261">
                  <c:v>37475.649832385723</c:v>
                </c:pt>
                <c:pt idx="262">
                  <c:v>29898.244846658385</c:v>
                </c:pt>
                <c:pt idx="263">
                  <c:v>23678.666848180834</c:v>
                </c:pt>
                <c:pt idx="264">
                  <c:v>18615.891170308041</c:v>
                </c:pt>
                <c:pt idx="265">
                  <c:v>14528.656194069468</c:v>
                </c:pt>
                <c:pt idx="266">
                  <c:v>11255.948394346682</c:v>
                </c:pt>
                <c:pt idx="267">
                  <c:v>8656.7279823352092</c:v>
                </c:pt>
                <c:pt idx="268">
                  <c:v>6609.0719511097122</c:v>
                </c:pt>
                <c:pt idx="269">
                  <c:v>5008.8983703490476</c:v>
                </c:pt>
                <c:pt idx="270">
                  <c:v>3768.4173208418197</c:v>
                </c:pt>
                <c:pt idx="271">
                  <c:v>2814.4322181553675</c:v>
                </c:pt>
                <c:pt idx="272">
                  <c:v>2086.592429383807</c:v>
                </c:pt>
                <c:pt idx="273">
                  <c:v>1535.6756290139556</c:v>
                </c:pt>
                <c:pt idx="274">
                  <c:v>1121.9574535799968</c:v>
                </c:pt>
                <c:pt idx="275">
                  <c:v>813.70749306513255</c:v>
                </c:pt>
                <c:pt idx="276">
                  <c:v>585.834944748515</c:v>
                </c:pt>
                <c:pt idx="277">
                  <c:v>418.69450679602909</c:v>
                </c:pt>
                <c:pt idx="278">
                  <c:v>297.05323321706737</c:v>
                </c:pt>
                <c:pt idx="279">
                  <c:v>209.21187685721179</c:v>
                </c:pt>
                <c:pt idx="280">
                  <c:v>146.26937935507735</c:v>
                </c:pt>
                <c:pt idx="281">
                  <c:v>101.51624210740479</c:v>
                </c:pt>
                <c:pt idx="282">
                  <c:v>69.941135400612609</c:v>
                </c:pt>
                <c:pt idx="283">
                  <c:v>47.834898284009768</c:v>
                </c:pt>
                <c:pt idx="284">
                  <c:v>32.476712644083513</c:v>
                </c:pt>
                <c:pt idx="285">
                  <c:v>21.888414376810037</c:v>
                </c:pt>
                <c:pt idx="286">
                  <c:v>14.644399666266702</c:v>
                </c:pt>
                <c:pt idx="287">
                  <c:v>9.7262152509761997</c:v>
                </c:pt>
                <c:pt idx="288">
                  <c:v>6.4125566752869192</c:v>
                </c:pt>
                <c:pt idx="289">
                  <c:v>4.1969481236667701</c:v>
                </c:pt>
                <c:pt idx="290">
                  <c:v>2.7267860035477605</c:v>
                </c:pt>
                <c:pt idx="291">
                  <c:v>1.7586671614842135</c:v>
                </c:pt>
                <c:pt idx="292">
                  <c:v>1.1259824066065949</c:v>
                </c:pt>
                <c:pt idx="293">
                  <c:v>0.71564148119939175</c:v>
                </c:pt>
                <c:pt idx="294">
                  <c:v>0.45152008464888554</c:v>
                </c:pt>
                <c:pt idx="295">
                  <c:v>0.28280118563257128</c:v>
                </c:pt>
                <c:pt idx="296">
                  <c:v>0.1758417781341293</c:v>
                </c:pt>
                <c:pt idx="297">
                  <c:v>0.10855255328231685</c:v>
                </c:pt>
                <c:pt idx="298">
                  <c:v>6.6550469826124989E-2</c:v>
                </c:pt>
                <c:pt idx="299">
                  <c:v>4.0549681714251801E-2</c:v>
                </c:pt>
                <c:pt idx="300">
                  <c:v>2.4609148510009664E-2</c:v>
                </c:pt>
                <c:pt idx="301">
                  <c:v>1.4967562608835699E-2</c:v>
                </c:pt>
                <c:pt idx="302">
                  <c:v>9.2777945198659964E-3</c:v>
                </c:pt>
                <c:pt idx="303">
                  <c:v>6.1117188713696521E-3</c:v>
                </c:pt>
                <c:pt idx="304">
                  <c:v>4.6481857366597722E-3</c:v>
                </c:pt>
                <c:pt idx="305">
                  <c:v>4.4868052148364394E-3</c:v>
                </c:pt>
                <c:pt idx="306">
                  <c:v>5.5517818817323455E-3</c:v>
                </c:pt>
                <c:pt idx="307">
                  <c:v>8.0660989789729035E-3</c:v>
                </c:pt>
                <c:pt idx="308">
                  <c:v>1.2589135966010627E-2</c:v>
                </c:pt>
                <c:pt idx="309">
                  <c:v>2.0122131275722096E-2</c:v>
                </c:pt>
                <c:pt idx="310">
                  <c:v>3.2297371534431095E-2</c:v>
                </c:pt>
                <c:pt idx="311">
                  <c:v>5.168012162692711E-2</c:v>
                </c:pt>
                <c:pt idx="312">
                  <c:v>8.2228690785541944E-2</c:v>
                </c:pt>
                <c:pt idx="313">
                  <c:v>0.12997942571100546</c:v>
                </c:pt>
                <c:pt idx="314">
                  <c:v>0.20405189259667691</c:v>
                </c:pt>
                <c:pt idx="315">
                  <c:v>0.31810750343433308</c:v>
                </c:pt>
                <c:pt idx="316">
                  <c:v>0.49244526846423148</c:v>
                </c:pt>
                <c:pt idx="317">
                  <c:v>0.7569846344646195</c:v>
                </c:pt>
                <c:pt idx="318">
                  <c:v>1.1554714245317423</c:v>
                </c:pt>
                <c:pt idx="319">
                  <c:v>1.7513530990786785</c:v>
                </c:pt>
                <c:pt idx="320">
                  <c:v>2.6359085664157687</c:v>
                </c:pt>
                <c:pt idx="321">
                  <c:v>3.9393902482214296</c:v>
                </c:pt>
                <c:pt idx="322">
                  <c:v>5.8461462864018303</c:v>
                </c:pt>
                <c:pt idx="323">
                  <c:v>8.614941846592771</c:v>
                </c:pt>
                <c:pt idx="324">
                  <c:v>12.605991717139375</c:v>
                </c:pt>
                <c:pt idx="325">
                  <c:v>18.316550131839922</c:v>
                </c:pt>
                <c:pt idx="326">
                  <c:v>26.427271978890243</c:v>
                </c:pt>
                <c:pt idx="327">
                  <c:v>37.861950501605499</c:v>
                </c:pt>
                <c:pt idx="328">
                  <c:v>53.863630977966061</c:v>
                </c:pt>
                <c:pt idx="329">
                  <c:v>76.090469259261084</c:v>
                </c:pt>
                <c:pt idx="330">
                  <c:v>106.7350093438185</c:v>
                </c:pt>
                <c:pt idx="331">
                  <c:v>148.67074443256726</c:v>
                </c:pt>
                <c:pt idx="332">
                  <c:v>205.6298379661884</c:v>
                </c:pt>
                <c:pt idx="333">
                  <c:v>282.41564010940982</c:v>
                </c:pt>
                <c:pt idx="334">
                  <c:v>385.15305647977618</c:v>
                </c:pt>
                <c:pt idx="335">
                  <c:v>521.57881917110512</c:v>
                </c:pt>
                <c:pt idx="336">
                  <c:v>701.37218482486753</c:v>
                </c:pt>
                <c:pt idx="337">
                  <c:v>936.52445832227659</c:v>
                </c:pt>
                <c:pt idx="338">
                  <c:v>1241.7429498746112</c:v>
                </c:pt>
                <c:pt idx="339">
                  <c:v>1634.8814852713901</c:v>
                </c:pt>
                <c:pt idx="340">
                  <c:v>2137.3854163233018</c:v>
                </c:pt>
                <c:pt idx="341">
                  <c:v>2774.7342932919032</c:v>
                </c:pt>
                <c:pt idx="342">
                  <c:v>3576.8601089094145</c:v>
                </c:pt>
                <c:pt idx="343">
                  <c:v>4578.5135346562183</c:v>
                </c:pt>
                <c:pt idx="344">
                  <c:v>5819.54516580779</c:v>
                </c:pt>
                <c:pt idx="345">
                  <c:v>7345.0638853274813</c:v>
                </c:pt>
                <c:pt idx="346">
                  <c:v>9205.4305436977957</c:v>
                </c:pt>
                <c:pt idx="347">
                  <c:v>11456.042791740103</c:v>
                </c:pt>
                <c:pt idx="348">
                  <c:v>14156.866689078925</c:v>
                </c:pt>
                <c:pt idx="349">
                  <c:v>17371.673225936989</c:v>
                </c:pt>
                <c:pt idx="350">
                  <c:v>21166.943662592592</c:v>
                </c:pt>
                <c:pt idx="351">
                  <c:v>25610.417009124401</c:v>
                </c:pt>
                <c:pt idx="352">
                  <c:v>30769.2662514941</c:v>
                </c:pt>
                <c:pt idx="353">
                  <c:v>36707.907042841478</c:v>
                </c:pt>
                <c:pt idx="354">
                  <c:v>43485.463181916915</c:v>
                </c:pt>
                <c:pt idx="355">
                  <c:v>51152.93661280816</c:v>
                </c:pt>
                <c:pt idx="356">
                  <c:v>59750.15486331471</c:v>
                </c:pt>
                <c:pt idx="357">
                  <c:v>69302.594412337436</c:v>
                </c:pt>
                <c:pt idx="358">
                  <c:v>79818.202763831228</c:v>
                </c:pt>
                <c:pt idx="359">
                  <c:v>91284.363120554903</c:v>
                </c:pt>
                <c:pt idx="360">
                  <c:v>103665.1615183987</c:v>
                </c:pt>
                <c:pt idx="361">
                  <c:v>116899.12518192087</c:v>
                </c:pt>
                <c:pt idx="362">
                  <c:v>130897.60099904846</c:v>
                </c:pt>
                <c:pt idx="363">
                  <c:v>145543.93309164874</c:v>
                </c:pt>
                <c:pt idx="364">
                  <c:v>160693.57774623812</c:v>
                </c:pt>
                <c:pt idx="365">
                  <c:v>176175.26243418682</c:v>
                </c:pt>
                <c:pt idx="366">
                  <c:v>191793.25405769621</c:v>
                </c:pt>
                <c:pt idx="367">
                  <c:v>207330.75150226912</c:v>
                </c:pt>
                <c:pt idx="368">
                  <c:v>222554.36145223462</c:v>
                </c:pt>
                <c:pt idx="369">
                  <c:v>237219.55731824468</c:v>
                </c:pt>
                <c:pt idx="370">
                  <c:v>251076.96263232676</c:v>
                </c:pt>
                <c:pt idx="371">
                  <c:v>263879.24625728553</c:v>
                </c:pt>
                <c:pt idx="372">
                  <c:v>275388.37109053857</c:v>
                </c:pt>
                <c:pt idx="373">
                  <c:v>285382.9041557649</c:v>
                </c:pt>
                <c:pt idx="374">
                  <c:v>293665.07698561484</c:v>
                </c:pt>
                <c:pt idx="375">
                  <c:v>300067.28303233912</c:v>
                </c:pt>
                <c:pt idx="376">
                  <c:v>304457.71443089069</c:v>
                </c:pt>
                <c:pt idx="377">
                  <c:v>306744.87349006318</c:v>
                </c:pt>
                <c:pt idx="378">
                  <c:v>306880.74326389137</c:v>
                </c:pt>
                <c:pt idx="379">
                  <c:v>304862.46375220933</c:v>
                </c:pt>
                <c:pt idx="380">
                  <c:v>300732.43200226448</c:v>
                </c:pt>
                <c:pt idx="381">
                  <c:v>294576.82121778408</c:v>
                </c:pt>
                <c:pt idx="382">
                  <c:v>286522.59112325992</c:v>
                </c:pt>
                <c:pt idx="383">
                  <c:v>276733.13445134251</c:v>
                </c:pt>
                <c:pt idx="384">
                  <c:v>265402.76803703059</c:v>
                </c:pt>
                <c:pt idx="385">
                  <c:v>252750.32781313997</c:v>
                </c:pt>
                <c:pt idx="386">
                  <c:v>239012.16216557825</c:v>
                </c:pt>
                <c:pt idx="387">
                  <c:v>224434.83593314068</c:v>
                </c:pt>
                <c:pt idx="388">
                  <c:v>209267.85737655414</c:v>
                </c:pt>
                <c:pt idx="389">
                  <c:v>193756.72347699618</c:v>
                </c:pt>
                <c:pt idx="390">
                  <c:v>178136.5468543816</c:v>
                </c:pt>
                <c:pt idx="391">
                  <c:v>162626.48323878163</c:v>
                </c:pt>
                <c:pt idx="392">
                  <c:v>147425.12526035035</c:v>
                </c:pt>
                <c:pt idx="393">
                  <c:v>132706.97017846126</c:v>
                </c:pt>
                <c:pt idx="394">
                  <c:v>118620.0099344015</c:v>
                </c:pt>
                <c:pt idx="395">
                  <c:v>105284.43523033449</c:v>
                </c:pt>
                <c:pt idx="396">
                  <c:v>92792.394371131202</c:v>
                </c:pt>
                <c:pt idx="397">
                  <c:v>81208.704843323256</c:v>
                </c:pt>
                <c:pt idx="398">
                  <c:v>70572.382746269956</c:v>
                </c:pt>
                <c:pt idx="399">
                  <c:v>60898.833102899429</c:v>
                </c:pt>
                <c:pt idx="400">
                  <c:v>52182.532825774331</c:v>
                </c:pt>
                <c:pt idx="401">
                  <c:v>44400.037047496146</c:v>
                </c:pt>
                <c:pt idx="402">
                  <c:v>37513.147408763893</c:v>
                </c:pt>
                <c:pt idx="403">
                  <c:v>31472.096078522402</c:v>
                </c:pt>
                <c:pt idx="404">
                  <c:v>26218.619857804442</c:v>
                </c:pt>
                <c:pt idx="405">
                  <c:v>21688.82271396439</c:v>
                </c:pt>
                <c:pt idx="406">
                  <c:v>17815.750600706411</c:v>
                </c:pt>
                <c:pt idx="407">
                  <c:v>14531.627734167718</c:v>
                </c:pt>
                <c:pt idx="408">
                  <c:v>11769.727194737265</c:v>
                </c:pt>
                <c:pt idx="409">
                  <c:v>9465.8697254670406</c:v>
                </c:pt>
                <c:pt idx="410">
                  <c:v>7559.5621751827284</c:v>
                </c:pt>
                <c:pt idx="411">
                  <c:v>5994.8008072543607</c:v>
                </c:pt>
                <c:pt idx="412">
                  <c:v>4720.5745922720798</c:v>
                </c:pt>
                <c:pt idx="413">
                  <c:v>3691.1098100639738</c:v>
                </c:pt>
                <c:pt idx="414">
                  <c:v>2865.900183723732</c:v>
                </c:pt>
                <c:pt idx="415">
                  <c:v>2209.5668658671939</c:v>
                </c:pt>
                <c:pt idx="416">
                  <c:v>1691.5904743267474</c:v>
                </c:pt>
                <c:pt idx="417">
                  <c:v>1285.9536250572012</c:v>
                </c:pt>
                <c:pt idx="418">
                  <c:v>970.72759975605311</c:v>
                </c:pt>
                <c:pt idx="419">
                  <c:v>727.63141962482791</c:v>
                </c:pt>
                <c:pt idx="420">
                  <c:v>541.58609884683858</c:v>
                </c:pt>
                <c:pt idx="421">
                  <c:v>400.28155491523165</c:v>
                </c:pt>
                <c:pt idx="422">
                  <c:v>293.7687993506741</c:v>
                </c:pt>
                <c:pt idx="423">
                  <c:v>214.08577728682999</c:v>
                </c:pt>
                <c:pt idx="424">
                  <c:v>154.92164858061216</c:v>
                </c:pt>
                <c:pt idx="425">
                  <c:v>111.32142576801704</c:v>
                </c:pt>
                <c:pt idx="426">
                  <c:v>79.430677641277427</c:v>
                </c:pt>
                <c:pt idx="427">
                  <c:v>56.278410970023785</c:v>
                </c:pt>
                <c:pt idx="428">
                  <c:v>39.595176376762424</c:v>
                </c:pt>
                <c:pt idx="429">
                  <c:v>27.662817752957629</c:v>
                </c:pt>
                <c:pt idx="430">
                  <c:v>19.192007181566758</c:v>
                </c:pt>
                <c:pt idx="431">
                  <c:v>13.223693765212861</c:v>
                </c:pt>
                <c:pt idx="432">
                  <c:v>9.0507690783147581</c:v>
                </c:pt>
                <c:pt idx="433">
                  <c:v>6.1565498092249786</c:v>
                </c:pt>
                <c:pt idx="434">
                  <c:v>4.1670475655085442</c:v>
                </c:pt>
                <c:pt idx="435">
                  <c:v>2.8143969031301679</c:v>
                </c:pt>
                <c:pt idx="436">
                  <c:v>1.9092166006917228</c:v>
                </c:pt>
                <c:pt idx="437">
                  <c:v>1.3200668585803741</c:v>
                </c:pt>
                <c:pt idx="438">
                  <c:v>0.95852530677788261</c:v>
                </c:pt>
                <c:pt idx="439">
                  <c:v>0.76873271476613048</c:v>
                </c:pt>
                <c:pt idx="440">
                  <c:v>0.7205553032971086</c:v>
                </c:pt>
                <c:pt idx="441">
                  <c:v>0.80577838794783208</c:v>
                </c:pt>
                <c:pt idx="442">
                  <c:v>1.0369921196539154</c:v>
                </c:pt>
                <c:pt idx="443">
                  <c:v>1.4490623807816967</c:v>
                </c:pt>
                <c:pt idx="444">
                  <c:v>2.1033074519415393</c:v>
                </c:pt>
                <c:pt idx="445">
                  <c:v>3.0947332322819454</c:v>
                </c:pt>
                <c:pt idx="446">
                  <c:v>4.562925701587397</c:v>
                </c:pt>
                <c:pt idx="447">
                  <c:v>6.7074672806161724</c:v>
                </c:pt>
                <c:pt idx="448">
                  <c:v>9.8090406332118576</c:v>
                </c:pt>
                <c:pt idx="449">
                  <c:v>14.257713843820884</c:v>
                </c:pt>
                <c:pt idx="450">
                  <c:v>20.590266123573173</c:v>
                </c:pt>
                <c:pt idx="451">
                  <c:v>29.538810129397223</c:v>
                </c:pt>
                <c:pt idx="452">
                  <c:v>42.093386682756567</c:v>
                </c:pt>
                <c:pt idx="453">
                  <c:v>59.581633857114547</c:v>
                </c:pt>
                <c:pt idx="454">
                  <c:v>83.769039845586022</c:v>
                </c:pt>
                <c:pt idx="455">
                  <c:v>116.983642081577</c:v>
                </c:pt>
                <c:pt idx="456">
                  <c:v>162.26928650814295</c:v>
                </c:pt>
                <c:pt idx="457">
                  <c:v>223.57165116051851</c:v>
                </c:pt>
                <c:pt idx="458">
                  <c:v>305.9610957900876</c:v>
                </c:pt>
                <c:pt idx="459">
                  <c:v>415.89594196509324</c:v>
                </c:pt>
                <c:pt idx="460">
                  <c:v>561.52892617598809</c:v>
                </c:pt>
                <c:pt idx="461">
                  <c:v>753.05820946439985</c:v>
                </c:pt>
                <c:pt idx="462">
                  <c:v>1003.1223827610701</c:v>
                </c:pt>
                <c:pt idx="463">
                  <c:v>1327.2363027044871</c:v>
                </c:pt>
                <c:pt idx="464">
                  <c:v>1744.261278230915</c:v>
                </c:pt>
                <c:pt idx="465">
                  <c:v>2276.899091469109</c:v>
                </c:pt>
                <c:pt idx="466">
                  <c:v>2952.1946170218748</c:v>
                </c:pt>
                <c:pt idx="467">
                  <c:v>3802.026506895324</c:v>
                </c:pt>
                <c:pt idx="468">
                  <c:v>4863.5597176818392</c:v>
                </c:pt>
                <c:pt idx="469">
                  <c:v>6179.6278431297987</c:v>
                </c:pt>
                <c:pt idx="470">
                  <c:v>7799.0076415672693</c:v>
                </c:pt>
                <c:pt idx="471">
                  <c:v>9776.5432650253551</c:v>
                </c:pt>
                <c:pt idx="472">
                  <c:v>12173.074033230265</c:v>
                </c:pt>
                <c:pt idx="473">
                  <c:v>15055.117733136545</c:v>
                </c:pt>
                <c:pt idx="474">
                  <c:v>18494.261966500893</c:v>
                </c:pt>
                <c:pt idx="475">
                  <c:v>22566.219593906397</c:v>
                </c:pt>
                <c:pt idx="476">
                  <c:v>27349.511336306354</c:v>
                </c:pt>
                <c:pt idx="477">
                  <c:v>32923.749459817016</c:v>
                </c:pt>
                <c:pt idx="478">
                  <c:v>39367.511351243003</c:v>
                </c:pt>
                <c:pt idx="479">
                  <c:v>46755.810595924515</c:v>
                </c:pt>
                <c:pt idx="480">
                  <c:v>55157.195491172519</c:v>
                </c:pt>
                <c:pt idx="481">
                  <c:v>64630.53001920518</c:v>
                </c:pt>
                <c:pt idx="482">
                  <c:v>75221.539060058785</c:v>
                </c:pt>
                <c:pt idx="483">
                  <c:v>86959.226608177996</c:v>
                </c:pt>
                <c:pt idx="484">
                  <c:v>99852.301242118687</c:v>
                </c:pt>
                <c:pt idx="485">
                  <c:v>113885.765161458</c:v>
                </c:pt>
                <c:pt idx="486">
                  <c:v>129017.83974383678</c:v>
                </c:pt>
                <c:pt idx="487">
                  <c:v>145177.40984737233</c:v>
                </c:pt>
                <c:pt idx="488">
                  <c:v>162262.16927634686</c:v>
                </c:pt>
                <c:pt idx="489">
                  <c:v>180137.63962468537</c:v>
                </c:pt>
                <c:pt idx="490">
                  <c:v>198637.21335279776</c:v>
                </c:pt>
                <c:pt idx="491">
                  <c:v>217563.33937124585</c:v>
                </c:pt>
                <c:pt idx="492">
                  <c:v>236689.92631765411</c:v>
                </c:pt>
                <c:pt idx="493">
                  <c:v>255765.98666448658</c:v>
                </c:pt>
                <c:pt idx="494">
                  <c:v>274520.48612684442</c:v>
                </c:pt>
                <c:pt idx="495">
                  <c:v>292668.30059620755</c:v>
                </c:pt>
                <c:pt idx="496">
                  <c:v>309917.12059091928</c:v>
                </c:pt>
                <c:pt idx="497">
                  <c:v>325975.08488265582</c:v>
                </c:pt>
                <c:pt idx="498">
                  <c:v>340558.8744670361</c:v>
                </c:pt>
                <c:pt idx="499">
                  <c:v>353401.95907804335</c:v>
                </c:pt>
                <c:pt idx="500">
                  <c:v>364262.66413061344</c:v>
                </c:pt>
                <c:pt idx="501">
                  <c:v>372931.71862190159</c:v>
                </c:pt>
                <c:pt idx="502">
                  <c:v>379238.95539633301</c:v>
                </c:pt>
                <c:pt idx="503">
                  <c:v>383058.86436324124</c:v>
                </c:pt>
                <c:pt idx="504">
                  <c:v>384314.74558839842</c:v>
                </c:pt>
                <c:pt idx="505">
                  <c:v>382981.2703050893</c:v>
                </c:pt>
                <c:pt idx="506">
                  <c:v>379085.33039559715</c:v>
                </c:pt>
                <c:pt idx="507">
                  <c:v>372705.13654624223</c:v>
                </c:pt>
                <c:pt idx="508">
                  <c:v>363967.60732314287</c:v>
                </c:pt>
                <c:pt idx="509">
                  <c:v>353044.17092105106</c:v>
                </c:pt>
                <c:pt idx="510">
                  <c:v>340145.17355941539</c:v>
                </c:pt>
                <c:pt idx="511">
                  <c:v>325513.14922504016</c:v>
                </c:pt>
                <c:pt idx="512">
                  <c:v>309415.25130704063</c:v>
                </c:pt>
                <c:pt idx="513">
                  <c:v>292135.17531460093</c:v>
                </c:pt>
                <c:pt idx="514">
                  <c:v>273964.91218813846</c:v>
                </c:pt>
                <c:pt idx="515">
                  <c:v>255196.6638274084</c:v>
                </c:pt>
                <c:pt idx="516">
                  <c:v>236115.22766660244</c:v>
                </c:pt>
                <c:pt idx="517">
                  <c:v>216991.1177631022</c:v>
                </c:pt>
                <c:pt idx="518">
                  <c:v>198074.63908448711</c:v>
                </c:pt>
                <c:pt idx="519">
                  <c:v>179591.0731718475</c:v>
                </c:pt>
                <c:pt idx="520">
                  <c:v>161737.07106630568</c:v>
                </c:pt>
                <c:pt idx="521">
                  <c:v>144678.28719974955</c:v>
                </c:pt>
                <c:pt idx="522">
                  <c:v>128548.22943986519</c:v>
                </c:pt>
                <c:pt idx="523">
                  <c:v>113448.24866949444</c:v>
                </c:pt>
                <c:pt idx="524">
                  <c:v>99448.548490293164</c:v>
                </c:pt>
                <c:pt idx="525">
                  <c:v>86590.063389067669</c:v>
                </c:pt>
                <c:pt idx="526">
                  <c:v>74887.032685806509</c:v>
                </c:pt>
                <c:pt idx="527">
                  <c:v>64330.087705301718</c:v>
                </c:pt>
                <c:pt idx="528">
                  <c:v>54889.670101022137</c:v>
                </c:pt>
                <c:pt idx="529">
                  <c:v>46519.608779833376</c:v>
                </c:pt>
                <c:pt idx="530">
                  <c:v>39160.699706820553</c:v>
                </c:pt>
                <c:pt idx="531">
                  <c:v>32744.155065938481</c:v>
                </c:pt>
                <c:pt idx="532">
                  <c:v>27194.813810163741</c:v>
                </c:pt>
                <c:pt idx="533">
                  <c:v>22434.032635109867</c:v>
                </c:pt>
                <c:pt idx="534">
                  <c:v>18382.203135994856</c:v>
                </c:pt>
                <c:pt idx="535">
                  <c:v>14960.8659296966</c:v>
                </c:pt>
                <c:pt idx="536">
                  <c:v>12094.414748873214</c:v>
                </c:pt>
                <c:pt idx="537">
                  <c:v>9711.4022057698876</c:v>
                </c:pt>
                <c:pt idx="538">
                  <c:v>7745.4736845088555</c:v>
                </c:pt>
                <c:pt idx="539">
                  <c:v>6135.9665662224843</c:v>
                </c:pt>
                <c:pt idx="540">
                  <c:v>4828.21889335982</c:v>
                </c:pt>
                <c:pt idx="541">
                  <c:v>3773.6350081812634</c:v>
                </c:pt>
                <c:pt idx="542">
                  <c:v>2929.5561617206022</c:v>
                </c:pt>
                <c:pt idx="543">
                  <c:v>2258.9821645786528</c:v>
                </c:pt>
                <c:pt idx="544">
                  <c:v>1730.186442985447</c:v>
                </c:pt>
                <c:pt idx="545">
                  <c:v>1316.2619537401972</c:v>
                </c:pt>
                <c:pt idx="546">
                  <c:v>994.62982588618763</c:v>
                </c:pt>
                <c:pt idx="547">
                  <c:v>746.53678414529872</c:v>
                </c:pt>
                <c:pt idx="548">
                  <c:v>556.56172928983779</c:v>
                </c:pt>
                <c:pt idx="549">
                  <c:v>412.14657231009573</c:v>
                </c:pt>
                <c:pt idx="550">
                  <c:v>303.16172379023391</c:v>
                </c:pt>
                <c:pt idx="551">
                  <c:v>221.51263088351658</c:v>
                </c:pt>
                <c:pt idx="552">
                  <c:v>160.7904699889188</c:v>
                </c:pt>
                <c:pt idx="553">
                  <c:v>115.96753072053474</c:v>
                </c:pt>
                <c:pt idx="554">
                  <c:v>83.135915813940372</c:v>
                </c:pt>
                <c:pt idx="555">
                  <c:v>59.286857718509417</c:v>
                </c:pt>
                <c:pt idx="556">
                  <c:v>42.127128199986991</c:v>
                </c:pt>
                <c:pt idx="557">
                  <c:v>29.928600775795591</c:v>
                </c:pt>
                <c:pt idx="558">
                  <c:v>21.406928582888142</c:v>
                </c:pt>
                <c:pt idx="559">
                  <c:v>15.625441321127607</c:v>
                </c:pt>
                <c:pt idx="560">
                  <c:v>11.92067365608424</c:v>
                </c:pt>
                <c:pt idx="561">
                  <c:v>9.8463549980482483</c:v>
                </c:pt>
                <c:pt idx="562">
                  <c:v>9.1331696203497188</c:v>
                </c:pt>
                <c:pt idx="563">
                  <c:v>9.6621000420491168</c:v>
                </c:pt>
                <c:pt idx="564">
                  <c:v>11.449668014288708</c:v>
                </c:pt>
                <c:pt idx="565">
                  <c:v>14.643866106902534</c:v>
                </c:pt>
                <c:pt idx="566">
                  <c:v>19.530013842010973</c:v>
                </c:pt>
                <c:pt idx="567">
                  <c:v>26.546163933967211</c:v>
                </c:pt>
                <c:pt idx="568">
                  <c:v>36.308016409116739</c:v>
                </c:pt>
                <c:pt idx="569">
                  <c:v>49.643561240922502</c:v>
                </c:pt>
                <c:pt idx="570">
                  <c:v>67.637852706262834</c:v>
                </c:pt>
                <c:pt idx="571">
                  <c:v>91.688408358184162</c:v>
                </c:pt>
                <c:pt idx="572">
                  <c:v>123.57170790244248</c:v>
                </c:pt>
                <c:pt idx="573">
                  <c:v>165.5211264642144</c:v>
                </c:pt>
                <c:pt idx="574">
                  <c:v>220.31635626908803</c:v>
                </c:pt>
                <c:pt idx="575">
                  <c:v>291.38393507219683</c:v>
                </c:pt>
                <c:pt idx="576">
                  <c:v>382.90789610979954</c:v>
                </c:pt>
                <c:pt idx="577">
                  <c:v>499.94877571617252</c:v>
                </c:pt>
                <c:pt idx="578">
                  <c:v>648.56826217231992</c:v>
                </c:pt>
                <c:pt idx="579">
                  <c:v>835.95565538196092</c:v>
                </c:pt>
                <c:pt idx="580">
                  <c:v>1070.551058631426</c:v>
                </c:pt>
                <c:pt idx="581">
                  <c:v>1362.1588851906527</c:v>
                </c:pt>
                <c:pt idx="582">
                  <c:v>1722.0438972255233</c:v>
                </c:pt>
                <c:pt idx="583">
                  <c:v>2163.000685818613</c:v>
                </c:pt>
                <c:pt idx="584">
                  <c:v>2699.3863515931403</c:v>
                </c:pt>
                <c:pt idx="585">
                  <c:v>3347.1052750317522</c:v>
                </c:pt>
                <c:pt idx="586">
                  <c:v>4123.5344055892056</c:v>
                </c:pt>
                <c:pt idx="587">
                  <c:v>5047.3775854706137</c:v>
                </c:pt>
                <c:pt idx="588">
                  <c:v>6138.4381892313731</c:v>
                </c:pt>
                <c:pt idx="589">
                  <c:v>7417.3009198206973</c:v>
                </c:pt>
                <c:pt idx="590">
                  <c:v>8904.9160419976179</c:v>
                </c:pt>
                <c:pt idx="591">
                  <c:v>10622.082699300065</c:v>
                </c:pt>
                <c:pt idx="592">
                  <c:v>12588.832239433947</c:v>
                </c:pt>
                <c:pt idx="593">
                  <c:v>14823.717586685472</c:v>
                </c:pt>
                <c:pt idx="594">
                  <c:v>17343.020495455919</c:v>
                </c:pt>
                <c:pt idx="595">
                  <c:v>20159.89476467553</c:v>
                </c:pt>
                <c:pt idx="596">
                  <c:v>23283.469881256558</c:v>
                </c:pt>
                <c:pt idx="597">
                  <c:v>26717.945717957962</c:v>
                </c:pt>
                <c:pt idx="598">
                  <c:v>30461.714413146179</c:v>
                </c:pt>
                <c:pt idx="599">
                  <c:v>34506.549956673654</c:v>
                </c:pt>
                <c:pt idx="600">
                  <c:v>38836.908850602667</c:v>
                </c:pt>
                <c:pt idx="601">
                  <c:v>43429.386096628645</c:v>
                </c:pt>
                <c:pt idx="602">
                  <c:v>48252.369348847431</c:v>
                </c:pt>
                <c:pt idx="603">
                  <c:v>53265.930135938841</c:v>
                </c:pt>
                <c:pt idx="604">
                  <c:v>58421.984517541787</c:v>
                </c:pt>
                <c:pt idx="605">
                  <c:v>63664.746478285182</c:v>
                </c:pt>
                <c:pt idx="606">
                  <c:v>68931.486042344084</c:v>
                </c:pt>
                <c:pt idx="607">
                  <c:v>74153.590955328691</c:v>
                </c:pt>
                <c:pt idx="608">
                  <c:v>79257.916440242916</c:v>
                </c:pt>
                <c:pt idx="609">
                  <c:v>84168.392741000018</c:v>
                </c:pt>
                <c:pt idx="610">
                  <c:v>88807.845768587315</c:v>
                </c:pt>
                <c:pt idx="611">
                  <c:v>93099.973052998335</c:v>
                </c:pt>
                <c:pt idx="612">
                  <c:v>96971.406252044922</c:v>
                </c:pt>
                <c:pt idx="613">
                  <c:v>100353.78346690189</c:v>
                </c:pt>
                <c:pt idx="614">
                  <c:v>103185.75020909229</c:v>
                </c:pt>
                <c:pt idx="615">
                  <c:v>105414.80749951297</c:v>
                </c:pt>
                <c:pt idx="616">
                  <c:v>106998.92945919187</c:v>
                </c:pt>
                <c:pt idx="617">
                  <c:v>107907.88080782053</c:v>
                </c:pt>
                <c:pt idx="618">
                  <c:v>108124.17658020067</c:v>
                </c:pt>
                <c:pt idx="619">
                  <c:v>107643.64150510142</c:v>
                </c:pt>
                <c:pt idx="620">
                  <c:v>106475.54404624313</c:v>
                </c:pt>
                <c:pt idx="621">
                  <c:v>104642.29909384635</c:v>
                </c:pt>
                <c:pt idx="622">
                  <c:v>102178.75262980924</c:v>
                </c:pt>
                <c:pt idx="623">
                  <c:v>99131.080258222981</c:v>
                </c:pt>
                <c:pt idx="624">
                  <c:v>95555.34823743593</c:v>
                </c:pt>
                <c:pt idx="625">
                  <c:v>91515.799639315184</c:v>
                </c:pt>
                <c:pt idx="626">
                  <c:v>87082.93875513511</c:v>
                </c:pt>
                <c:pt idx="627">
                  <c:v>82331.49336294875</c:v>
                </c:pt>
                <c:pt idx="628">
                  <c:v>77338.336732043448</c:v>
                </c:pt>
                <c:pt idx="629">
                  <c:v>72180.449303781876</c:v>
                </c:pt>
                <c:pt idx="630">
                  <c:v>66932.994153109932</c:v>
                </c:pt>
                <c:pt idx="631">
                  <c:v>61667.571128087984</c:v>
                </c:pt>
                <c:pt idx="632">
                  <c:v>56450.702693568637</c:v>
                </c:pt>
                <c:pt idx="633">
                  <c:v>51342.590799420926</c:v>
                </c:pt>
                <c:pt idx="634">
                  <c:v>46396.169441442617</c:v>
                </c:pt>
                <c:pt idx="635">
                  <c:v>41656.462866259659</c:v>
                </c:pt>
                <c:pt idx="636">
                  <c:v>37160.245406971917</c:v>
                </c:pt>
                <c:pt idx="637">
                  <c:v>32935.986426225783</c:v>
                </c:pt>
                <c:pt idx="638">
                  <c:v>29004.053338110196</c:v>
                </c:pt>
                <c:pt idx="639">
                  <c:v>25377.137555611574</c:v>
                </c:pt>
                <c:pt idx="640">
                  <c:v>22060.862659830545</c:v>
                </c:pt>
                <c:pt idx="641">
                  <c:v>19054.5311281336</c:v>
                </c:pt>
                <c:pt idx="642">
                  <c:v>16351.965450389298</c:v>
                </c:pt>
                <c:pt idx="643">
                  <c:v>13942.401134621623</c:v>
                </c:pt>
                <c:pt idx="644">
                  <c:v>11811.392588355173</c:v>
                </c:pt>
                <c:pt idx="645">
                  <c:v>9941.6977319237267</c:v>
                </c:pt>
                <c:pt idx="646">
                  <c:v>8314.1130030719341</c:v>
                </c:pt>
                <c:pt idx="647">
                  <c:v>6908.2367048325577</c:v>
                </c:pt>
                <c:pt idx="648">
                  <c:v>5703.1450235637358</c:v>
                </c:pt>
                <c:pt idx="649">
                  <c:v>4677.9711509470781</c:v>
                </c:pt>
                <c:pt idx="650">
                  <c:v>3812.3835033354912</c:v>
                </c:pt>
                <c:pt idx="651">
                  <c:v>3086.9638422773028</c:v>
                </c:pt>
                <c:pt idx="652">
                  <c:v>2483.4900371494955</c:v>
                </c:pt>
                <c:pt idx="653">
                  <c:v>1985.131222747317</c:v>
                </c:pt>
                <c:pt idx="654">
                  <c:v>1576.5652024280441</c:v>
                </c:pt>
                <c:pt idx="655">
                  <c:v>1244.029192797989</c:v>
                </c:pt>
                <c:pt idx="656">
                  <c:v>975.31549815052279</c:v>
                </c:pt>
                <c:pt idx="657">
                  <c:v>759.72356503822016</c:v>
                </c:pt>
                <c:pt idx="658">
                  <c:v>587.97923409159216</c:v>
                </c:pt>
                <c:pt idx="659">
                  <c:v>452.13101277658581</c:v>
                </c:pt>
                <c:pt idx="660">
                  <c:v>345.43196659249259</c:v>
                </c:pt>
                <c:pt idx="661">
                  <c:v>262.21448044623071</c:v>
                </c:pt>
                <c:pt idx="662">
                  <c:v>197.76377164901319</c:v>
                </c:pt>
                <c:pt idx="663">
                  <c:v>148.19471621424694</c:v>
                </c:pt>
                <c:pt idx="664">
                  <c:v>110.33533584174324</c:v>
                </c:pt>
                <c:pt idx="665">
                  <c:v>81.619220288522058</c:v>
                </c:pt>
                <c:pt idx="666">
                  <c:v>59.988248314058914</c:v>
                </c:pt>
                <c:pt idx="667">
                  <c:v>43.806225852373416</c:v>
                </c:pt>
                <c:pt idx="668">
                  <c:v>31.783477594276118</c:v>
                </c:pt>
                <c:pt idx="669">
                  <c:v>22.911995131286229</c:v>
                </c:pt>
                <c:pt idx="670">
                  <c:v>16.410443617685132</c:v>
                </c:pt>
                <c:pt idx="671">
                  <c:v>11.678139341352939</c:v>
                </c:pt>
                <c:pt idx="672">
                  <c:v>8.2570117558509804</c:v>
                </c:pt>
                <c:pt idx="673">
                  <c:v>5.8005352652971442</c:v>
                </c:pt>
                <c:pt idx="674">
                  <c:v>4.048639972461503</c:v>
                </c:pt>
                <c:pt idx="675">
                  <c:v>2.8076706637452347</c:v>
                </c:pt>
                <c:pt idx="676">
                  <c:v>1.9345461224712228</c:v>
                </c:pt>
                <c:pt idx="677">
                  <c:v>1.3243657205904693</c:v>
                </c:pt>
                <c:pt idx="678">
                  <c:v>0.9008089496973104</c:v>
                </c:pt>
                <c:pt idx="679">
                  <c:v>0.60877018177651065</c:v>
                </c:pt>
                <c:pt idx="680">
                  <c:v>0.40876148697804887</c:v>
                </c:pt>
                <c:pt idx="681">
                  <c:v>0.27269833553105166</c:v>
                </c:pt>
                <c:pt idx="682">
                  <c:v>0.1807552509699952</c:v>
                </c:pt>
                <c:pt idx="683">
                  <c:v>0.11904064636524805</c:v>
                </c:pt>
                <c:pt idx="684">
                  <c:v>7.7892483096066334E-2</c:v>
                </c:pt>
                <c:pt idx="685">
                  <c:v>5.0639771764750388E-2</c:v>
                </c:pt>
                <c:pt idx="686">
                  <c:v>3.271024892163072E-2</c:v>
                </c:pt>
                <c:pt idx="687">
                  <c:v>2.0992872932323957E-2</c:v>
                </c:pt>
                <c:pt idx="688">
                  <c:v>1.3386154201403091E-2</c:v>
                </c:pt>
                <c:pt idx="689">
                  <c:v>8.4807778762573446E-3</c:v>
                </c:pt>
                <c:pt idx="690">
                  <c:v>5.3384044284991196E-3</c:v>
                </c:pt>
                <c:pt idx="691">
                  <c:v>3.3387444122644576E-3</c:v>
                </c:pt>
                <c:pt idx="692">
                  <c:v>2.0746784448130483E-3</c:v>
                </c:pt>
                <c:pt idx="693">
                  <c:v>1.2808973699892506E-3</c:v>
                </c:pt>
                <c:pt idx="694">
                  <c:v>7.8573082556808568E-4</c:v>
                </c:pt>
                <c:pt idx="695">
                  <c:v>4.7888272169755092E-4</c:v>
                </c:pt>
                <c:pt idx="696">
                  <c:v>2.8998829098202144E-4</c:v>
                </c:pt>
                <c:pt idx="697">
                  <c:v>1.7447277787068302E-4</c:v>
                </c:pt>
                <c:pt idx="698">
                  <c:v>1.0429675767820275E-4</c:v>
                </c:pt>
                <c:pt idx="699">
                  <c:v>6.1945513560404317E-5</c:v>
                </c:pt>
                <c:pt idx="700">
                  <c:v>3.6554834891395943E-5</c:v>
                </c:pt>
                <c:pt idx="701">
                  <c:v>2.1432642208252473E-5</c:v>
                </c:pt>
                <c:pt idx="702">
                  <c:v>1.2485401704941048E-5</c:v>
                </c:pt>
                <c:pt idx="703">
                  <c:v>7.2264540296113632E-6</c:v>
                </c:pt>
                <c:pt idx="704">
                  <c:v>4.1556971192353753E-6</c:v>
                </c:pt>
                <c:pt idx="705">
                  <c:v>2.3744249587508327E-6</c:v>
                </c:pt>
                <c:pt idx="706">
                  <c:v>1.3479349332867167E-6</c:v>
                </c:pt>
                <c:pt idx="707">
                  <c:v>7.602830831414384E-7</c:v>
                </c:pt>
                <c:pt idx="708">
                  <c:v>4.2606675082033491E-7</c:v>
                </c:pt>
                <c:pt idx="709">
                  <c:v>2.3723342550838602E-7</c:v>
                </c:pt>
                <c:pt idx="710">
                  <c:v>1.3124115203055658E-7</c:v>
                </c:pt>
                <c:pt idx="711">
                  <c:v>7.2137337098133423E-8</c:v>
                </c:pt>
                <c:pt idx="712">
                  <c:v>3.9395452913055521E-8</c:v>
                </c:pt>
                <c:pt idx="713">
                  <c:v>2.1376077110176431E-8</c:v>
                </c:pt>
                <c:pt idx="714">
                  <c:v>1.152406862077752E-8</c:v>
                </c:pt>
                <c:pt idx="715">
                  <c:v>6.1727627102512193E-9</c:v>
                </c:pt>
                <c:pt idx="716">
                  <c:v>3.2851049427426127E-9</c:v>
                </c:pt>
                <c:pt idx="717">
                  <c:v>1.737060046945482E-9</c:v>
                </c:pt>
                <c:pt idx="718">
                  <c:v>9.1259132014710697E-10</c:v>
                </c:pt>
                <c:pt idx="719">
                  <c:v>4.7635831967327819E-10</c:v>
                </c:pt>
                <c:pt idx="720">
                  <c:v>2.4705127184486951E-10</c:v>
                </c:pt>
                <c:pt idx="721">
                  <c:v>1.273023298134015E-10</c:v>
                </c:pt>
                <c:pt idx="722">
                  <c:v>6.5175073313991835E-11</c:v>
                </c:pt>
                <c:pt idx="723">
                  <c:v>3.3152983946414749E-11</c:v>
                </c:pt>
                <c:pt idx="724">
                  <c:v>1.6755586602982992E-11</c:v>
                </c:pt>
                <c:pt idx="725">
                  <c:v>8.4138074476847108E-12</c:v>
                </c:pt>
                <c:pt idx="726">
                  <c:v>4.1977968700370023E-12</c:v>
                </c:pt>
                <c:pt idx="727">
                  <c:v>2.0808759387571699E-12</c:v>
                </c:pt>
                <c:pt idx="728">
                  <c:v>1.0248655054935872E-12</c:v>
                </c:pt>
                <c:pt idx="729">
                  <c:v>5.015144863233672E-13</c:v>
                </c:pt>
                <c:pt idx="730">
                  <c:v>2.4383497900583419E-13</c:v>
                </c:pt>
                <c:pt idx="731">
                  <c:v>1.1778892278423578E-13</c:v>
                </c:pt>
                <c:pt idx="732">
                  <c:v>5.6533882477417713E-14</c:v>
                </c:pt>
                <c:pt idx="733">
                  <c:v>2.6959329825973514E-14</c:v>
                </c:pt>
                <c:pt idx="734">
                  <c:v>1.2773364070964228E-14</c:v>
                </c:pt>
                <c:pt idx="735">
                  <c:v>6.0130859007771582E-15</c:v>
                </c:pt>
                <c:pt idx="736">
                  <c:v>2.8124541033196961E-15</c:v>
                </c:pt>
                <c:pt idx="737">
                  <c:v>1.3069813734440412E-15</c:v>
                </c:pt>
                <c:pt idx="738">
                  <c:v>6.0346108756648663E-16</c:v>
                </c:pt>
                <c:pt idx="739">
                  <c:v>2.7683759170626666E-16</c:v>
                </c:pt>
                <c:pt idx="740">
                  <c:v>1.2618181571234552E-16</c:v>
                </c:pt>
                <c:pt idx="741">
                  <c:v>5.7143179454340693E-17</c:v>
                </c:pt>
                <c:pt idx="742">
                  <c:v>2.5711531610945971E-17</c:v>
                </c:pt>
                <c:pt idx="743">
                  <c:v>1.1494429301895818E-17</c:v>
                </c:pt>
                <c:pt idx="744">
                  <c:v>5.1055531008360803E-18</c:v>
                </c:pt>
                <c:pt idx="745">
                  <c:v>2.253170725787185E-18</c:v>
                </c:pt>
                <c:pt idx="746">
                  <c:v>9.8796445803716686E-19</c:v>
                </c:pt>
                <c:pt idx="747">
                  <c:v>4.3041208890507291E-19</c:v>
                </c:pt>
                <c:pt idx="748">
                  <c:v>1.863045746258769E-19</c:v>
                </c:pt>
                <c:pt idx="749">
                  <c:v>8.012323866602485E-20</c:v>
                </c:pt>
                <c:pt idx="750">
                  <c:v>3.4236502405447867E-20</c:v>
                </c:pt>
                <c:pt idx="751">
                  <c:v>1.453503910624014E-20</c:v>
                </c:pt>
                <c:pt idx="752">
                  <c:v>6.1311075836204536E-21</c:v>
                </c:pt>
                <c:pt idx="753">
                  <c:v>2.5695530455034003E-21</c:v>
                </c:pt>
                <c:pt idx="754">
                  <c:v>1.0699713696149461E-21</c:v>
                </c:pt>
                <c:pt idx="755">
                  <c:v>4.4267260347833198E-22</c:v>
                </c:pt>
                <c:pt idx="756">
                  <c:v>1.8196549834521709E-22</c:v>
                </c:pt>
                <c:pt idx="757">
                  <c:v>7.4317548646887988E-23</c:v>
                </c:pt>
                <c:pt idx="758">
                  <c:v>3.0157103014462988E-23</c:v>
                </c:pt>
                <c:pt idx="759">
                  <c:v>1.2158605891195798E-23</c:v>
                </c:pt>
                <c:pt idx="760">
                  <c:v>4.8705035246071397E-24</c:v>
                </c:pt>
                <c:pt idx="761">
                  <c:v>1.9384734671554424E-24</c:v>
                </c:pt>
                <c:pt idx="762">
                  <c:v>7.665522778767842E-25</c:v>
                </c:pt>
                <c:pt idx="763">
                  <c:v>3.011754823727303E-25</c:v>
                </c:pt>
                <c:pt idx="764">
                  <c:v>1.1756914752066224E-25</c:v>
                </c:pt>
                <c:pt idx="765">
                  <c:v>4.5599810968039495E-26</c:v>
                </c:pt>
                <c:pt idx="766">
                  <c:v>1.7572301007547512E-26</c:v>
                </c:pt>
                <c:pt idx="767">
                  <c:v>6.7280644673236802E-27</c:v>
                </c:pt>
                <c:pt idx="768">
                  <c:v>2.5594554397615626E-27</c:v>
                </c:pt>
                <c:pt idx="769">
                  <c:v>9.6738849948855943E-28</c:v>
                </c:pt>
                <c:pt idx="770">
                  <c:v>3.6328727494442163E-28</c:v>
                </c:pt>
                <c:pt idx="771">
                  <c:v>1.3554870417865537E-28</c:v>
                </c:pt>
                <c:pt idx="772">
                  <c:v>5.0250047078761498E-29</c:v>
                </c:pt>
                <c:pt idx="773">
                  <c:v>1.8508596786147436E-29</c:v>
                </c:pt>
                <c:pt idx="774">
                  <c:v>6.7733954892091362E-30</c:v>
                </c:pt>
                <c:pt idx="775">
                  <c:v>2.4628348625808637E-30</c:v>
                </c:pt>
                <c:pt idx="776">
                  <c:v>8.89733759616569E-31</c:v>
                </c:pt>
                <c:pt idx="777">
                  <c:v>3.1936018044580246E-31</c:v>
                </c:pt>
                <c:pt idx="778">
                  <c:v>1.1389309082674531E-31</c:v>
                </c:pt>
                <c:pt idx="779">
                  <c:v>4.0356167088293752E-32</c:v>
                </c:pt>
                <c:pt idx="780">
                  <c:v>1.4207522828412934E-32</c:v>
                </c:pt>
                <c:pt idx="781">
                  <c:v>4.9696148535709556E-33</c:v>
                </c:pt>
                <c:pt idx="782">
                  <c:v>1.7271220157764957E-33</c:v>
                </c:pt>
                <c:pt idx="783">
                  <c:v>5.9637472159308219E-34</c:v>
                </c:pt>
                <c:pt idx="784">
                  <c:v>2.046026959856979E-34</c:v>
                </c:pt>
                <c:pt idx="785">
                  <c:v>6.9742802637254908E-35</c:v>
                </c:pt>
                <c:pt idx="786">
                  <c:v>2.3620188429382297E-35</c:v>
                </c:pt>
                <c:pt idx="787">
                  <c:v>7.9480984626359558E-36</c:v>
                </c:pt>
                <c:pt idx="788">
                  <c:v>2.6572905181401682E-36</c:v>
                </c:pt>
                <c:pt idx="789">
                  <c:v>8.8269518110436174E-37</c:v>
                </c:pt>
                <c:pt idx="790">
                  <c:v>2.9132542719492065E-37</c:v>
                </c:pt>
                <c:pt idx="791">
                  <c:v>9.5530477122473432E-38</c:v>
                </c:pt>
                <c:pt idx="792">
                  <c:v>3.1124430967610875E-38</c:v>
                </c:pt>
                <c:pt idx="793">
                  <c:v>1.0075272755376071E-38</c:v>
                </c:pt>
                <c:pt idx="794">
                  <c:v>3.2404708757624178E-39</c:v>
                </c:pt>
                <c:pt idx="795">
                  <c:v>1.0355125136049509E-39</c:v>
                </c:pt>
                <c:pt idx="796">
                  <c:v>3.2877478236762851E-40</c:v>
                </c:pt>
                <c:pt idx="797">
                  <c:v>1.0371404315025719E-40</c:v>
                </c:pt>
                <c:pt idx="798">
                  <c:v>3.250667502117561E-41</c:v>
                </c:pt>
                <c:pt idx="799">
                  <c:v>1.0122865174872295E-41</c:v>
                </c:pt>
                <c:pt idx="800">
                  <c:v>3.1320614499099993E-42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876032"/>
        <c:axId val="163020096"/>
      </c:lineChart>
      <c:catAx>
        <c:axId val="24887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 sz="1200" b="1" i="0" u="none" strike="noStrike" baseline="0">
                    <a:effectLst/>
                  </a:rPr>
                  <a:t>2</a:t>
                </a:r>
                <a:r>
                  <a:rPr lang="el-GR" sz="1200" b="1" i="1" u="none" strike="noStrike" baseline="0">
                    <a:effectLst/>
                  </a:rPr>
                  <a:t>θ</a:t>
                </a:r>
                <a:endParaRPr lang="pt-BR" sz="1200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/>
            </a:pPr>
            <a:endParaRPr lang="pt-BR"/>
          </a:p>
        </c:txPr>
        <c:crossAx val="163020096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163020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 sz="1100"/>
                  <a:t>Intensidade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crossAx val="248876032"/>
        <c:crosses val="autoZero"/>
        <c:crossBetween val="between"/>
      </c:valAx>
      <c:spPr>
        <a:ln w="25400">
          <a:solidFill>
            <a:schemeClr val="tx1"/>
          </a:solidFill>
        </a:ln>
      </c:spPr>
    </c:plotArea>
    <c:legend>
      <c:legendPos val="r"/>
      <c:layout/>
      <c:overlay val="0"/>
      <c:spPr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ln w="19050">
      <a:solidFill>
        <a:schemeClr val="tx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Difratogramas de raios-x do BaTiO3 e </a:t>
            </a:r>
            <a:r>
              <a:rPr lang="pt-BR" sz="1800" b="1" i="0" u="none" strike="noStrike" baseline="0">
                <a:effectLst/>
              </a:rPr>
              <a:t>BaTiO3</a:t>
            </a:r>
            <a:r>
              <a:rPr lang="pt-BR" sz="1800" b="1" i="0" baseline="0">
                <a:effectLst/>
              </a:rPr>
              <a:t> - Calculados para t = 100 nm</a:t>
            </a:r>
            <a:endParaRPr lang="pt-BR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'Fatores de forma'!$X$1:$X$2</c:f>
              <c:strCache>
                <c:ptCount val="1"/>
                <c:pt idx="0">
                  <c:v>BaTiO3 H_h(100nm)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forma'!$X$3:$X$803</c:f>
              <c:numCache>
                <c:formatCode>0.00000</c:formatCode>
                <c:ptCount val="801"/>
                <c:pt idx="0">
                  <c:v>3.0877831607859934E-302</c:v>
                </c:pt>
                <c:pt idx="1">
                  <c:v>4.0243164675247227E-288</c:v>
                </c:pt>
                <c:pt idx="2">
                  <c:v>2.4464949847212608E-274</c:v>
                </c:pt>
                <c:pt idx="3">
                  <c:v>6.937506554612835E-261</c:v>
                </c:pt>
                <c:pt idx="4">
                  <c:v>9.176337024584867E-248</c:v>
                </c:pt>
                <c:pt idx="5">
                  <c:v>5.6616390457181575E-235</c:v>
                </c:pt>
                <c:pt idx="6">
                  <c:v>1.6293780908971872E-222</c:v>
                </c:pt>
                <c:pt idx="7">
                  <c:v>2.1873004365914547E-210</c:v>
                </c:pt>
                <c:pt idx="8">
                  <c:v>1.3696256462543595E-198</c:v>
                </c:pt>
                <c:pt idx="9">
                  <c:v>4.0003887030071343E-187</c:v>
                </c:pt>
                <c:pt idx="10">
                  <c:v>5.4501615736965644E-176</c:v>
                </c:pt>
                <c:pt idx="11">
                  <c:v>3.4635657413721223E-165</c:v>
                </c:pt>
                <c:pt idx="12">
                  <c:v>1.026701900382327E-154</c:v>
                </c:pt>
                <c:pt idx="13">
                  <c:v>1.419620195868261E-144</c:v>
                </c:pt>
                <c:pt idx="14">
                  <c:v>9.1560223679010737E-135</c:v>
                </c:pt>
                <c:pt idx="15">
                  <c:v>2.7545356245688166E-125</c:v>
                </c:pt>
                <c:pt idx="16">
                  <c:v>3.865421115115224E-116</c:v>
                </c:pt>
                <c:pt idx="17">
                  <c:v>2.5301840200758188E-107</c:v>
                </c:pt>
                <c:pt idx="18">
                  <c:v>7.7252808145779443E-99</c:v>
                </c:pt>
                <c:pt idx="19">
                  <c:v>1.1002295730800714E-90</c:v>
                </c:pt>
                <c:pt idx="20">
                  <c:v>7.3090212743277673E-83</c:v>
                </c:pt>
                <c:pt idx="21">
                  <c:v>2.264863383196885E-75</c:v>
                </c:pt>
                <c:pt idx="22">
                  <c:v>3.2736456454017033E-68</c:v>
                </c:pt>
                <c:pt idx="23">
                  <c:v>2.2071314406647874E-61</c:v>
                </c:pt>
                <c:pt idx="24">
                  <c:v>6.9411527180337201E-55</c:v>
                </c:pt>
                <c:pt idx="25">
                  <c:v>1.0182205899284464E-48</c:v>
                </c:pt>
                <c:pt idx="26">
                  <c:v>6.9672119528364563E-43</c:v>
                </c:pt>
                <c:pt idx="27">
                  <c:v>2.2237350583971004E-37</c:v>
                </c:pt>
                <c:pt idx="28">
                  <c:v>3.3106550788801287E-32</c:v>
                </c:pt>
                <c:pt idx="29">
                  <c:v>2.299067391783445E-27</c:v>
                </c:pt>
                <c:pt idx="30">
                  <c:v>7.4472569799252607E-23</c:v>
                </c:pt>
                <c:pt idx="31">
                  <c:v>1.1252469674283979E-18</c:v>
                </c:pt>
                <c:pt idx="32">
                  <c:v>7.9306034545043604E-15</c:v>
                </c:pt>
                <c:pt idx="33">
                  <c:v>2.6071828530538218E-11</c:v>
                </c:pt>
                <c:pt idx="34">
                  <c:v>3.9980076444957117E-8</c:v>
                </c:pt>
                <c:pt idx="35">
                  <c:v>2.8597141338462107E-5</c:v>
                </c:pt>
                <c:pt idx="36">
                  <c:v>9.5413207586856324E-3</c:v>
                </c:pt>
                <c:pt idx="37">
                  <c:v>1.4849137990838024</c:v>
                </c:pt>
                <c:pt idx="38">
                  <c:v>107.79555744098306</c:v>
                </c:pt>
                <c:pt idx="39">
                  <c:v>3650.1217868020576</c:v>
                </c:pt>
                <c:pt idx="40">
                  <c:v>57652.841892748562</c:v>
                </c:pt>
                <c:pt idx="41">
                  <c:v>424757.40366419661</c:v>
                </c:pt>
                <c:pt idx="42">
                  <c:v>1459714.9895818373</c:v>
                </c:pt>
                <c:pt idx="43">
                  <c:v>2339925.6096472084</c:v>
                </c:pt>
                <c:pt idx="44">
                  <c:v>1749616.6630546837</c:v>
                </c:pt>
                <c:pt idx="45">
                  <c:v>610225.896934113</c:v>
                </c:pt>
                <c:pt idx="46">
                  <c:v>99276.220567209806</c:v>
                </c:pt>
                <c:pt idx="47">
                  <c:v>7533.6720133242079</c:v>
                </c:pt>
                <c:pt idx="48">
                  <c:v>266.67054897432831</c:v>
                </c:pt>
                <c:pt idx="49">
                  <c:v>4.4030161030974497</c:v>
                </c:pt>
                <c:pt idx="50">
                  <c:v>3.3910357260994346E-2</c:v>
                </c:pt>
                <c:pt idx="51">
                  <c:v>1.2182076696802168E-4</c:v>
                </c:pt>
                <c:pt idx="52">
                  <c:v>2.041348557480662E-7</c:v>
                </c:pt>
                <c:pt idx="53">
                  <c:v>1.5955847458156673E-10</c:v>
                </c:pt>
                <c:pt idx="54">
                  <c:v>5.8174071157941842E-14</c:v>
                </c:pt>
                <c:pt idx="55">
                  <c:v>9.8934078407292845E-18</c:v>
                </c:pt>
                <c:pt idx="56">
                  <c:v>7.8481851477825818E-22</c:v>
                </c:pt>
                <c:pt idx="57">
                  <c:v>2.9040189104442912E-26</c:v>
                </c:pt>
                <c:pt idx="58">
                  <c:v>5.0122937215312785E-31</c:v>
                </c:pt>
                <c:pt idx="59">
                  <c:v>4.0353430279117046E-36</c:v>
                </c:pt>
                <c:pt idx="60">
                  <c:v>1.5154139342121313E-41</c:v>
                </c:pt>
                <c:pt idx="61">
                  <c:v>2.6545381239271732E-47</c:v>
                </c:pt>
                <c:pt idx="62">
                  <c:v>2.1689699260726575E-53</c:v>
                </c:pt>
                <c:pt idx="63">
                  <c:v>8.2665627424388215E-60</c:v>
                </c:pt>
                <c:pt idx="64">
                  <c:v>1.4696139813202964E-66</c:v>
                </c:pt>
                <c:pt idx="65">
                  <c:v>1.2186765553707013E-73</c:v>
                </c:pt>
                <c:pt idx="66">
                  <c:v>4.7139015750623301E-81</c:v>
                </c:pt>
                <c:pt idx="67">
                  <c:v>8.5051002490311131E-89</c:v>
                </c:pt>
                <c:pt idx="68">
                  <c:v>7.1578935643037787E-97</c:v>
                </c:pt>
                <c:pt idx="69">
                  <c:v>2.8099455747604073E-105</c:v>
                </c:pt>
                <c:pt idx="70">
                  <c:v>5.1453799852230749E-114</c:v>
                </c:pt>
                <c:pt idx="71">
                  <c:v>4.3948481105281028E-123</c:v>
                </c:pt>
                <c:pt idx="72">
                  <c:v>1.7509637701480759E-132</c:v>
                </c:pt>
                <c:pt idx="73">
                  <c:v>3.2539983066862809E-142</c:v>
                </c:pt>
                <c:pt idx="74">
                  <c:v>2.8207484478374056E-152</c:v>
                </c:pt>
                <c:pt idx="75">
                  <c:v>1.1405603391286512E-162</c:v>
                </c:pt>
                <c:pt idx="76">
                  <c:v>2.1511913666587015E-173</c:v>
                </c:pt>
                <c:pt idx="77">
                  <c:v>1.8925471123703762E-184</c:v>
                </c:pt>
                <c:pt idx="78">
                  <c:v>7.7664262999030988E-196</c:v>
                </c:pt>
                <c:pt idx="79">
                  <c:v>1.4866290801581511E-207</c:v>
                </c:pt>
                <c:pt idx="80">
                  <c:v>1.3273666291913429E-219</c:v>
                </c:pt>
                <c:pt idx="81">
                  <c:v>5.5282291781261832E-232</c:v>
                </c:pt>
                <c:pt idx="82">
                  <c:v>1.0739598741316023E-244</c:v>
                </c:pt>
                <c:pt idx="83">
                  <c:v>9.7318844656293953E-258</c:v>
                </c:pt>
                <c:pt idx="84">
                  <c:v>4.1135114097113939E-271</c:v>
                </c:pt>
                <c:pt idx="85">
                  <c:v>8.1102705247575427E-285</c:v>
                </c:pt>
                <c:pt idx="86">
                  <c:v>7.4587293384744337E-299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8.8913527774565522E-298</c:v>
                </c:pt>
                <c:pt idx="188">
                  <c:v>5.0978765902457685E-284</c:v>
                </c:pt>
                <c:pt idx="189">
                  <c:v>1.4038280359349332E-270</c:v>
                </c:pt>
                <c:pt idx="190">
                  <c:v>1.8566995101059633E-257</c:v>
                </c:pt>
                <c:pt idx="191">
                  <c:v>1.1794307645939204E-244</c:v>
                </c:pt>
                <c:pt idx="192">
                  <c:v>3.5983748156059461E-232</c:v>
                </c:pt>
                <c:pt idx="193">
                  <c:v>5.2728262770908354E-220</c:v>
                </c:pt>
                <c:pt idx="194">
                  <c:v>3.7109375430402474E-208</c:v>
                </c:pt>
                <c:pt idx="195">
                  <c:v>1.2543737145293829E-196</c:v>
                </c:pt>
                <c:pt idx="196">
                  <c:v>2.0364481744714768E-185</c:v>
                </c:pt>
                <c:pt idx="197">
                  <c:v>1.5878990809013261E-174</c:v>
                </c:pt>
                <c:pt idx="198">
                  <c:v>5.9466934335341183E-164</c:v>
                </c:pt>
                <c:pt idx="199">
                  <c:v>1.0696244474150357E-153</c:v>
                </c:pt>
                <c:pt idx="200">
                  <c:v>9.24038802901011E-144</c:v>
                </c:pt>
                <c:pt idx="201">
                  <c:v>3.8340009368851096E-134</c:v>
                </c:pt>
                <c:pt idx="202">
                  <c:v>7.6404218553680601E-125</c:v>
                </c:pt>
                <c:pt idx="203">
                  <c:v>7.312831715100226E-116</c:v>
                </c:pt>
                <c:pt idx="204">
                  <c:v>3.3616843964988296E-107</c:v>
                </c:pt>
                <c:pt idx="205">
                  <c:v>7.422178845476597E-99</c:v>
                </c:pt>
                <c:pt idx="206">
                  <c:v>7.8706211672063729E-91</c:v>
                </c:pt>
                <c:pt idx="207">
                  <c:v>4.0085723007721498E-83</c:v>
                </c:pt>
                <c:pt idx="208">
                  <c:v>9.8055859502023066E-76</c:v>
                </c:pt>
                <c:pt idx="209">
                  <c:v>1.1520212713717484E-68</c:v>
                </c:pt>
                <c:pt idx="210">
                  <c:v>6.5005568864028411E-62</c:v>
                </c:pt>
                <c:pt idx="211">
                  <c:v>1.7617478324926875E-55</c:v>
                </c:pt>
                <c:pt idx="212">
                  <c:v>2.2931900367804677E-49</c:v>
                </c:pt>
                <c:pt idx="213">
                  <c:v>1.4336378693183375E-43</c:v>
                </c:pt>
                <c:pt idx="214">
                  <c:v>4.3046911756475647E-38</c:v>
                </c:pt>
                <c:pt idx="215">
                  <c:v>6.2079420393422138E-33</c:v>
                </c:pt>
                <c:pt idx="216">
                  <c:v>4.2998808812960011E-28</c:v>
                </c:pt>
                <c:pt idx="217">
                  <c:v>1.4304356107779556E-23</c:v>
                </c:pt>
                <c:pt idx="218">
                  <c:v>2.2855110210197506E-19</c:v>
                </c:pt>
                <c:pt idx="219">
                  <c:v>1.7538863334512127E-15</c:v>
                </c:pt>
                <c:pt idx="220">
                  <c:v>6.4643176021112653E-12</c:v>
                </c:pt>
                <c:pt idx="221">
                  <c:v>1.1443188326103842E-8</c:v>
                </c:pt>
                <c:pt idx="222">
                  <c:v>9.7291415631440056E-6</c:v>
                </c:pt>
                <c:pt idx="223">
                  <c:v>3.9728769814264065E-3</c:v>
                </c:pt>
                <c:pt idx="224">
                  <c:v>0.77918185432093068</c:v>
                </c:pt>
                <c:pt idx="225">
                  <c:v>73.396552355861573</c:v>
                </c:pt>
                <c:pt idx="226">
                  <c:v>3320.5926960751881</c:v>
                </c:pt>
                <c:pt idx="227">
                  <c:v>72153.711224873492</c:v>
                </c:pt>
                <c:pt idx="228">
                  <c:v>753017.13241656194</c:v>
                </c:pt>
                <c:pt idx="229">
                  <c:v>3774454.1854608986</c:v>
                </c:pt>
                <c:pt idx="230">
                  <c:v>9086708.0971422847</c:v>
                </c:pt>
                <c:pt idx="231">
                  <c:v>10506597.940862974</c:v>
                </c:pt>
                <c:pt idx="232">
                  <c:v>5834730.0446135858</c:v>
                </c:pt>
                <c:pt idx="233">
                  <c:v>1556261.376049751</c:v>
                </c:pt>
                <c:pt idx="234">
                  <c:v>199364.31667059154</c:v>
                </c:pt>
                <c:pt idx="235">
                  <c:v>12266.352349882223</c:v>
                </c:pt>
                <c:pt idx="236">
                  <c:v>362.48209596891701</c:v>
                </c:pt>
                <c:pt idx="237">
                  <c:v>5.1447088583796186</c:v>
                </c:pt>
                <c:pt idx="238">
                  <c:v>3.5070193572325686E-2</c:v>
                </c:pt>
                <c:pt idx="239">
                  <c:v>1.1482029037468933E-4</c:v>
                </c:pt>
                <c:pt idx="240">
                  <c:v>1.8055197207502803E-7</c:v>
                </c:pt>
                <c:pt idx="241">
                  <c:v>1.3636061446344204E-10</c:v>
                </c:pt>
                <c:pt idx="242">
                  <c:v>4.9462809464587056E-14</c:v>
                </c:pt>
                <c:pt idx="243">
                  <c:v>8.6173102468307155E-18</c:v>
                </c:pt>
                <c:pt idx="244">
                  <c:v>7.2105400807493602E-22</c:v>
                </c:pt>
                <c:pt idx="245">
                  <c:v>2.8977904659495522E-26</c:v>
                </c:pt>
                <c:pt idx="246">
                  <c:v>5.5933150329080872E-31</c:v>
                </c:pt>
                <c:pt idx="247">
                  <c:v>5.185309697410968E-36</c:v>
                </c:pt>
                <c:pt idx="248">
                  <c:v>2.3087836440936069E-41</c:v>
                </c:pt>
                <c:pt idx="249">
                  <c:v>4.9373611085876096E-47</c:v>
                </c:pt>
                <c:pt idx="250">
                  <c:v>5.0711874519532456E-53</c:v>
                </c:pt>
                <c:pt idx="251">
                  <c:v>2.5016557931754715E-59</c:v>
                </c:pt>
                <c:pt idx="252">
                  <c:v>5.9271860811404778E-66</c:v>
                </c:pt>
                <c:pt idx="253">
                  <c:v>6.7448560812743273E-73</c:v>
                </c:pt>
                <c:pt idx="254">
                  <c:v>3.6863785503281334E-80</c:v>
                </c:pt>
                <c:pt idx="255">
                  <c:v>9.6767671578044026E-88</c:v>
                </c:pt>
                <c:pt idx="256">
                  <c:v>1.2200110652310143E-95</c:v>
                </c:pt>
                <c:pt idx="257">
                  <c:v>7.3875488521757841E-104</c:v>
                </c:pt>
                <c:pt idx="258">
                  <c:v>2.148523358345747E-112</c:v>
                </c:pt>
                <c:pt idx="259">
                  <c:v>3.0011168907299382E-121</c:v>
                </c:pt>
                <c:pt idx="260">
                  <c:v>2.013394418420269E-130</c:v>
                </c:pt>
                <c:pt idx="261">
                  <c:v>6.4875083105514914E-140</c:v>
                </c:pt>
                <c:pt idx="262">
                  <c:v>1.0039916751259984E-149</c:v>
                </c:pt>
                <c:pt idx="263">
                  <c:v>7.4625183834262489E-160</c:v>
                </c:pt>
                <c:pt idx="264">
                  <c:v>2.6640589702266683E-170</c:v>
                </c:pt>
                <c:pt idx="265">
                  <c:v>4.5677820289444133E-181</c:v>
                </c:pt>
                <c:pt idx="266">
                  <c:v>3.7615776107364761E-192</c:v>
                </c:pt>
                <c:pt idx="267">
                  <c:v>1.4877768604768728E-203</c:v>
                </c:pt>
                <c:pt idx="268">
                  <c:v>2.8262377337849903E-215</c:v>
                </c:pt>
                <c:pt idx="269">
                  <c:v>2.5785924029545505E-227</c:v>
                </c:pt>
                <c:pt idx="270">
                  <c:v>1.1299515567988373E-239</c:v>
                </c:pt>
                <c:pt idx="271">
                  <c:v>2.3781545154984974E-252</c:v>
                </c:pt>
                <c:pt idx="272">
                  <c:v>2.4039389264395176E-265</c:v>
                </c:pt>
                <c:pt idx="273">
                  <c:v>1.1671049446494021E-278</c:v>
                </c:pt>
                <c:pt idx="274">
                  <c:v>2.7214446495778787E-292</c:v>
                </c:pt>
                <c:pt idx="275">
                  <c:v>3.0478403914754229E-306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7.078786244024134E-298</c:v>
                </c:pt>
                <c:pt idx="334">
                  <c:v>2.1106647053919475E-284</c:v>
                </c:pt>
                <c:pt idx="335">
                  <c:v>3.1122828548739734E-271</c:v>
                </c:pt>
                <c:pt idx="336">
                  <c:v>2.2695420583473403E-258</c:v>
                </c:pt>
                <c:pt idx="337">
                  <c:v>8.1845870683997881E-246</c:v>
                </c:pt>
                <c:pt idx="338">
                  <c:v>1.4596699710324169E-233</c:v>
                </c:pt>
                <c:pt idx="339">
                  <c:v>1.2873953519999631E-221</c:v>
                </c:pt>
                <c:pt idx="340">
                  <c:v>5.6152430984290729E-210</c:v>
                </c:pt>
                <c:pt idx="341">
                  <c:v>1.211224233499619E-198</c:v>
                </c:pt>
                <c:pt idx="342">
                  <c:v>1.2920517323963274E-187</c:v>
                </c:pt>
                <c:pt idx="343">
                  <c:v>6.816079021755081E-177</c:v>
                </c:pt>
                <c:pt idx="344">
                  <c:v>1.7782331146478393E-166</c:v>
                </c:pt>
                <c:pt idx="345">
                  <c:v>2.2942573567462243E-156</c:v>
                </c:pt>
                <c:pt idx="346">
                  <c:v>1.4638444657890898E-146</c:v>
                </c:pt>
                <c:pt idx="347">
                  <c:v>4.618990830108043E-137</c:v>
                </c:pt>
                <c:pt idx="348">
                  <c:v>7.2077319578287762E-128</c:v>
                </c:pt>
                <c:pt idx="349">
                  <c:v>5.5622373626092661E-119</c:v>
                </c:pt>
                <c:pt idx="350">
                  <c:v>2.1227545039147061E-110</c:v>
                </c:pt>
                <c:pt idx="351">
                  <c:v>4.0063546087708733E-102</c:v>
                </c:pt>
                <c:pt idx="352">
                  <c:v>3.7393693604176885E-94</c:v>
                </c:pt>
                <c:pt idx="353">
                  <c:v>1.7260235078459473E-86</c:v>
                </c:pt>
                <c:pt idx="354">
                  <c:v>3.9399835649356969E-79</c:v>
                </c:pt>
                <c:pt idx="355">
                  <c:v>4.4477613521776505E-72</c:v>
                </c:pt>
                <c:pt idx="356">
                  <c:v>2.4830639579429394E-65</c:v>
                </c:pt>
                <c:pt idx="357">
                  <c:v>6.8554141745820621E-59</c:v>
                </c:pt>
                <c:pt idx="358">
                  <c:v>9.3600647451524019E-53</c:v>
                </c:pt>
                <c:pt idx="359">
                  <c:v>6.320091563732741E-47</c:v>
                </c:pt>
                <c:pt idx="360">
                  <c:v>2.1104120134010531E-41</c:v>
                </c:pt>
                <c:pt idx="361">
                  <c:v>3.4850618761225935E-36</c:v>
                </c:pt>
                <c:pt idx="362">
                  <c:v>2.8461192900917901E-31</c:v>
                </c:pt>
                <c:pt idx="363">
                  <c:v>1.1494631872423683E-26</c:v>
                </c:pt>
                <c:pt idx="364">
                  <c:v>2.2958124044412964E-22</c:v>
                </c:pt>
                <c:pt idx="365">
                  <c:v>2.2676555738089294E-18</c:v>
                </c:pt>
                <c:pt idx="366">
                  <c:v>1.1076872280044555E-14</c:v>
                </c:pt>
                <c:pt idx="367">
                  <c:v>2.6758179779993893E-11</c:v>
                </c:pt>
                <c:pt idx="368">
                  <c:v>3.1966519210809024E-8</c:v>
                </c:pt>
                <c:pt idx="369">
                  <c:v>1.8885717701041199E-5</c:v>
                </c:pt>
                <c:pt idx="370">
                  <c:v>5.5178641118394326E-3</c:v>
                </c:pt>
                <c:pt idx="371">
                  <c:v>0.79727449455629584</c:v>
                </c:pt>
                <c:pt idx="372">
                  <c:v>56.969722441744146</c:v>
                </c:pt>
                <c:pt idx="373">
                  <c:v>2013.1665186493055</c:v>
                </c:pt>
                <c:pt idx="374">
                  <c:v>35181.524702271367</c:v>
                </c:pt>
                <c:pt idx="375">
                  <c:v>304052.77949055302</c:v>
                </c:pt>
                <c:pt idx="376">
                  <c:v>1299519.0830795742</c:v>
                </c:pt>
                <c:pt idx="377">
                  <c:v>2746728.3345881398</c:v>
                </c:pt>
                <c:pt idx="378">
                  <c:v>2871098.6604780862</c:v>
                </c:pt>
                <c:pt idx="379">
                  <c:v>1484157.1484674986</c:v>
                </c:pt>
                <c:pt idx="380">
                  <c:v>379411.9650415011</c:v>
                </c:pt>
                <c:pt idx="381">
                  <c:v>47966.885400475556</c:v>
                </c:pt>
                <c:pt idx="382">
                  <c:v>2998.9648768352895</c:v>
                </c:pt>
                <c:pt idx="383">
                  <c:v>92.725802776383176</c:v>
                </c:pt>
                <c:pt idx="384">
                  <c:v>1.4178464075405206</c:v>
                </c:pt>
                <c:pt idx="385">
                  <c:v>1.0721539132750299E-2</c:v>
                </c:pt>
                <c:pt idx="386">
                  <c:v>4.0094467109568472E-5</c:v>
                </c:pt>
                <c:pt idx="387">
                  <c:v>7.4149993798433016E-8</c:v>
                </c:pt>
                <c:pt idx="388">
                  <c:v>6.7816778414585527E-11</c:v>
                </c:pt>
                <c:pt idx="389">
                  <c:v>3.0673444901290827E-14</c:v>
                </c:pt>
                <c:pt idx="390">
                  <c:v>6.8609983572326227E-18</c:v>
                </c:pt>
                <c:pt idx="391">
                  <c:v>7.5894698413525352E-22</c:v>
                </c:pt>
                <c:pt idx="392">
                  <c:v>4.1517856780527684E-26</c:v>
                </c:pt>
                <c:pt idx="393">
                  <c:v>1.1232017619068603E-30</c:v>
                </c:pt>
                <c:pt idx="394">
                  <c:v>1.5027266497267895E-35</c:v>
                </c:pt>
                <c:pt idx="395">
                  <c:v>9.9426365315155342E-41</c:v>
                </c:pt>
                <c:pt idx="396">
                  <c:v>3.2532879242042798E-46</c:v>
                </c:pt>
                <c:pt idx="397">
                  <c:v>5.2643263142933147E-52</c:v>
                </c:pt>
                <c:pt idx="398">
                  <c:v>4.2127187411532854E-58</c:v>
                </c:pt>
                <c:pt idx="399">
                  <c:v>1.6671761570465224E-64</c:v>
                </c:pt>
                <c:pt idx="400">
                  <c:v>3.2628708141157469E-71</c:v>
                </c:pt>
                <c:pt idx="401">
                  <c:v>3.1580400292197258E-78</c:v>
                </c:pt>
                <c:pt idx="402">
                  <c:v>1.5115925560971128E-85</c:v>
                </c:pt>
                <c:pt idx="403">
                  <c:v>3.5780896791581577E-93</c:v>
                </c:pt>
                <c:pt idx="404">
                  <c:v>4.1885823727501417E-101</c:v>
                </c:pt>
                <c:pt idx="405">
                  <c:v>2.4248353956057971E-109</c:v>
                </c:pt>
                <c:pt idx="406">
                  <c:v>6.9421953079241191E-118</c:v>
                </c:pt>
                <c:pt idx="407">
                  <c:v>9.829032142433107E-127</c:v>
                </c:pt>
                <c:pt idx="408">
                  <c:v>6.8821485975555417E-136</c:v>
                </c:pt>
                <c:pt idx="409">
                  <c:v>2.3830694463654816E-145</c:v>
                </c:pt>
                <c:pt idx="410">
                  <c:v>4.0808319828942016E-155</c:v>
                </c:pt>
                <c:pt idx="411">
                  <c:v>3.4558914491367687E-165</c:v>
                </c:pt>
                <c:pt idx="412">
                  <c:v>1.4473408963493282E-175</c:v>
                </c:pt>
                <c:pt idx="413">
                  <c:v>2.9976500936343371E-186</c:v>
                </c:pt>
                <c:pt idx="414">
                  <c:v>3.0703678095777583E-197</c:v>
                </c:pt>
                <c:pt idx="415">
                  <c:v>1.5552465027733111E-208</c:v>
                </c:pt>
                <c:pt idx="416">
                  <c:v>3.8958966317842735E-220</c:v>
                </c:pt>
                <c:pt idx="417">
                  <c:v>4.8263074032459528E-232</c:v>
                </c:pt>
                <c:pt idx="418">
                  <c:v>2.9567996455397587E-244</c:v>
                </c:pt>
                <c:pt idx="419">
                  <c:v>8.9583531227260516E-257</c:v>
                </c:pt>
                <c:pt idx="420">
                  <c:v>1.3422512602420613E-269</c:v>
                </c:pt>
                <c:pt idx="421">
                  <c:v>9.9457794843711846E-283</c:v>
                </c:pt>
                <c:pt idx="422">
                  <c:v>3.6445439697418384E-296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4.8146503361250045E-304</c:v>
                </c:pt>
                <c:pt idx="459">
                  <c:v>1.033750008166585E-290</c:v>
                </c:pt>
                <c:pt idx="460">
                  <c:v>1.1302171882925867E-277</c:v>
                </c:pt>
                <c:pt idx="461">
                  <c:v>6.2922199771992638E-265</c:v>
                </c:pt>
                <c:pt idx="462">
                  <c:v>1.783780838794075E-252</c:v>
                </c:pt>
                <c:pt idx="463">
                  <c:v>2.5749849758822488E-240</c:v>
                </c:pt>
                <c:pt idx="464">
                  <c:v>1.8927947039992468E-228</c:v>
                </c:pt>
                <c:pt idx="465">
                  <c:v>7.0848055093775789E-217</c:v>
                </c:pt>
                <c:pt idx="466">
                  <c:v>1.3503550121988842E-205</c:v>
                </c:pt>
                <c:pt idx="467">
                  <c:v>1.3105801826862298E-194</c:v>
                </c:pt>
                <c:pt idx="468">
                  <c:v>6.4770140682617708E-184</c:v>
                </c:pt>
                <c:pt idx="469">
                  <c:v>1.6299778087212045E-173</c:v>
                </c:pt>
                <c:pt idx="470">
                  <c:v>2.0887388803847268E-163</c:v>
                </c:pt>
                <c:pt idx="471">
                  <c:v>1.3629571986664251E-153</c:v>
                </c:pt>
                <c:pt idx="472">
                  <c:v>4.5287244033992602E-144</c:v>
                </c:pt>
                <c:pt idx="473">
                  <c:v>7.6624062642862752E-135</c:v>
                </c:pt>
                <c:pt idx="474">
                  <c:v>6.6016130506438909E-126</c:v>
                </c:pt>
                <c:pt idx="475">
                  <c:v>2.8962134273996573E-117</c:v>
                </c:pt>
                <c:pt idx="476">
                  <c:v>6.4700355696642869E-109</c:v>
                </c:pt>
                <c:pt idx="477">
                  <c:v>7.3600096128138284E-101</c:v>
                </c:pt>
                <c:pt idx="478">
                  <c:v>4.2632981196068534E-93</c:v>
                </c:pt>
                <c:pt idx="479">
                  <c:v>1.2575018463946443E-85</c:v>
                </c:pt>
                <c:pt idx="480">
                  <c:v>1.8887182115703635E-78</c:v>
                </c:pt>
                <c:pt idx="481">
                  <c:v>1.4445125261540323E-71</c:v>
                </c:pt>
                <c:pt idx="482">
                  <c:v>5.6256286938308114E-65</c:v>
                </c:pt>
                <c:pt idx="483">
                  <c:v>1.1156203405760192E-58</c:v>
                </c:pt>
                <c:pt idx="484">
                  <c:v>1.1265679492403355E-52</c:v>
                </c:pt>
                <c:pt idx="485">
                  <c:v>5.7928724571920733E-47</c:v>
                </c:pt>
                <c:pt idx="486">
                  <c:v>1.5167924198518616E-41</c:v>
                </c:pt>
                <c:pt idx="487">
                  <c:v>2.0223389216964381E-36</c:v>
                </c:pt>
                <c:pt idx="488">
                  <c:v>1.3730215028343097E-31</c:v>
                </c:pt>
                <c:pt idx="489">
                  <c:v>4.7467498455624436E-27</c:v>
                </c:pt>
                <c:pt idx="490">
                  <c:v>8.3562410384617022E-23</c:v>
                </c:pt>
                <c:pt idx="491">
                  <c:v>7.4906788960354013E-19</c:v>
                </c:pt>
                <c:pt idx="492">
                  <c:v>3.4192197225730154E-15</c:v>
                </c:pt>
                <c:pt idx="493">
                  <c:v>7.947461761745749E-12</c:v>
                </c:pt>
                <c:pt idx="494">
                  <c:v>9.4064443808427694E-9</c:v>
                </c:pt>
                <c:pt idx="495">
                  <c:v>5.6691525635078215E-6</c:v>
                </c:pt>
                <c:pt idx="496">
                  <c:v>1.7398283564131448E-3</c:v>
                </c:pt>
                <c:pt idx="497">
                  <c:v>0.27188814580003312</c:v>
                </c:pt>
                <c:pt idx="498">
                  <c:v>21.63564011322844</c:v>
                </c:pt>
                <c:pt idx="499">
                  <c:v>876.6875363709521</c:v>
                </c:pt>
                <c:pt idx="500">
                  <c:v>18089.040189298848</c:v>
                </c:pt>
                <c:pt idx="501">
                  <c:v>190056.10416375962</c:v>
                </c:pt>
                <c:pt idx="502">
                  <c:v>1016819.1797054084</c:v>
                </c:pt>
                <c:pt idx="503">
                  <c:v>2770136.9740063744</c:v>
                </c:pt>
                <c:pt idx="504">
                  <c:v>3842858.2602194562</c:v>
                </c:pt>
                <c:pt idx="505">
                  <c:v>2714582.8203333947</c:v>
                </c:pt>
                <c:pt idx="506">
                  <c:v>976444.20880266884</c:v>
                </c:pt>
                <c:pt idx="507">
                  <c:v>178849.35550469882</c:v>
                </c:pt>
                <c:pt idx="508">
                  <c:v>16681.032660884812</c:v>
                </c:pt>
                <c:pt idx="509">
                  <c:v>792.23512503709014</c:v>
                </c:pt>
                <c:pt idx="510">
                  <c:v>19.159354024389604</c:v>
                </c:pt>
                <c:pt idx="511">
                  <c:v>0.23594090384033256</c:v>
                </c:pt>
                <c:pt idx="512">
                  <c:v>1.4795213036223626E-3</c:v>
                </c:pt>
                <c:pt idx="513">
                  <c:v>4.724271137226459E-6</c:v>
                </c:pt>
                <c:pt idx="514">
                  <c:v>7.6814642649142726E-9</c:v>
                </c:pt>
                <c:pt idx="515">
                  <c:v>6.3598785437429043E-12</c:v>
                </c:pt>
                <c:pt idx="516">
                  <c:v>2.6813236390263193E-15</c:v>
                </c:pt>
                <c:pt idx="517">
                  <c:v>5.7563243879154807E-19</c:v>
                </c:pt>
                <c:pt idx="518">
                  <c:v>6.2926980139029677E-23</c:v>
                </c:pt>
                <c:pt idx="519">
                  <c:v>3.5028708786410864E-27</c:v>
                </c:pt>
                <c:pt idx="520">
                  <c:v>9.9290334755367598E-32</c:v>
                </c:pt>
                <c:pt idx="521">
                  <c:v>1.4331294768382908E-36</c:v>
                </c:pt>
                <c:pt idx="522">
                  <c:v>1.0533179622828862E-41</c:v>
                </c:pt>
                <c:pt idx="523">
                  <c:v>3.9421138214012253E-47</c:v>
                </c:pt>
                <c:pt idx="524">
                  <c:v>7.5126721467546521E-53</c:v>
                </c:pt>
                <c:pt idx="525">
                  <c:v>7.2904665453811365E-59</c:v>
                </c:pt>
                <c:pt idx="526">
                  <c:v>3.6025649047503692E-65</c:v>
                </c:pt>
                <c:pt idx="527">
                  <c:v>9.0649187157624431E-72</c:v>
                </c:pt>
                <c:pt idx="528">
                  <c:v>1.161479695811294E-78</c:v>
                </c:pt>
                <c:pt idx="529">
                  <c:v>7.578005879572968E-86</c:v>
                </c:pt>
                <c:pt idx="530">
                  <c:v>2.5176413413382119E-93</c:v>
                </c:pt>
                <c:pt idx="531">
                  <c:v>4.259203518628821E-101</c:v>
                </c:pt>
                <c:pt idx="532">
                  <c:v>3.6690914085328821E-109</c:v>
                </c:pt>
                <c:pt idx="533">
                  <c:v>1.6094751595002009E-117</c:v>
                </c:pt>
                <c:pt idx="534">
                  <c:v>3.5950557755142968E-126</c:v>
                </c:pt>
                <c:pt idx="535">
                  <c:v>4.089051635979969E-135</c:v>
                </c:pt>
                <c:pt idx="536">
                  <c:v>2.3682915460152394E-144</c:v>
                </c:pt>
                <c:pt idx="537">
                  <c:v>6.9846289926677218E-154</c:v>
                </c:pt>
                <c:pt idx="538">
                  <c:v>1.0489315000285768E-163</c:v>
                </c:pt>
                <c:pt idx="539">
                  <c:v>8.0213325327279357E-174</c:v>
                </c:pt>
                <c:pt idx="540">
                  <c:v>3.1235000821453014E-184</c:v>
                </c:pt>
                <c:pt idx="541">
                  <c:v>6.1934427901721424E-195</c:v>
                </c:pt>
                <c:pt idx="542">
                  <c:v>6.253430775504881E-206</c:v>
                </c:pt>
                <c:pt idx="543">
                  <c:v>3.215142088636367E-217</c:v>
                </c:pt>
                <c:pt idx="544">
                  <c:v>8.4173929628633154E-229</c:v>
                </c:pt>
                <c:pt idx="545">
                  <c:v>1.1221492979157492E-240</c:v>
                </c:pt>
                <c:pt idx="546">
                  <c:v>7.6176197369176209E-253</c:v>
                </c:pt>
                <c:pt idx="547">
                  <c:v>2.6331981688024414E-265</c:v>
                </c:pt>
                <c:pt idx="548">
                  <c:v>4.6349324296857208E-278</c:v>
                </c:pt>
                <c:pt idx="549">
                  <c:v>4.1543097766539841E-291</c:v>
                </c:pt>
                <c:pt idx="550">
                  <c:v>1.8960507428840841E-304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6.6124011975874474E-302</c:v>
                </c:pt>
                <c:pt idx="572">
                  <c:v>6.3988057233156726E-289</c:v>
                </c:pt>
                <c:pt idx="573">
                  <c:v>3.2466128710531815E-276</c:v>
                </c:pt>
                <c:pt idx="574">
                  <c:v>8.636821426838584E-264</c:v>
                </c:pt>
                <c:pt idx="575">
                  <c:v>1.2046731403251857E-251</c:v>
                </c:pt>
                <c:pt idx="576">
                  <c:v>8.8100093047741926E-240</c:v>
                </c:pt>
                <c:pt idx="577">
                  <c:v>3.3781222309443864E-228</c:v>
                </c:pt>
                <c:pt idx="578">
                  <c:v>6.7915078178207177E-217</c:v>
                </c:pt>
                <c:pt idx="579">
                  <c:v>7.1589429749609435E-206</c:v>
                </c:pt>
                <c:pt idx="580">
                  <c:v>3.9566119092804319E-195</c:v>
                </c:pt>
                <c:pt idx="581">
                  <c:v>1.1465417072213529E-184</c:v>
                </c:pt>
                <c:pt idx="582">
                  <c:v>1.7419998523493915E-174</c:v>
                </c:pt>
                <c:pt idx="583">
                  <c:v>1.387708418722152E-164</c:v>
                </c:pt>
                <c:pt idx="584">
                  <c:v>5.7961575906844803E-155</c:v>
                </c:pt>
                <c:pt idx="585">
                  <c:v>1.2693284073358416E-145</c:v>
                </c:pt>
                <c:pt idx="586">
                  <c:v>1.4574701438349787E-136</c:v>
                </c:pt>
                <c:pt idx="587">
                  <c:v>8.7743951201418236E-128</c:v>
                </c:pt>
                <c:pt idx="588">
                  <c:v>2.7696606462091544E-119</c:v>
                </c:pt>
                <c:pt idx="589">
                  <c:v>4.5838224358268214E-111</c:v>
                </c:pt>
                <c:pt idx="590">
                  <c:v>3.9775977790515309E-103</c:v>
                </c:pt>
                <c:pt idx="591">
                  <c:v>1.8096967053713362E-95</c:v>
                </c:pt>
                <c:pt idx="592">
                  <c:v>4.3170052795391955E-88</c:v>
                </c:pt>
                <c:pt idx="593">
                  <c:v>5.3994710450764514E-81</c:v>
                </c:pt>
                <c:pt idx="594">
                  <c:v>3.5408840549428488E-74</c:v>
                </c:pt>
                <c:pt idx="595">
                  <c:v>1.217486203488631E-67</c:v>
                </c:pt>
                <c:pt idx="596">
                  <c:v>2.1948671754325185E-61</c:v>
                </c:pt>
                <c:pt idx="597">
                  <c:v>2.0746473779036647E-55</c:v>
                </c:pt>
                <c:pt idx="598">
                  <c:v>1.0281871979466526E-49</c:v>
                </c:pt>
                <c:pt idx="599">
                  <c:v>2.6717261765519145E-44</c:v>
                </c:pt>
                <c:pt idx="600">
                  <c:v>3.6400181713908634E-39</c:v>
                </c:pt>
                <c:pt idx="601">
                  <c:v>2.6002015368363821E-34</c:v>
                </c:pt>
                <c:pt idx="602">
                  <c:v>9.7387299300436209E-30</c:v>
                </c:pt>
                <c:pt idx="603">
                  <c:v>1.9124473457246951E-25</c:v>
                </c:pt>
                <c:pt idx="604">
                  <c:v>1.9691033183492566E-21</c:v>
                </c:pt>
                <c:pt idx="605">
                  <c:v>1.0630149541034305E-17</c:v>
                </c:pt>
                <c:pt idx="606">
                  <c:v>3.008860803796388E-14</c:v>
                </c:pt>
                <c:pt idx="607">
                  <c:v>4.4653620013898927E-11</c:v>
                </c:pt>
                <c:pt idx="608">
                  <c:v>3.474586281915904E-8</c:v>
                </c:pt>
                <c:pt idx="609">
                  <c:v>1.4175597771722134E-5</c:v>
                </c:pt>
                <c:pt idx="610">
                  <c:v>3.0322954592207373E-3</c:v>
                </c:pt>
                <c:pt idx="611">
                  <c:v>0.34008971812830963</c:v>
                </c:pt>
                <c:pt idx="612">
                  <c:v>19.998956766856466</c:v>
                </c:pt>
                <c:pt idx="613">
                  <c:v>616.61350688184291</c:v>
                </c:pt>
                <c:pt idx="614">
                  <c:v>9968.0585115955146</c:v>
                </c:pt>
                <c:pt idx="615">
                  <c:v>84488.962330087306</c:v>
                </c:pt>
                <c:pt idx="616">
                  <c:v>375475.17354464956</c:v>
                </c:pt>
                <c:pt idx="617">
                  <c:v>874891.7673860935</c:v>
                </c:pt>
                <c:pt idx="618">
                  <c:v>1068856.2125918057</c:v>
                </c:pt>
                <c:pt idx="619">
                  <c:v>684661.7953809289</c:v>
                </c:pt>
                <c:pt idx="620">
                  <c:v>229945.41591372859</c:v>
                </c:pt>
                <c:pt idx="621">
                  <c:v>40491.630990383346</c:v>
                </c:pt>
                <c:pt idx="622">
                  <c:v>3738.502172880455</c:v>
                </c:pt>
                <c:pt idx="623">
                  <c:v>180.97636344042363</c:v>
                </c:pt>
                <c:pt idx="624">
                  <c:v>4.5934387500472278</c:v>
                </c:pt>
                <c:pt idx="625">
                  <c:v>6.1128797849993664E-2</c:v>
                </c:pt>
                <c:pt idx="626">
                  <c:v>4.2652612113668146E-4</c:v>
                </c:pt>
                <c:pt idx="627">
                  <c:v>1.5604047514283635E-6</c:v>
                </c:pt>
                <c:pt idx="628">
                  <c:v>2.993096697154749E-9</c:v>
                </c:pt>
                <c:pt idx="629">
                  <c:v>3.0102050784349672E-12</c:v>
                </c:pt>
                <c:pt idx="630">
                  <c:v>1.5873155590004447E-15</c:v>
                </c:pt>
                <c:pt idx="631">
                  <c:v>4.3885627771331349E-19</c:v>
                </c:pt>
                <c:pt idx="632">
                  <c:v>6.3617003625980978E-23</c:v>
                </c:pt>
                <c:pt idx="633">
                  <c:v>4.835216863866008E-27</c:v>
                </c:pt>
                <c:pt idx="634">
                  <c:v>1.9268617585143856E-31</c:v>
                </c:pt>
                <c:pt idx="635">
                  <c:v>4.0260300358920207E-36</c:v>
                </c:pt>
                <c:pt idx="636">
                  <c:v>4.4105760650836992E-41</c:v>
                </c:pt>
                <c:pt idx="637">
                  <c:v>2.5334099673033868E-46</c:v>
                </c:pt>
                <c:pt idx="638">
                  <c:v>7.6297004278838317E-52</c:v>
                </c:pt>
                <c:pt idx="639">
                  <c:v>1.204762248183963E-57</c:v>
                </c:pt>
                <c:pt idx="640">
                  <c:v>9.9744065793747136E-64</c:v>
                </c:pt>
                <c:pt idx="641">
                  <c:v>4.3297681026119513E-70</c:v>
                </c:pt>
                <c:pt idx="642">
                  <c:v>9.854487864739716E-77</c:v>
                </c:pt>
                <c:pt idx="643">
                  <c:v>1.1759675399857452E-83</c:v>
                </c:pt>
                <c:pt idx="644">
                  <c:v>7.3578081898180288E-91</c:v>
                </c:pt>
                <c:pt idx="645">
                  <c:v>2.4137564244811071E-98</c:v>
                </c:pt>
                <c:pt idx="646">
                  <c:v>4.1517412222664782E-106</c:v>
                </c:pt>
                <c:pt idx="647">
                  <c:v>3.744199339574073E-114</c:v>
                </c:pt>
                <c:pt idx="648">
                  <c:v>1.770433021463498E-122</c:v>
                </c:pt>
                <c:pt idx="649">
                  <c:v>4.3892659201300831E-131</c:v>
                </c:pt>
                <c:pt idx="650">
                  <c:v>5.7055318952079599E-140</c:v>
                </c:pt>
                <c:pt idx="651">
                  <c:v>3.888590714343422E-149</c:v>
                </c:pt>
                <c:pt idx="652">
                  <c:v>1.3895692174576916E-158</c:v>
                </c:pt>
                <c:pt idx="653">
                  <c:v>2.60351442098651E-168</c:v>
                </c:pt>
                <c:pt idx="654">
                  <c:v>2.5575942280562733E-178</c:v>
                </c:pt>
                <c:pt idx="655">
                  <c:v>1.3173317265636518E-188</c:v>
                </c:pt>
                <c:pt idx="656">
                  <c:v>3.5575459036589651E-199</c:v>
                </c:pt>
                <c:pt idx="657">
                  <c:v>5.0372989570976633E-210</c:v>
                </c:pt>
                <c:pt idx="658">
                  <c:v>3.7397002472128827E-221</c:v>
                </c:pt>
                <c:pt idx="659">
                  <c:v>1.4556860242448501E-232</c:v>
                </c:pt>
                <c:pt idx="660">
                  <c:v>2.9709167656050217E-244</c:v>
                </c:pt>
                <c:pt idx="661">
                  <c:v>3.1791067380211421E-256</c:v>
                </c:pt>
                <c:pt idx="662">
                  <c:v>1.7836580047929734E-268</c:v>
                </c:pt>
                <c:pt idx="663">
                  <c:v>5.2469861481452539E-281</c:v>
                </c:pt>
                <c:pt idx="664">
                  <c:v>8.0928240986854178E-294</c:v>
                </c:pt>
                <c:pt idx="665">
                  <c:v>6.54458536566857E-307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'Fatores de forma'!$AA$1:$AA$2</c:f>
              <c:strCache>
                <c:ptCount val="1"/>
                <c:pt idx="0">
                  <c:v>CaTiO3 H_h(100nm)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forma'!$AA$3:$AA$803</c:f>
              <c:numCache>
                <c:formatCode>0.00000</c:formatCode>
                <c:ptCount val="8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1.6097512220789085E-300</c:v>
                </c:pt>
                <c:pt idx="15">
                  <c:v>1.732081832392844E-286</c:v>
                </c:pt>
                <c:pt idx="16">
                  <c:v>8.7092412320502233E-273</c:v>
                </c:pt>
                <c:pt idx="17">
                  <c:v>2.0464187393172956E-259</c:v>
                </c:pt>
                <c:pt idx="18">
                  <c:v>2.2470408029722746E-246</c:v>
                </c:pt>
                <c:pt idx="19">
                  <c:v>1.1530009995261555E-233</c:v>
                </c:pt>
                <c:pt idx="20">
                  <c:v>2.7647169776193211E-221</c:v>
                </c:pt>
                <c:pt idx="21">
                  <c:v>3.0979467299228131E-209</c:v>
                </c:pt>
                <c:pt idx="22">
                  <c:v>1.6221816426634857E-197</c:v>
                </c:pt>
                <c:pt idx="23">
                  <c:v>3.9694221583601179E-186</c:v>
                </c:pt>
                <c:pt idx="24">
                  <c:v>4.5389705771550128E-175</c:v>
                </c:pt>
                <c:pt idx="25">
                  <c:v>2.4254354220877246E-164</c:v>
                </c:pt>
                <c:pt idx="26">
                  <c:v>6.05653644340645E-154</c:v>
                </c:pt>
                <c:pt idx="27">
                  <c:v>7.0674252574470095E-144</c:v>
                </c:pt>
                <c:pt idx="28">
                  <c:v>3.8538994916671526E-134</c:v>
                </c:pt>
                <c:pt idx="29">
                  <c:v>9.8206857582898351E-125</c:v>
                </c:pt>
                <c:pt idx="30">
                  <c:v>1.1694603875473884E-115</c:v>
                </c:pt>
                <c:pt idx="31">
                  <c:v>6.5077593884421833E-107</c:v>
                </c:pt>
                <c:pt idx="32">
                  <c:v>1.6923092548537333E-98</c:v>
                </c:pt>
                <c:pt idx="33">
                  <c:v>2.056507237063755E-90</c:v>
                </c:pt>
                <c:pt idx="34">
                  <c:v>1.1678391370120622E-82</c:v>
                </c:pt>
                <c:pt idx="35">
                  <c:v>3.0991177620398552E-75</c:v>
                </c:pt>
                <c:pt idx="36">
                  <c:v>3.8432213948095935E-68</c:v>
                </c:pt>
                <c:pt idx="37">
                  <c:v>2.2271783600833893E-61</c:v>
                </c:pt>
                <c:pt idx="38">
                  <c:v>6.0313823890866189E-55</c:v>
                </c:pt>
                <c:pt idx="39">
                  <c:v>7.6327493243741332E-49</c:v>
                </c:pt>
                <c:pt idx="40">
                  <c:v>4.5138529411599643E-43</c:v>
                </c:pt>
                <c:pt idx="41">
                  <c:v>1.2474297084131789E-37</c:v>
                </c:pt>
                <c:pt idx="42">
                  <c:v>1.6109684325906538E-32</c:v>
                </c:pt>
                <c:pt idx="43">
                  <c:v>9.7221036840439159E-28</c:v>
                </c:pt>
                <c:pt idx="44">
                  <c:v>2.7417997784343727E-23</c:v>
                </c:pt>
                <c:pt idx="45">
                  <c:v>3.6133788326982344E-19</c:v>
                </c:pt>
                <c:pt idx="46">
                  <c:v>2.2253254038590975E-15</c:v>
                </c:pt>
                <c:pt idx="47">
                  <c:v>6.4043613213243316E-12</c:v>
                </c:pt>
                <c:pt idx="48">
                  <c:v>8.613117991990738E-9</c:v>
                </c:pt>
                <c:pt idx="49">
                  <c:v>5.4131148046551857E-6</c:v>
                </c:pt>
                <c:pt idx="50">
                  <c:v>1.58977751327297E-3</c:v>
                </c:pt>
                <c:pt idx="51">
                  <c:v>0.21818642787501968</c:v>
                </c:pt>
                <c:pt idx="52">
                  <c:v>13.993339954176244</c:v>
                </c:pt>
                <c:pt idx="53">
                  <c:v>419.38926372990232</c:v>
                </c:pt>
                <c:pt idx="54">
                  <c:v>5873.7505999534824</c:v>
                </c:pt>
                <c:pt idx="55">
                  <c:v>38442.884507119597</c:v>
                </c:pt>
                <c:pt idx="56">
                  <c:v>117576.00561873561</c:v>
                </c:pt>
                <c:pt idx="57">
                  <c:v>168044.26964331363</c:v>
                </c:pt>
                <c:pt idx="58">
                  <c:v>112235.69071087234</c:v>
                </c:pt>
                <c:pt idx="59">
                  <c:v>35030.031693963225</c:v>
                </c:pt>
                <c:pt idx="60">
                  <c:v>5109.1934582458462</c:v>
                </c:pt>
                <c:pt idx="61">
                  <c:v>348.23020231521537</c:v>
                </c:pt>
                <c:pt idx="62">
                  <c:v>11.091308710612138</c:v>
                </c:pt>
                <c:pt idx="63">
                  <c:v>0.16508264635841602</c:v>
                </c:pt>
                <c:pt idx="64">
                  <c:v>1.1482126349950867E-3</c:v>
                </c:pt>
                <c:pt idx="65">
                  <c:v>3.7320331387881935E-6</c:v>
                </c:pt>
                <c:pt idx="66">
                  <c:v>5.6685362966257901E-9</c:v>
                </c:pt>
                <c:pt idx="67">
                  <c:v>4.0234503162762996E-12</c:v>
                </c:pt>
                <c:pt idx="68">
                  <c:v>1.3345308701921173E-15</c:v>
                </c:pt>
                <c:pt idx="69">
                  <c:v>2.0685254867836096E-19</c:v>
                </c:pt>
                <c:pt idx="70">
                  <c:v>1.498288336936089E-23</c:v>
                </c:pt>
                <c:pt idx="71">
                  <c:v>5.0714505124973713E-28</c:v>
                </c:pt>
                <c:pt idx="72">
                  <c:v>8.0217893919244816E-33</c:v>
                </c:pt>
                <c:pt idx="73">
                  <c:v>5.9294251317438959E-38</c:v>
                </c:pt>
                <c:pt idx="74">
                  <c:v>2.048123753918158E-43</c:v>
                </c:pt>
                <c:pt idx="75">
                  <c:v>3.305994066314757E-49</c:v>
                </c:pt>
                <c:pt idx="76">
                  <c:v>2.493734510877741E-55</c:v>
                </c:pt>
                <c:pt idx="77">
                  <c:v>8.7902379575195761E-62</c:v>
                </c:pt>
                <c:pt idx="78">
                  <c:v>1.447949178126826E-68</c:v>
                </c:pt>
                <c:pt idx="79">
                  <c:v>1.114572378591251E-75</c:v>
                </c:pt>
                <c:pt idx="80">
                  <c:v>4.0092718439920384E-83</c:v>
                </c:pt>
                <c:pt idx="81">
                  <c:v>6.7394584873276985E-91</c:v>
                </c:pt>
                <c:pt idx="82">
                  <c:v>5.2940345536584965E-99</c:v>
                </c:pt>
                <c:pt idx="83">
                  <c:v>1.9433490444274896E-107</c:v>
                </c:pt>
                <c:pt idx="84">
                  <c:v>3.3336278925598669E-116</c:v>
                </c:pt>
                <c:pt idx="85">
                  <c:v>2.6723030161378066E-125</c:v>
                </c:pt>
                <c:pt idx="86">
                  <c:v>1.0010518049264972E-134</c:v>
                </c:pt>
                <c:pt idx="87">
                  <c:v>1.7523855957940462E-144</c:v>
                </c:pt>
                <c:pt idx="88">
                  <c:v>1.4335243257209695E-154</c:v>
                </c:pt>
                <c:pt idx="89">
                  <c:v>5.4800273973736653E-165</c:v>
                </c:pt>
                <c:pt idx="90">
                  <c:v>9.7895485163432942E-176</c:v>
                </c:pt>
                <c:pt idx="91">
                  <c:v>8.1723106504112676E-187</c:v>
                </c:pt>
                <c:pt idx="92">
                  <c:v>3.1880809579277917E-198</c:v>
                </c:pt>
                <c:pt idx="93">
                  <c:v>5.8118726070582509E-210</c:v>
                </c:pt>
                <c:pt idx="94">
                  <c:v>4.9511388024800817E-222</c:v>
                </c:pt>
                <c:pt idx="95">
                  <c:v>1.9710443108422959E-234</c:v>
                </c:pt>
                <c:pt idx="96">
                  <c:v>3.6668229787368827E-247</c:v>
                </c:pt>
                <c:pt idx="97">
                  <c:v>3.1877611343613807E-260</c:v>
                </c:pt>
                <c:pt idx="98">
                  <c:v>1.2950420463697512E-273</c:v>
                </c:pt>
                <c:pt idx="99">
                  <c:v>2.4585793926343498E-287</c:v>
                </c:pt>
                <c:pt idx="100">
                  <c:v>2.181156741526318E-301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2.0558511200448463E-296</c:v>
                </c:pt>
                <c:pt idx="208">
                  <c:v>9.9696562744042173E-283</c:v>
                </c:pt>
                <c:pt idx="209">
                  <c:v>2.3305725301142708E-269</c:v>
                </c:pt>
                <c:pt idx="210">
                  <c:v>2.6262675922408409E-256</c:v>
                </c:pt>
                <c:pt idx="211">
                  <c:v>1.4266230589383999E-243</c:v>
                </c:pt>
                <c:pt idx="212">
                  <c:v>3.7357122593851087E-231</c:v>
                </c:pt>
                <c:pt idx="213">
                  <c:v>4.7155408269664117E-219</c:v>
                </c:pt>
                <c:pt idx="214">
                  <c:v>2.8693499222535688E-207</c:v>
                </c:pt>
                <c:pt idx="215">
                  <c:v>8.4164594049576604E-196</c:v>
                </c:pt>
                <c:pt idx="216">
                  <c:v>1.1900611153410627E-184</c:v>
                </c:pt>
                <c:pt idx="217">
                  <c:v>8.1115343296901163E-174</c:v>
                </c:pt>
                <c:pt idx="218">
                  <c:v>2.6652053076385079E-163</c:v>
                </c:pt>
                <c:pt idx="219">
                  <c:v>4.2213585539816216E-153</c:v>
                </c:pt>
                <c:pt idx="220">
                  <c:v>3.2230550820273945E-143</c:v>
                </c:pt>
                <c:pt idx="221">
                  <c:v>1.1862524624070119E-133</c:v>
                </c:pt>
                <c:pt idx="222">
                  <c:v>2.1046526943101077E-124</c:v>
                </c:pt>
                <c:pt idx="223">
                  <c:v>1.8000213894947486E-115</c:v>
                </c:pt>
                <c:pt idx="224">
                  <c:v>7.4211089136449141E-107</c:v>
                </c:pt>
                <c:pt idx="225">
                  <c:v>1.4748703961704569E-98</c:v>
                </c:pt>
                <c:pt idx="226">
                  <c:v>1.4129696223540525E-90</c:v>
                </c:pt>
                <c:pt idx="227">
                  <c:v>6.5253784586793994E-83</c:v>
                </c:pt>
                <c:pt idx="228">
                  <c:v>1.4526884994027601E-75</c:v>
                </c:pt>
                <c:pt idx="229">
                  <c:v>1.5589536572414274E-68</c:v>
                </c:pt>
                <c:pt idx="230">
                  <c:v>8.0646927361683163E-62</c:v>
                </c:pt>
                <c:pt idx="231">
                  <c:v>2.0111124715410988E-55</c:v>
                </c:pt>
                <c:pt idx="232">
                  <c:v>2.417568600521766E-49</c:v>
                </c:pt>
                <c:pt idx="233">
                  <c:v>1.4009259081660957E-43</c:v>
                </c:pt>
                <c:pt idx="234">
                  <c:v>3.913320708516279E-38</c:v>
                </c:pt>
                <c:pt idx="235">
                  <c:v>5.2695026668228571E-33</c:v>
                </c:pt>
                <c:pt idx="236">
                  <c:v>3.4204853101408585E-28</c:v>
                </c:pt>
                <c:pt idx="237">
                  <c:v>1.0702857521027924E-23</c:v>
                </c:pt>
                <c:pt idx="238">
                  <c:v>1.6143796405492977E-19</c:v>
                </c:pt>
                <c:pt idx="239">
                  <c:v>1.1738308337654085E-15</c:v>
                </c:pt>
                <c:pt idx="240">
                  <c:v>4.1143313790119095E-12</c:v>
                </c:pt>
                <c:pt idx="241">
                  <c:v>6.951634600765689E-9</c:v>
                </c:pt>
                <c:pt idx="242">
                  <c:v>5.6619824364998862E-6</c:v>
                </c:pt>
                <c:pt idx="243">
                  <c:v>2.2230232912550437E-3</c:v>
                </c:pt>
                <c:pt idx="244">
                  <c:v>0.42073963078444804</c:v>
                </c:pt>
                <c:pt idx="245">
                  <c:v>38.386343343866784</c:v>
                </c:pt>
                <c:pt idx="246">
                  <c:v>1688.2391953813215</c:v>
                </c:pt>
                <c:pt idx="247">
                  <c:v>35791.930861621571</c:v>
                </c:pt>
                <c:pt idx="248">
                  <c:v>365788.62008671003</c:v>
                </c:pt>
                <c:pt idx="249">
                  <c:v>1802059.6645029485</c:v>
                </c:pt>
                <c:pt idx="250">
                  <c:v>4279588.9274068465</c:v>
                </c:pt>
                <c:pt idx="251">
                  <c:v>4899241.6135571003</c:v>
                </c:pt>
                <c:pt idx="252">
                  <c:v>2703644.4253434939</c:v>
                </c:pt>
                <c:pt idx="253">
                  <c:v>719224.0538419052</c:v>
                </c:pt>
                <c:pt idx="254">
                  <c:v>92230.114246325655</c:v>
                </c:pt>
                <c:pt idx="255">
                  <c:v>5701.3171851979023</c:v>
                </c:pt>
                <c:pt idx="256">
                  <c:v>169.89146955288129</c:v>
                </c:pt>
                <c:pt idx="257">
                  <c:v>2.4404047203337842</c:v>
                </c:pt>
                <c:pt idx="258">
                  <c:v>1.6898418176140812E-2</c:v>
                </c:pt>
                <c:pt idx="259">
                  <c:v>5.6405851983350656E-5</c:v>
                </c:pt>
                <c:pt idx="260">
                  <c:v>9.0760355252779477E-8</c:v>
                </c:pt>
                <c:pt idx="261">
                  <c:v>7.0398292298091872E-11</c:v>
                </c:pt>
                <c:pt idx="262">
                  <c:v>2.6322187286674154E-14</c:v>
                </c:pt>
                <c:pt idx="263">
                  <c:v>4.7443392792484717E-18</c:v>
                </c:pt>
                <c:pt idx="264">
                  <c:v>4.1221464429226544E-22</c:v>
                </c:pt>
                <c:pt idx="265">
                  <c:v>1.7264937374251341E-26</c:v>
                </c:pt>
                <c:pt idx="266">
                  <c:v>3.4857843179712805E-31</c:v>
                </c:pt>
                <c:pt idx="267">
                  <c:v>3.3925786882761616E-36</c:v>
                </c:pt>
                <c:pt idx="268">
                  <c:v>1.5916708434654608E-41</c:v>
                </c:pt>
                <c:pt idx="269">
                  <c:v>3.5997347919321717E-47</c:v>
                </c:pt>
                <c:pt idx="270">
                  <c:v>3.9244758757523326E-53</c:v>
                </c:pt>
                <c:pt idx="271">
                  <c:v>2.0624657032040511E-59</c:v>
                </c:pt>
                <c:pt idx="272">
                  <c:v>5.2249930902952344E-66</c:v>
                </c:pt>
                <c:pt idx="273">
                  <c:v>6.380851227672989E-73</c:v>
                </c:pt>
                <c:pt idx="274">
                  <c:v>3.7563446359626423E-80</c:v>
                </c:pt>
                <c:pt idx="275">
                  <c:v>1.0659728815809956E-87</c:v>
                </c:pt>
                <c:pt idx="276">
                  <c:v>1.4582124276835233E-95</c:v>
                </c:pt>
                <c:pt idx="277">
                  <c:v>9.615886920055968E-104</c:v>
                </c:pt>
                <c:pt idx="278">
                  <c:v>3.0566929357146255E-112</c:v>
                </c:pt>
                <c:pt idx="279">
                  <c:v>4.683906234205867E-121</c:v>
                </c:pt>
                <c:pt idx="280">
                  <c:v>3.4598596756625213E-130</c:v>
                </c:pt>
                <c:pt idx="281">
                  <c:v>1.2319772587894378E-139</c:v>
                </c:pt>
                <c:pt idx="282">
                  <c:v>2.1146612675194324E-149</c:v>
                </c:pt>
                <c:pt idx="283">
                  <c:v>1.749737274834309E-159</c:v>
                </c:pt>
                <c:pt idx="284">
                  <c:v>6.9790898601637365E-170</c:v>
                </c:pt>
                <c:pt idx="285">
                  <c:v>1.3418953564944661E-180</c:v>
                </c:pt>
                <c:pt idx="286">
                  <c:v>1.2437480801828254E-191</c:v>
                </c:pt>
                <c:pt idx="287">
                  <c:v>5.556996332568904E-203</c:v>
                </c:pt>
                <c:pt idx="288">
                  <c:v>1.1968554738479287E-214</c:v>
                </c:pt>
                <c:pt idx="289">
                  <c:v>1.2426168090000074E-226</c:v>
                </c:pt>
                <c:pt idx="290">
                  <c:v>6.2190872705705854E-239</c:v>
                </c:pt>
                <c:pt idx="291">
                  <c:v>1.5004101442428266E-251</c:v>
                </c:pt>
                <c:pt idx="292">
                  <c:v>1.7449671107294863E-264</c:v>
                </c:pt>
                <c:pt idx="293">
                  <c:v>9.7826927406460956E-278</c:v>
                </c:pt>
                <c:pt idx="294">
                  <c:v>2.6437689284435286E-291</c:v>
                </c:pt>
                <c:pt idx="295">
                  <c:v>3.4441534167824907E-305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6.9886270151368557E-296</c:v>
                </c:pt>
                <c:pt idx="359">
                  <c:v>1.6356397151989201E-282</c:v>
                </c:pt>
                <c:pt idx="360">
                  <c:v>1.9035705972776916E-269</c:v>
                </c:pt>
                <c:pt idx="361">
                  <c:v>1.1016303321794157E-256</c:v>
                </c:pt>
                <c:pt idx="362">
                  <c:v>3.1702122427280128E-244</c:v>
                </c:pt>
                <c:pt idx="363">
                  <c:v>4.5365567569957872E-232</c:v>
                </c:pt>
                <c:pt idx="364">
                  <c:v>3.2281218171431655E-220</c:v>
                </c:pt>
                <c:pt idx="365">
                  <c:v>1.142244400209956E-208</c:v>
                </c:pt>
                <c:pt idx="366">
                  <c:v>2.0098040480174222E-197</c:v>
                </c:pt>
                <c:pt idx="367">
                  <c:v>1.7584659041530676E-186</c:v>
                </c:pt>
                <c:pt idx="368">
                  <c:v>7.6506748256323739E-176</c:v>
                </c:pt>
                <c:pt idx="369">
                  <c:v>1.6552023403600867E-165</c:v>
                </c:pt>
                <c:pt idx="370">
                  <c:v>1.7806886729527374E-155</c:v>
                </c:pt>
                <c:pt idx="371">
                  <c:v>9.525997362098336E-146</c:v>
                </c:pt>
                <c:pt idx="372">
                  <c:v>2.5340692214700596E-136</c:v>
                </c:pt>
                <c:pt idx="373">
                  <c:v>3.3520620366488956E-127</c:v>
                </c:pt>
                <c:pt idx="374">
                  <c:v>2.2049115750346706E-118</c:v>
                </c:pt>
                <c:pt idx="375">
                  <c:v>7.212002416435251E-110</c:v>
                </c:pt>
                <c:pt idx="376">
                  <c:v>1.1730218615564573E-101</c:v>
                </c:pt>
                <c:pt idx="377">
                  <c:v>9.4872840815338735E-94</c:v>
                </c:pt>
                <c:pt idx="378">
                  <c:v>3.8156036915945937E-86</c:v>
                </c:pt>
                <c:pt idx="379">
                  <c:v>7.6308017726478929E-79</c:v>
                </c:pt>
                <c:pt idx="380">
                  <c:v>7.588617096180102E-72</c:v>
                </c:pt>
                <c:pt idx="381">
                  <c:v>3.7526724960371224E-65</c:v>
                </c:pt>
                <c:pt idx="382">
                  <c:v>9.2279290115113139E-59</c:v>
                </c:pt>
                <c:pt idx="383">
                  <c:v>1.1283748090556533E-52</c:v>
                </c:pt>
                <c:pt idx="384">
                  <c:v>6.8610103643932025E-47</c:v>
                </c:pt>
                <c:pt idx="385">
                  <c:v>2.074475571932746E-41</c:v>
                </c:pt>
                <c:pt idx="386">
                  <c:v>3.1189910695257166E-36</c:v>
                </c:pt>
                <c:pt idx="387">
                  <c:v>2.3318762207303701E-31</c:v>
                </c:pt>
                <c:pt idx="388">
                  <c:v>8.6692676749680672E-27</c:v>
                </c:pt>
                <c:pt idx="389">
                  <c:v>1.6026728791881183E-22</c:v>
                </c:pt>
                <c:pt idx="390">
                  <c:v>1.4733058703834609E-18</c:v>
                </c:pt>
                <c:pt idx="391">
                  <c:v>6.7348279751396483E-15</c:v>
                </c:pt>
                <c:pt idx="392">
                  <c:v>1.5308958701033294E-11</c:v>
                </c:pt>
                <c:pt idx="393">
                  <c:v>1.7304153226098561E-8</c:v>
                </c:pt>
                <c:pt idx="394">
                  <c:v>9.7261420702711457E-6</c:v>
                </c:pt>
                <c:pt idx="395">
                  <c:v>2.718419158942591E-3</c:v>
                </c:pt>
                <c:pt idx="396">
                  <c:v>0.37781377839496816</c:v>
                </c:pt>
                <c:pt idx="397">
                  <c:v>26.111072948442647</c:v>
                </c:pt>
                <c:pt idx="398">
                  <c:v>897.34035767677744</c:v>
                </c:pt>
                <c:pt idx="399">
                  <c:v>15334.698416162839</c:v>
                </c:pt>
                <c:pt idx="400">
                  <c:v>130310.32692282165</c:v>
                </c:pt>
                <c:pt idx="401">
                  <c:v>550640.29068398301</c:v>
                </c:pt>
                <c:pt idx="402">
                  <c:v>1157024.8687044152</c:v>
                </c:pt>
                <c:pt idx="403">
                  <c:v>1208935.0187688009</c:v>
                </c:pt>
                <c:pt idx="404">
                  <c:v>628128.90395848895</c:v>
                </c:pt>
                <c:pt idx="405">
                  <c:v>162285.66341866381</c:v>
                </c:pt>
                <c:pt idx="406">
                  <c:v>20849.569324884596</c:v>
                </c:pt>
                <c:pt idx="407">
                  <c:v>1331.9857482968687</c:v>
                </c:pt>
                <c:pt idx="408">
                  <c:v>42.314345135797936</c:v>
                </c:pt>
                <c:pt idx="409">
                  <c:v>0.66843814660693679</c:v>
                </c:pt>
                <c:pt idx="410">
                  <c:v>5.2507384415847727E-3</c:v>
                </c:pt>
                <c:pt idx="411">
                  <c:v>2.0509973539097841E-5</c:v>
                </c:pt>
                <c:pt idx="412">
                  <c:v>3.9837802246089355E-8</c:v>
                </c:pt>
                <c:pt idx="413">
                  <c:v>3.8477885609438796E-11</c:v>
                </c:pt>
                <c:pt idx="414">
                  <c:v>1.8480451752467096E-14</c:v>
                </c:pt>
                <c:pt idx="415">
                  <c:v>4.4136665945418256E-18</c:v>
                </c:pt>
                <c:pt idx="416">
                  <c:v>5.2416983025521651E-22</c:v>
                </c:pt>
                <c:pt idx="417">
                  <c:v>3.0954947638681804E-26</c:v>
                </c:pt>
                <c:pt idx="418">
                  <c:v>9.0902051217970457E-31</c:v>
                </c:pt>
                <c:pt idx="419">
                  <c:v>1.3274031659537499E-35</c:v>
                </c:pt>
                <c:pt idx="420">
                  <c:v>9.6386802052235637E-41</c:v>
                </c:pt>
                <c:pt idx="421">
                  <c:v>3.4803093636059958E-46</c:v>
                </c:pt>
                <c:pt idx="422">
                  <c:v>6.2489015845418218E-52</c:v>
                </c:pt>
                <c:pt idx="423">
                  <c:v>5.57924041790415E-58</c:v>
                </c:pt>
                <c:pt idx="424">
                  <c:v>2.4770343199088392E-64</c:v>
                </c:pt>
                <c:pt idx="425">
                  <c:v>5.4685794723961323E-71</c:v>
                </c:pt>
                <c:pt idx="426">
                  <c:v>6.0034733663012146E-78</c:v>
                </c:pt>
                <c:pt idx="427">
                  <c:v>3.2773000530284806E-85</c:v>
                </c:pt>
                <c:pt idx="428">
                  <c:v>8.8964220553229726E-93</c:v>
                </c:pt>
                <c:pt idx="429">
                  <c:v>1.2008813703894494E-100</c:v>
                </c:pt>
                <c:pt idx="430">
                  <c:v>8.060656110152945E-109</c:v>
                </c:pt>
                <c:pt idx="431">
                  <c:v>2.6904581159751837E-117</c:v>
                </c:pt>
                <c:pt idx="432">
                  <c:v>4.465474709130841E-126</c:v>
                </c:pt>
                <c:pt idx="433">
                  <c:v>3.6854844987936116E-135</c:v>
                </c:pt>
                <c:pt idx="434">
                  <c:v>1.512540806156513E-144</c:v>
                </c:pt>
                <c:pt idx="435">
                  <c:v>3.0867763752414048E-154</c:v>
                </c:pt>
                <c:pt idx="436">
                  <c:v>3.1324834968724419E-164</c:v>
                </c:pt>
                <c:pt idx="437">
                  <c:v>1.5807310055890472E-174</c:v>
                </c:pt>
                <c:pt idx="438">
                  <c:v>3.966547949333288E-185</c:v>
                </c:pt>
                <c:pt idx="439">
                  <c:v>4.9494051011992109E-196</c:v>
                </c:pt>
                <c:pt idx="440">
                  <c:v>3.0709931729011823E-207</c:v>
                </c:pt>
                <c:pt idx="441">
                  <c:v>9.4752408201337759E-219</c:v>
                </c:pt>
                <c:pt idx="442">
                  <c:v>1.4537416015500786E-230</c:v>
                </c:pt>
                <c:pt idx="443">
                  <c:v>1.1090975277026062E-242</c:v>
                </c:pt>
                <c:pt idx="444">
                  <c:v>4.2076326068603864E-255</c:v>
                </c:pt>
                <c:pt idx="445">
                  <c:v>7.9376408209238046E-268</c:v>
                </c:pt>
                <c:pt idx="446">
                  <c:v>7.4461302823763951E-281</c:v>
                </c:pt>
                <c:pt idx="447">
                  <c:v>3.4734045952231734E-294</c:v>
                </c:pt>
                <c:pt idx="448">
                  <c:v>8.056857357105923E-308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1.0022713873432431E-307</c:v>
                </c:pt>
                <c:pt idx="488">
                  <c:v>2.1655421151680902E-294</c:v>
                </c:pt>
                <c:pt idx="489">
                  <c:v>2.4000767806165531E-281</c:v>
                </c:pt>
                <c:pt idx="490">
                  <c:v>1.3644600856158457E-268</c:v>
                </c:pt>
                <c:pt idx="491">
                  <c:v>3.978998134352947E-256</c:v>
                </c:pt>
                <c:pt idx="492">
                  <c:v>5.9520124980569099E-244</c:v>
                </c:pt>
                <c:pt idx="493">
                  <c:v>4.5670012733211116E-232</c:v>
                </c:pt>
                <c:pt idx="494">
                  <c:v>1.7975278596405651E-220</c:v>
                </c:pt>
                <c:pt idx="495">
                  <c:v>3.6290865594202917E-209</c:v>
                </c:pt>
                <c:pt idx="496">
                  <c:v>3.7583413565087984E-198</c:v>
                </c:pt>
                <c:pt idx="497">
                  <c:v>1.996513808395202E-187</c:v>
                </c:pt>
                <c:pt idx="498">
                  <c:v>5.4403346200411397E-177</c:v>
                </c:pt>
                <c:pt idx="499">
                  <c:v>7.6042450999722867E-167</c:v>
                </c:pt>
                <c:pt idx="500">
                  <c:v>5.4520998343358933E-157</c:v>
                </c:pt>
                <c:pt idx="501">
                  <c:v>2.0051584280469145E-147</c:v>
                </c:pt>
                <c:pt idx="502">
                  <c:v>3.7827773819874568E-138</c:v>
                </c:pt>
                <c:pt idx="503">
                  <c:v>3.6605814493179762E-129</c:v>
                </c:pt>
                <c:pt idx="504">
                  <c:v>1.8170486889582099E-120</c:v>
                </c:pt>
                <c:pt idx="505">
                  <c:v>4.6265818956385075E-112</c:v>
                </c:pt>
                <c:pt idx="506">
                  <c:v>6.042701519912803E-104</c:v>
                </c:pt>
                <c:pt idx="507">
                  <c:v>4.0483609838222912E-96</c:v>
                </c:pt>
                <c:pt idx="508">
                  <c:v>1.391247887461604E-88</c:v>
                </c:pt>
                <c:pt idx="509">
                  <c:v>2.4524886398318726E-81</c:v>
                </c:pt>
                <c:pt idx="510">
                  <c:v>2.2176177552336107E-74</c:v>
                </c:pt>
                <c:pt idx="511">
                  <c:v>1.0285930252533399E-67</c:v>
                </c:pt>
                <c:pt idx="512">
                  <c:v>2.4472461805691351E-61</c:v>
                </c:pt>
                <c:pt idx="513">
                  <c:v>2.9866817134748815E-55</c:v>
                </c:pt>
                <c:pt idx="514">
                  <c:v>1.8697236684314685E-49</c:v>
                </c:pt>
                <c:pt idx="515">
                  <c:v>6.004033514080816E-44</c:v>
                </c:pt>
                <c:pt idx="516">
                  <c:v>9.8897653887371068E-39</c:v>
                </c:pt>
                <c:pt idx="517">
                  <c:v>8.3561469672042995E-34</c:v>
                </c:pt>
                <c:pt idx="518">
                  <c:v>3.6216239171789568E-29</c:v>
                </c:pt>
                <c:pt idx="519">
                  <c:v>8.0515191221181618E-25</c:v>
                </c:pt>
                <c:pt idx="520">
                  <c:v>9.1818354859886588E-21</c:v>
                </c:pt>
                <c:pt idx="521">
                  <c:v>5.3710399756718542E-17</c:v>
                </c:pt>
                <c:pt idx="522">
                  <c:v>1.6116267293474851E-13</c:v>
                </c:pt>
                <c:pt idx="523">
                  <c:v>2.4805485859419427E-10</c:v>
                </c:pt>
                <c:pt idx="524">
                  <c:v>1.9584307221077876E-7</c:v>
                </c:pt>
                <c:pt idx="525">
                  <c:v>7.9313275904280777E-5</c:v>
                </c:pt>
                <c:pt idx="526">
                  <c:v>1.647634063474461E-2</c:v>
                </c:pt>
                <c:pt idx="527">
                  <c:v>1.7557102124798982</c:v>
                </c:pt>
                <c:pt idx="528">
                  <c:v>95.967041805508146</c:v>
                </c:pt>
                <c:pt idx="529">
                  <c:v>2690.7204509507924</c:v>
                </c:pt>
                <c:pt idx="530">
                  <c:v>38698.332400102983</c:v>
                </c:pt>
                <c:pt idx="531">
                  <c:v>285491.45961463789</c:v>
                </c:pt>
                <c:pt idx="532">
                  <c:v>1080366.7026393099</c:v>
                </c:pt>
                <c:pt idx="533">
                  <c:v>2097135.3428203713</c:v>
                </c:pt>
                <c:pt idx="534">
                  <c:v>2088136.7056367525</c:v>
                </c:pt>
                <c:pt idx="535">
                  <c:v>1066518.9954204701</c:v>
                </c:pt>
                <c:pt idx="536">
                  <c:v>279418.69602401473</c:v>
                </c:pt>
                <c:pt idx="537">
                  <c:v>37550.828847774843</c:v>
                </c:pt>
                <c:pt idx="538">
                  <c:v>2588.5752393373023</c:v>
                </c:pt>
                <c:pt idx="539">
                  <c:v>91.533328894048211</c:v>
                </c:pt>
                <c:pt idx="540">
                  <c:v>1.6602554740427558</c:v>
                </c:pt>
                <c:pt idx="541">
                  <c:v>1.5447129370700002E-2</c:v>
                </c:pt>
                <c:pt idx="542">
                  <c:v>7.3722125173184206E-5</c:v>
                </c:pt>
                <c:pt idx="543">
                  <c:v>1.8047834822023143E-7</c:v>
                </c:pt>
                <c:pt idx="544">
                  <c:v>2.2663635058288546E-10</c:v>
                </c:pt>
                <c:pt idx="545">
                  <c:v>1.4598600647427637E-13</c:v>
                </c:pt>
                <c:pt idx="546">
                  <c:v>4.8235866851300647E-17</c:v>
                </c:pt>
                <c:pt idx="547">
                  <c:v>8.1753460782502531E-21</c:v>
                </c:pt>
                <c:pt idx="548">
                  <c:v>7.1075414988205416E-25</c:v>
                </c:pt>
                <c:pt idx="549">
                  <c:v>3.1696394327797466E-29</c:v>
                </c:pt>
                <c:pt idx="550">
                  <c:v>7.2506596162247383E-34</c:v>
                </c:pt>
                <c:pt idx="551">
                  <c:v>8.5078999321089367E-39</c:v>
                </c:pt>
                <c:pt idx="552">
                  <c:v>5.1208779856633487E-44</c:v>
                </c:pt>
                <c:pt idx="553">
                  <c:v>1.5810430020258066E-49</c:v>
                </c:pt>
                <c:pt idx="554">
                  <c:v>2.5039181930797411E-55</c:v>
                </c:pt>
                <c:pt idx="555">
                  <c:v>2.0341069720663241E-61</c:v>
                </c:pt>
                <c:pt idx="556">
                  <c:v>8.4762672331314222E-68</c:v>
                </c:pt>
                <c:pt idx="557">
                  <c:v>1.8118101636713324E-74</c:v>
                </c:pt>
                <c:pt idx="558">
                  <c:v>1.9865428719202472E-81</c:v>
                </c:pt>
                <c:pt idx="559">
                  <c:v>1.1172757992581023E-88</c:v>
                </c:pt>
                <c:pt idx="560">
                  <c:v>3.2232948987351323E-96</c:v>
                </c:pt>
                <c:pt idx="561">
                  <c:v>4.7699836361263121E-104</c:v>
                </c:pt>
                <c:pt idx="562">
                  <c:v>3.6208533593262388E-112</c:v>
                </c:pt>
                <c:pt idx="563">
                  <c:v>1.4098801093590263E-120</c:v>
                </c:pt>
                <c:pt idx="564">
                  <c:v>2.8159868967166568E-129</c:v>
                </c:pt>
                <c:pt idx="565">
                  <c:v>2.8850694694997E-138</c:v>
                </c:pt>
                <c:pt idx="566">
                  <c:v>1.516209172399029E-147</c:v>
                </c:pt>
                <c:pt idx="567">
                  <c:v>4.0873249234490638E-157</c:v>
                </c:pt>
                <c:pt idx="568">
                  <c:v>5.6519252138750072E-167</c:v>
                </c:pt>
                <c:pt idx="569">
                  <c:v>4.0089519323783929E-177</c:v>
                </c:pt>
                <c:pt idx="570">
                  <c:v>1.4586210969443553E-187</c:v>
                </c:pt>
                <c:pt idx="571">
                  <c:v>2.7222708432304692E-198</c:v>
                </c:pt>
                <c:pt idx="572">
                  <c:v>2.6061377791610543E-209</c:v>
                </c:pt>
                <c:pt idx="573">
                  <c:v>1.2797955961114733E-220</c:v>
                </c:pt>
                <c:pt idx="574">
                  <c:v>3.2237477359346836E-232</c:v>
                </c:pt>
                <c:pt idx="575">
                  <c:v>4.1654189470155917E-244</c:v>
                </c:pt>
                <c:pt idx="576">
                  <c:v>2.7607909676748534E-256</c:v>
                </c:pt>
                <c:pt idx="577">
                  <c:v>9.3861083223786185E-269</c:v>
                </c:pt>
                <c:pt idx="578">
                  <c:v>1.6368722938813834E-281</c:v>
                </c:pt>
                <c:pt idx="579">
                  <c:v>1.4642702300377288E-294</c:v>
                </c:pt>
                <c:pt idx="580">
                  <c:v>6.7190034976465953E-308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3.3776406889179709E-308</c:v>
                </c:pt>
                <c:pt idx="605">
                  <c:v>3.4659670498722411E-295</c:v>
                </c:pt>
                <c:pt idx="606">
                  <c:v>1.8819334160120575E-282</c:v>
                </c:pt>
                <c:pt idx="607">
                  <c:v>5.4069570528680524E-270</c:v>
                </c:pt>
                <c:pt idx="608">
                  <c:v>8.2199737084470408E-258</c:v>
                </c:pt>
                <c:pt idx="609">
                  <c:v>6.6123644003819557E-246</c:v>
                </c:pt>
                <c:pt idx="610">
                  <c:v>2.8145694657722817E-234</c:v>
                </c:pt>
                <c:pt idx="611">
                  <c:v>6.3392226679058792E-223</c:v>
                </c:pt>
                <c:pt idx="612">
                  <c:v>7.5549028487190486E-212</c:v>
                </c:pt>
                <c:pt idx="613">
                  <c:v>4.7642067849131684E-201</c:v>
                </c:pt>
                <c:pt idx="614">
                  <c:v>1.5897219279935251E-190</c:v>
                </c:pt>
                <c:pt idx="615">
                  <c:v>2.8068588166424412E-180</c:v>
                </c:pt>
                <c:pt idx="616">
                  <c:v>2.6223388812780244E-170</c:v>
                </c:pt>
                <c:pt idx="617">
                  <c:v>1.2963608362129033E-160</c:v>
                </c:pt>
                <c:pt idx="618">
                  <c:v>3.3910315657377105E-151</c:v>
                </c:pt>
                <c:pt idx="619">
                  <c:v>4.6936057238722619E-142</c:v>
                </c:pt>
                <c:pt idx="620">
                  <c:v>3.4375594632428923E-133</c:v>
                </c:pt>
                <c:pt idx="621">
                  <c:v>1.3321792845893134E-124</c:v>
                </c:pt>
                <c:pt idx="622">
                  <c:v>2.7317690164309857E-116</c:v>
                </c:pt>
                <c:pt idx="623">
                  <c:v>2.9641086315065089E-108</c:v>
                </c:pt>
                <c:pt idx="624">
                  <c:v>1.7018179468490785E-100</c:v>
                </c:pt>
                <c:pt idx="625">
                  <c:v>5.1701235878567181E-93</c:v>
                </c:pt>
                <c:pt idx="626">
                  <c:v>8.3110824794858064E-86</c:v>
                </c:pt>
                <c:pt idx="627">
                  <c:v>7.0694088957587752E-79</c:v>
                </c:pt>
                <c:pt idx="628">
                  <c:v>3.1818335292078744E-72</c:v>
                </c:pt>
                <c:pt idx="629">
                  <c:v>7.5777565410817256E-66</c:v>
                </c:pt>
                <c:pt idx="630">
                  <c:v>9.5493252221896228E-60</c:v>
                </c:pt>
                <c:pt idx="631">
                  <c:v>6.3675675795082371E-54</c:v>
                </c:pt>
                <c:pt idx="632">
                  <c:v>2.2466906788989053E-48</c:v>
                </c:pt>
                <c:pt idx="633">
                  <c:v>4.1945159127343666E-43</c:v>
                </c:pt>
                <c:pt idx="634">
                  <c:v>4.1437090255078196E-38</c:v>
                </c:pt>
                <c:pt idx="635">
                  <c:v>2.1660351424272446E-33</c:v>
                </c:pt>
                <c:pt idx="636">
                  <c:v>5.9911554447917514E-29</c:v>
                </c:pt>
                <c:pt idx="637">
                  <c:v>8.7684841106597009E-25</c:v>
                </c:pt>
                <c:pt idx="638">
                  <c:v>6.7905866140973918E-21</c:v>
                </c:pt>
                <c:pt idx="639">
                  <c:v>2.7826520786013196E-17</c:v>
                </c:pt>
                <c:pt idx="640">
                  <c:v>6.033639620792478E-14</c:v>
                </c:pt>
                <c:pt idx="641">
                  <c:v>6.9225909000730995E-11</c:v>
                </c:pt>
                <c:pt idx="642">
                  <c:v>4.2026847057135354E-8</c:v>
                </c:pt>
                <c:pt idx="643">
                  <c:v>1.3500622508390768E-5</c:v>
                </c:pt>
                <c:pt idx="644">
                  <c:v>2.2948252556002796E-3</c:v>
                </c:pt>
                <c:pt idx="645">
                  <c:v>0.2064021846606173</c:v>
                </c:pt>
                <c:pt idx="646">
                  <c:v>9.823082711091045</c:v>
                </c:pt>
                <c:pt idx="647">
                  <c:v>247.37178000767037</c:v>
                </c:pt>
                <c:pt idx="648">
                  <c:v>3296.2591592058816</c:v>
                </c:pt>
                <c:pt idx="649">
                  <c:v>23241.351939631651</c:v>
                </c:pt>
                <c:pt idx="650">
                  <c:v>86710.21577942009</c:v>
                </c:pt>
                <c:pt idx="651">
                  <c:v>171178.01618162004</c:v>
                </c:pt>
                <c:pt idx="652">
                  <c:v>178811.13220676559</c:v>
                </c:pt>
                <c:pt idx="653">
                  <c:v>98834.816299724829</c:v>
                </c:pt>
                <c:pt idx="654">
                  <c:v>28906.41330132473</c:v>
                </c:pt>
                <c:pt idx="655">
                  <c:v>4473.498525764634</c:v>
                </c:pt>
                <c:pt idx="656">
                  <c:v>366.32725476855916</c:v>
                </c:pt>
                <c:pt idx="657">
                  <c:v>15.87303618957427</c:v>
                </c:pt>
                <c:pt idx="658">
                  <c:v>0.36393148001206505</c:v>
                </c:pt>
                <c:pt idx="659">
                  <c:v>4.415176636937846E-3</c:v>
                </c:pt>
                <c:pt idx="660">
                  <c:v>2.8342971789722278E-5</c:v>
                </c:pt>
                <c:pt idx="661">
                  <c:v>9.6274556847710373E-8</c:v>
                </c:pt>
                <c:pt idx="662">
                  <c:v>1.7304000306861278E-10</c:v>
                </c:pt>
                <c:pt idx="663">
                  <c:v>1.6456987611115052E-13</c:v>
                </c:pt>
                <c:pt idx="664">
                  <c:v>8.2817670874692012E-17</c:v>
                </c:pt>
                <c:pt idx="665">
                  <c:v>2.2052839914633381E-20</c:v>
                </c:pt>
                <c:pt idx="666">
                  <c:v>3.107240575587074E-24</c:v>
                </c:pt>
                <c:pt idx="667">
                  <c:v>2.3166161317358476E-28</c:v>
                </c:pt>
                <c:pt idx="668">
                  <c:v>9.1390723438893133E-33</c:v>
                </c:pt>
                <c:pt idx="669">
                  <c:v>1.9077391677546668E-37</c:v>
                </c:pt>
                <c:pt idx="670">
                  <c:v>2.1071949634385635E-42</c:v>
                </c:pt>
                <c:pt idx="671">
                  <c:v>1.2315705210308462E-47</c:v>
                </c:pt>
                <c:pt idx="672">
                  <c:v>3.8087519772932008E-53</c:v>
                </c:pt>
                <c:pt idx="673">
                  <c:v>6.2326816176151306E-59</c:v>
                </c:pt>
                <c:pt idx="674">
                  <c:v>5.3967964044945756E-65</c:v>
                </c:pt>
                <c:pt idx="675">
                  <c:v>2.4726689122030508E-71</c:v>
                </c:pt>
                <c:pt idx="676">
                  <c:v>5.994662606439502E-78</c:v>
                </c:pt>
                <c:pt idx="677">
                  <c:v>7.6901066623158595E-85</c:v>
                </c:pt>
                <c:pt idx="678">
                  <c:v>5.219979822073472E-92</c:v>
                </c:pt>
                <c:pt idx="679">
                  <c:v>1.874882809440979E-99</c:v>
                </c:pt>
                <c:pt idx="680">
                  <c:v>3.5632662316582058E-107</c:v>
                </c:pt>
                <c:pt idx="681">
                  <c:v>3.5833667483850277E-115</c:v>
                </c:pt>
                <c:pt idx="682">
                  <c:v>1.9067909796213271E-123</c:v>
                </c:pt>
                <c:pt idx="683">
                  <c:v>5.368880781146933E-132</c:v>
                </c:pt>
                <c:pt idx="684">
                  <c:v>7.9989553776751373E-141</c:v>
                </c:pt>
                <c:pt idx="685">
                  <c:v>6.3059660750828063E-150</c:v>
                </c:pt>
                <c:pt idx="686">
                  <c:v>2.6305031614693462E-159</c:v>
                </c:pt>
                <c:pt idx="687">
                  <c:v>5.8062384625333106E-169</c:v>
                </c:pt>
                <c:pt idx="688">
                  <c:v>6.7814060720975484E-179</c:v>
                </c:pt>
                <c:pt idx="689">
                  <c:v>4.1909596104445567E-189</c:v>
                </c:pt>
                <c:pt idx="690">
                  <c:v>1.3704905403557722E-199</c:v>
                </c:pt>
                <c:pt idx="691">
                  <c:v>2.3714143916751053E-210</c:v>
                </c:pt>
                <c:pt idx="692">
                  <c:v>2.1712393555256744E-221</c:v>
                </c:pt>
                <c:pt idx="693">
                  <c:v>1.0519056690303179E-232</c:v>
                </c:pt>
                <c:pt idx="694">
                  <c:v>2.696588829567856E-244</c:v>
                </c:pt>
                <c:pt idx="695">
                  <c:v>3.6578130820850978E-256</c:v>
                </c:pt>
                <c:pt idx="696">
                  <c:v>2.6254099610860347E-268</c:v>
                </c:pt>
                <c:pt idx="697">
                  <c:v>9.9710659945908556E-281</c:v>
                </c:pt>
                <c:pt idx="698">
                  <c:v>2.0038024113156925E-293</c:v>
                </c:pt>
                <c:pt idx="699">
                  <c:v>2.13077229474331E-306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98368"/>
        <c:axId val="237282432"/>
      </c:lineChart>
      <c:catAx>
        <c:axId val="19749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 sz="1000" b="1" i="0" u="none" strike="noStrike" baseline="0">
                    <a:effectLst/>
                  </a:rPr>
                  <a:t>2</a:t>
                </a:r>
                <a:r>
                  <a:rPr lang="el-GR" sz="1000" b="1" i="1" u="none" strike="noStrike" baseline="0">
                    <a:effectLst/>
                  </a:rPr>
                  <a:t>θ</a:t>
                </a:r>
                <a:endParaRPr lang="pt-BR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/>
            </a:pPr>
            <a:endParaRPr lang="pt-BR"/>
          </a:p>
        </c:txPr>
        <c:crossAx val="23728243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237282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 sz="1200"/>
                  <a:t>Instensidade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crossAx val="197498368"/>
        <c:crosses val="autoZero"/>
        <c:crossBetween val="between"/>
      </c:valAx>
      <c:spPr>
        <a:ln w="25400">
          <a:solidFill>
            <a:schemeClr val="tx1"/>
          </a:solidFill>
        </a:ln>
      </c:spPr>
    </c:plotArea>
    <c:legend>
      <c:legendPos val="r"/>
      <c:layout/>
      <c:overlay val="0"/>
      <c:spPr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ln w="19050">
      <a:solidFill>
        <a:schemeClr val="tx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pt-BR" sz="1800" b="1" i="0" u="none" strike="noStrike" baseline="0">
                <a:effectLst/>
              </a:rPr>
              <a:t>Difratogramas de raios-x do (Ba(1</a:t>
            </a:r>
            <a:r>
              <a:rPr lang="pt-BR" sz="1800" b="1" i="1" u="none" strike="noStrike" baseline="0">
                <a:effectLst/>
              </a:rPr>
              <a:t>−x)</a:t>
            </a:r>
            <a:r>
              <a:rPr lang="pt-BR" sz="1800" b="1" i="0" u="none" strike="noStrike" baseline="0">
                <a:effectLst/>
              </a:rPr>
              <a:t>Ca</a:t>
            </a:r>
            <a:r>
              <a:rPr lang="pt-BR" sz="1800" b="1" i="1" u="none" strike="noStrike" baseline="0">
                <a:effectLst/>
              </a:rPr>
              <a:t>x</a:t>
            </a:r>
            <a:r>
              <a:rPr lang="pt-BR" sz="1800" b="1" i="0" u="none" strike="noStrike" baseline="0">
                <a:effectLst/>
              </a:rPr>
              <a:t>)TiO3 para </a:t>
            </a:r>
            <a:r>
              <a:rPr lang="pt-BR" sz="1800" b="1" i="1" u="none" strike="noStrike" baseline="0">
                <a:effectLst/>
              </a:rPr>
              <a:t>t </a:t>
            </a:r>
            <a:r>
              <a:rPr lang="pt-BR" sz="1800" b="1" i="0" u="none" strike="noStrike" baseline="0">
                <a:effectLst/>
              </a:rPr>
              <a:t>= 10 nm</a:t>
            </a:r>
            <a:endParaRPr lang="pt-BR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'Fatores de forma'!$AE$1:$AE$2</c:f>
              <c:strCache>
                <c:ptCount val="1"/>
                <c:pt idx="0">
                  <c:v>(Ba(1−x)Cax)TiO3, t = 10nm , x = 0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forma'!$AE$3:$AE$803</c:f>
              <c:numCache>
                <c:formatCode>0.00000</c:formatCode>
                <c:ptCount val="801"/>
                <c:pt idx="0">
                  <c:v>196.20916290990681</c:v>
                </c:pt>
                <c:pt idx="1">
                  <c:v>271.56246256111859</c:v>
                </c:pt>
                <c:pt idx="2">
                  <c:v>372.99950914755311</c:v>
                </c:pt>
                <c:pt idx="3">
                  <c:v>508.43431148743855</c:v>
                </c:pt>
                <c:pt idx="4">
                  <c:v>687.77994894693677</c:v>
                </c:pt>
                <c:pt idx="5">
                  <c:v>923.31999123059927</c:v>
                </c:pt>
                <c:pt idx="6">
                  <c:v>1230.1074130675065</c:v>
                </c:pt>
                <c:pt idx="7">
                  <c:v>1626.3795369754805</c:v>
                </c:pt>
                <c:pt idx="8">
                  <c:v>2133.9725850978348</c:v>
                </c:pt>
                <c:pt idx="9">
                  <c:v>2778.7139343235181</c:v>
                </c:pt>
                <c:pt idx="10">
                  <c:v>3590.764399787714</c:v>
                </c:pt>
                <c:pt idx="11">
                  <c:v>4604.8771804674807</c:v>
                </c:pt>
                <c:pt idx="12">
                  <c:v>5860.5349554049089</c:v>
                </c:pt>
                <c:pt idx="13">
                  <c:v>7401.9225865474746</c:v>
                </c:pt>
                <c:pt idx="14">
                  <c:v>9277.6906048984165</c:v>
                </c:pt>
                <c:pt idx="15">
                  <c:v>11540.464806826294</c:v>
                </c:pt>
                <c:pt idx="16">
                  <c:v>14246.060525410483</c:v>
                </c:pt>
                <c:pt idx="17">
                  <c:v>17452.367041698522</c:v>
                </c:pt>
                <c:pt idx="18">
                  <c:v>21217.878576578601</c:v>
                </c:pt>
                <c:pt idx="19">
                  <c:v>25599.863529750775</c:v>
                </c:pt>
                <c:pt idx="20">
                  <c:v>30652.182967155681</c:v>
                </c:pt>
                <c:pt idx="21">
                  <c:v>36422.792284576935</c:v>
                </c:pt>
                <c:pt idx="22">
                  <c:v>42950.985560217836</c:v>
                </c:pt>
                <c:pt idx="23">
                  <c:v>50264.468999444311</c:v>
                </c:pt>
                <c:pt idx="24">
                  <c:v>58376.376331598054</c:v>
                </c:pt>
                <c:pt idx="25">
                  <c:v>67282.362997744043</c:v>
                </c:pt>
                <c:pt idx="26">
                  <c:v>76957.93524657638</c:v>
                </c:pt>
                <c:pt idx="27">
                  <c:v>87356.182599298118</c:v>
                </c:pt>
                <c:pt idx="28">
                  <c:v>98406.085505971962</c:v>
                </c:pt>
                <c:pt idx="29">
                  <c:v>110011.56274908161</c:v>
                </c:pt>
                <c:pt idx="30">
                  <c:v>122051.40421782683</c:v>
                </c:pt>
                <c:pt idx="31">
                  <c:v>134380.20383301697</c:v>
                </c:pt>
                <c:pt idx="32">
                  <c:v>146830.36532359337</c:v>
                </c:pt>
                <c:pt idx="33">
                  <c:v>159215.20190058096</c:v>
                </c:pt>
                <c:pt idx="34">
                  <c:v>171333.09225782682</c:v>
                </c:pt>
                <c:pt idx="35">
                  <c:v>182972.59320254982</c:v>
                </c:pt>
                <c:pt idx="36">
                  <c:v>193918.34765730673</c:v>
                </c:pt>
                <c:pt idx="37">
                  <c:v>203957.57018386966</c:v>
                </c:pt>
                <c:pt idx="38">
                  <c:v>212886.84494374655</c:v>
                </c:pt>
                <c:pt idx="39">
                  <c:v>220518.93711594772</c:v>
                </c:pt>
                <c:pt idx="40">
                  <c:v>226689.30145791994</c:v>
                </c:pt>
                <c:pt idx="41">
                  <c:v>231261.97304656974</c:v>
                </c:pt>
                <c:pt idx="42">
                  <c:v>234134.54606656791</c:v>
                </c:pt>
                <c:pt idx="43">
                  <c:v>235241.98615324858</c:v>
                </c:pt>
                <c:pt idx="44">
                  <c:v>234559.07811356767</c:v>
                </c:pt>
                <c:pt idx="45">
                  <c:v>232101.38037534535</c:v>
                </c:pt>
                <c:pt idx="46">
                  <c:v>227924.63571343914</c:v>
                </c:pt>
                <c:pt idx="47">
                  <c:v>222122.66942002781</c:v>
                </c:pt>
                <c:pt idx="48">
                  <c:v>214823.88559062438</c:v>
                </c:pt>
                <c:pt idx="49">
                  <c:v>206186.54422839181</c:v>
                </c:pt>
                <c:pt idx="50">
                  <c:v>196393.06168270038</c:v>
                </c:pt>
                <c:pt idx="51">
                  <c:v>185643.62078551561</c:v>
                </c:pt>
                <c:pt idx="52">
                  <c:v>174149.40246405153</c:v>
                </c:pt>
                <c:pt idx="53">
                  <c:v>162125.75656796669</c:v>
                </c:pt>
                <c:pt idx="54">
                  <c:v>149785.61660747579</c:v>
                </c:pt>
                <c:pt idx="55">
                  <c:v>137333.43288285861</c:v>
                </c:pt>
                <c:pt idx="56">
                  <c:v>124959.85408122723</c:v>
                </c:pt>
                <c:pt idx="57">
                  <c:v>112837.33265915816</c:v>
                </c:pt>
                <c:pt idx="58">
                  <c:v>101116.76854478483</c:v>
                </c:pt>
                <c:pt idx="59">
                  <c:v>89925.243314106556</c:v>
                </c:pt>
                <c:pt idx="60">
                  <c:v>79364.837206060838</c:v>
                </c:pt>
                <c:pt idx="61">
                  <c:v>69512.467761293054</c:v>
                </c:pt>
                <c:pt idx="62">
                  <c:v>60420.644328793736</c:v>
                </c:pt>
                <c:pt idx="63">
                  <c:v>52118.999074453648</c:v>
                </c:pt>
                <c:pt idx="64">
                  <c:v>44616.433353334869</c:v>
                </c:pt>
                <c:pt idx="65">
                  <c:v>37903.708336626267</c:v>
                </c:pt>
                <c:pt idx="66">
                  <c:v>31956.309750807399</c:v>
                </c:pt>
                <c:pt idx="67">
                  <c:v>26737.426970462853</c:v>
                </c:pt>
                <c:pt idx="68">
                  <c:v>22200.904535974234</c:v>
                </c:pt>
                <c:pt idx="69">
                  <c:v>18294.047234401638</c:v>
                </c:pt>
                <c:pt idx="70">
                  <c:v>14960.185944186576</c:v>
                </c:pt>
                <c:pt idx="71">
                  <c:v>12140.938402226226</c:v>
                </c:pt>
                <c:pt idx="72">
                  <c:v>9778.1250849002772</c:v>
                </c:pt>
                <c:pt idx="73">
                  <c:v>7815.324052940181</c:v>
                </c:pt>
                <c:pt idx="74">
                  <c:v>6199.0688600243102</c:v>
                </c:pt>
                <c:pt idx="75">
                  <c:v>4879.7098528299621</c:v>
                </c:pt>
                <c:pt idx="76">
                  <c:v>3811.9711705013051</c:v>
                </c:pt>
                <c:pt idx="77">
                  <c:v>2955.2435898741523</c:v>
                </c:pt>
                <c:pt idx="78">
                  <c:v>2273.6574234229788</c:v>
                </c:pt>
                <c:pt idx="79">
                  <c:v>1735.980502918283</c:v>
                </c:pt>
                <c:pt idx="80">
                  <c:v>1315.384518044606</c:v>
                </c:pt>
                <c:pt idx="81">
                  <c:v>989.11930307984596</c:v>
                </c:pt>
                <c:pt idx="82">
                  <c:v>738.12972929717432</c:v>
                </c:pt>
                <c:pt idx="83">
                  <c:v>546.64425276971576</c:v>
                </c:pt>
                <c:pt idx="84">
                  <c:v>401.75837989038803</c:v>
                </c:pt>
                <c:pt idx="85">
                  <c:v>293.03073229124669</c:v>
                </c:pt>
                <c:pt idx="86">
                  <c:v>212.10429628708206</c:v>
                </c:pt>
                <c:pt idx="87">
                  <c:v>152.36100520747456</c:v>
                </c:pt>
                <c:pt idx="88">
                  <c:v>108.61411348100175</c:v>
                </c:pt>
                <c:pt idx="89">
                  <c:v>76.839895055049325</c:v>
                </c:pt>
                <c:pt idx="90">
                  <c:v>53.947998036382614</c:v>
                </c:pt>
                <c:pt idx="91">
                  <c:v>37.588238318916062</c:v>
                </c:pt>
                <c:pt idx="92">
                  <c:v>25.99062236652836</c:v>
                </c:pt>
                <c:pt idx="93">
                  <c:v>17.834849764275848</c:v>
                </c:pt>
                <c:pt idx="94">
                  <c:v>12.14535742622872</c:v>
                </c:pt>
                <c:pt idx="95">
                  <c:v>8.2080352675564594</c:v>
                </c:pt>
                <c:pt idx="96">
                  <c:v>5.5049857124235357</c:v>
                </c:pt>
                <c:pt idx="97">
                  <c:v>3.664048782964314</c:v>
                </c:pt>
                <c:pt idx="98">
                  <c:v>2.4202173334171704</c:v>
                </c:pt>
                <c:pt idx="99">
                  <c:v>1.5864834849307616</c:v>
                </c:pt>
                <c:pt idx="100">
                  <c:v>1.0320596828025645</c:v>
                </c:pt>
                <c:pt idx="101">
                  <c:v>0.66628822572909163</c:v>
                </c:pt>
                <c:pt idx="102">
                  <c:v>0.42688169606803511</c:v>
                </c:pt>
                <c:pt idx="103">
                  <c:v>0.27141946920750165</c:v>
                </c:pt>
                <c:pt idx="104">
                  <c:v>0.17126259845298991</c:v>
                </c:pt>
                <c:pt idx="105">
                  <c:v>0.10724378414865192</c:v>
                </c:pt>
                <c:pt idx="106">
                  <c:v>6.6645341774097533E-2</c:v>
                </c:pt>
                <c:pt idx="107">
                  <c:v>4.1101298044309564E-2</c:v>
                </c:pt>
                <c:pt idx="108">
                  <c:v>2.5155290952880965E-2</c:v>
                </c:pt>
                <c:pt idx="109">
                  <c:v>1.5278869469309675E-2</c:v>
                </c:pt>
                <c:pt idx="110">
                  <c:v>9.2096084235740398E-3</c:v>
                </c:pt>
                <c:pt idx="111">
                  <c:v>5.5090812604616434E-3</c:v>
                </c:pt>
                <c:pt idx="112">
                  <c:v>3.2704330300939184E-3</c:v>
                </c:pt>
                <c:pt idx="113">
                  <c:v>1.9267235735807332E-3</c:v>
                </c:pt>
                <c:pt idx="114">
                  <c:v>1.126475188395361E-3</c:v>
                </c:pt>
                <c:pt idx="115">
                  <c:v>6.5359981197708435E-4</c:v>
                </c:pt>
                <c:pt idx="116">
                  <c:v>3.763485745585542E-4</c:v>
                </c:pt>
                <c:pt idx="117">
                  <c:v>2.150585439316226E-4</c:v>
                </c:pt>
                <c:pt idx="118">
                  <c:v>1.2195825320809888E-4</c:v>
                </c:pt>
                <c:pt idx="119">
                  <c:v>6.8636283358216622E-5</c:v>
                </c:pt>
                <c:pt idx="120">
                  <c:v>3.8334022248218068E-5</c:v>
                </c:pt>
                <c:pt idx="121">
                  <c:v>2.1247267822148439E-5</c:v>
                </c:pt>
                <c:pt idx="122">
                  <c:v>1.1687183585057714E-5</c:v>
                </c:pt>
                <c:pt idx="123">
                  <c:v>6.3797656051019692E-6</c:v>
                </c:pt>
                <c:pt idx="124">
                  <c:v>3.4561111876469022E-6</c:v>
                </c:pt>
                <c:pt idx="125">
                  <c:v>1.8580568191150351E-6</c:v>
                </c:pt>
                <c:pt idx="126">
                  <c:v>9.9133237253045359E-7</c:v>
                </c:pt>
                <c:pt idx="127">
                  <c:v>5.2489385289927347E-7</c:v>
                </c:pt>
                <c:pt idx="128">
                  <c:v>2.7582098052794145E-7</c:v>
                </c:pt>
                <c:pt idx="129">
                  <c:v>1.4385807824621046E-7</c:v>
                </c:pt>
                <c:pt idx="130">
                  <c:v>7.4504960568888905E-8</c:v>
                </c:pt>
                <c:pt idx="131">
                  <c:v>3.8384937087740225E-8</c:v>
                </c:pt>
                <c:pt idx="132">
                  <c:v>1.9814981935907492E-8</c:v>
                </c:pt>
                <c:pt idx="133">
                  <c:v>1.0538961187011463E-8</c:v>
                </c:pt>
                <c:pt idx="134">
                  <c:v>6.3439342097072765E-9</c:v>
                </c:pt>
                <c:pt idx="135">
                  <c:v>5.2942641961546863E-9</c:v>
                </c:pt>
                <c:pt idx="136">
                  <c:v>6.907255457893044E-9</c:v>
                </c:pt>
                <c:pt idx="137">
                  <c:v>1.1949549619862831E-8</c:v>
                </c:pt>
                <c:pt idx="138">
                  <c:v>2.277654811374832E-8</c:v>
                </c:pt>
                <c:pt idx="139">
                  <c:v>4.4353820881667896E-8</c:v>
                </c:pt>
                <c:pt idx="140">
                  <c:v>8.6368269205580117E-8</c:v>
                </c:pt>
                <c:pt idx="141">
                  <c:v>1.67253875641925E-7</c:v>
                </c:pt>
                <c:pt idx="142">
                  <c:v>3.2166671725680911E-7</c:v>
                </c:pt>
                <c:pt idx="143">
                  <c:v>6.1418401179737702E-7</c:v>
                </c:pt>
                <c:pt idx="144">
                  <c:v>1.1641731046966527E-6</c:v>
                </c:pt>
                <c:pt idx="145">
                  <c:v>2.1905567378209383E-6</c:v>
                </c:pt>
                <c:pt idx="146">
                  <c:v>4.0917320289422757E-6</c:v>
                </c:pt>
                <c:pt idx="147">
                  <c:v>7.5870870026222963E-6</c:v>
                </c:pt>
                <c:pt idx="148">
                  <c:v>1.3965549169615784E-5</c:v>
                </c:pt>
                <c:pt idx="149">
                  <c:v>2.5518551185980665E-5</c:v>
                </c:pt>
                <c:pt idx="150">
                  <c:v>4.6288066786675435E-5</c:v>
                </c:pt>
                <c:pt idx="151">
                  <c:v>8.3348368649113896E-5</c:v>
                </c:pt>
                <c:pt idx="152">
                  <c:v>1.4898419417430902E-4</c:v>
                </c:pt>
                <c:pt idx="153">
                  <c:v>2.643615684376958E-4</c:v>
                </c:pt>
                <c:pt idx="154">
                  <c:v>4.6566272427437663E-4</c:v>
                </c:pt>
                <c:pt idx="155">
                  <c:v>8.1425354966912383E-4</c:v>
                </c:pt>
                <c:pt idx="156">
                  <c:v>1.4133928096912928E-3</c:v>
                </c:pt>
                <c:pt idx="157">
                  <c:v>2.4354606997286756E-3</c:v>
                </c:pt>
                <c:pt idx="158">
                  <c:v>4.1659533778055664E-3</c:v>
                </c:pt>
                <c:pt idx="159">
                  <c:v>7.0739618931353046E-3</c:v>
                </c:pt>
                <c:pt idx="160">
                  <c:v>1.1924112307290199E-2</c:v>
                </c:pt>
                <c:pt idx="161">
                  <c:v>1.9952826711829841E-2</c:v>
                </c:pt>
                <c:pt idx="162">
                  <c:v>3.3143459271894299E-2</c:v>
                </c:pt>
                <c:pt idx="163">
                  <c:v>5.4652026502942132E-2</c:v>
                </c:pt>
                <c:pt idx="164">
                  <c:v>8.9460173638564788E-2</c:v>
                </c:pt>
                <c:pt idx="165">
                  <c:v>0.14536780556101103</c:v>
                </c:pt>
                <c:pt idx="166">
                  <c:v>0.23448861599961146</c:v>
                </c:pt>
                <c:pt idx="167">
                  <c:v>0.37548303830014856</c:v>
                </c:pt>
                <c:pt idx="168">
                  <c:v>0.59686197907019023</c:v>
                </c:pt>
                <c:pt idx="169">
                  <c:v>0.94183003721006531</c:v>
                </c:pt>
                <c:pt idx="170">
                  <c:v>1.4753198664207257</c:v>
                </c:pt>
                <c:pt idx="171">
                  <c:v>2.2941133667233902</c:v>
                </c:pt>
                <c:pt idx="172">
                  <c:v>3.5412663386596304</c:v>
                </c:pt>
                <c:pt idx="173">
                  <c:v>5.4264691504593259</c:v>
                </c:pt>
                <c:pt idx="174">
                  <c:v>8.25450655352879</c:v>
                </c:pt>
                <c:pt idx="175">
                  <c:v>12.46464534614514</c:v>
                </c:pt>
                <c:pt idx="176">
                  <c:v>18.68459835908342</c:v>
                </c:pt>
                <c:pt idx="177">
                  <c:v>27.803702863342284</c:v>
                </c:pt>
                <c:pt idx="178">
                  <c:v>41.071119569374488</c:v>
                </c:pt>
                <c:pt idx="179">
                  <c:v>60.226201902227302</c:v>
                </c:pt>
                <c:pt idx="180">
                  <c:v>87.6696839830784</c:v>
                </c:pt>
                <c:pt idx="181">
                  <c:v>126.68594565996837</c:v>
                </c:pt>
                <c:pt idx="182">
                  <c:v>181.72825872535279</c:v>
                </c:pt>
                <c:pt idx="183">
                  <c:v>258.78048601728244</c:v>
                </c:pt>
                <c:pt idx="184">
                  <c:v>365.8100343651148</c:v>
                </c:pt>
                <c:pt idx="185">
                  <c:v>513.3277417610966</c:v>
                </c:pt>
                <c:pt idx="186">
                  <c:v>715.07054303293614</c:v>
                </c:pt>
                <c:pt idx="187">
                  <c:v>988.82188869407059</c:v>
                </c:pt>
                <c:pt idx="188">
                  <c:v>1357.3826264092777</c:v>
                </c:pt>
                <c:pt idx="189">
                  <c:v>1849.7010033928425</c:v>
                </c:pt>
                <c:pt idx="190">
                  <c:v>2502.1642183174449</c:v>
                </c:pt>
                <c:pt idx="191">
                  <c:v>3360.0451838038948</c:v>
                </c:pt>
                <c:pt idx="192">
                  <c:v>4479.0865764209557</c:v>
                </c:pt>
                <c:pt idx="193">
                  <c:v>5927.189707984945</c:v>
                </c:pt>
                <c:pt idx="194">
                  <c:v>7786.1583070294928</c:v>
                </c:pt>
                <c:pt idx="195">
                  <c:v>10153.42727494037</c:v>
                </c:pt>
                <c:pt idx="196">
                  <c:v>13143.684526485129</c:v>
                </c:pt>
                <c:pt idx="197">
                  <c:v>16890.271164824797</c:v>
                </c:pt>
                <c:pt idx="198">
                  <c:v>21546.222906867264</c:v>
                </c:pt>
                <c:pt idx="199">
                  <c:v>27284.795698084345</c:v>
                </c:pt>
                <c:pt idx="200">
                  <c:v>34299.303026556736</c:v>
                </c:pt>
                <c:pt idx="201">
                  <c:v>42802.084019071342</c:v>
                </c:pt>
                <c:pt idx="202">
                  <c:v>53022.422551798372</c:v>
                </c:pt>
                <c:pt idx="203">
                  <c:v>65203.250828895507</c:v>
                </c:pt>
                <c:pt idx="204">
                  <c:v>79596.498343540676</c:v>
                </c:pt>
                <c:pt idx="205">
                  <c:v>96456.990402746495</c:v>
                </c:pt>
                <c:pt idx="206">
                  <c:v>116034.86014050004</c:v>
                </c:pt>
                <c:pt idx="207">
                  <c:v>138566.51366356658</c:v>
                </c:pt>
                <c:pt idx="208">
                  <c:v>164264.27777267905</c:v>
                </c:pt>
                <c:pt idx="209">
                  <c:v>193304.96013719117</c:v>
                </c:pt>
                <c:pt idx="210">
                  <c:v>225817.65785922942</c:v>
                </c:pt>
                <c:pt idx="211">
                  <c:v>261871.2555716873</c:v>
                </c:pt>
                <c:pt idx="212">
                  <c:v>301462.15091965965</c:v>
                </c:pt>
                <c:pt idx="213">
                  <c:v>344502.82508452871</c:v>
                </c:pt>
                <c:pt idx="214">
                  <c:v>390811.93038520036</c:v>
                </c:pt>
                <c:pt idx="215">
                  <c:v>440106.58795800916</c:v>
                </c:pt>
                <c:pt idx="216">
                  <c:v>491997.56944292871</c:v>
                </c:pt>
                <c:pt idx="217">
                  <c:v>545987.97297189594</c:v>
                </c:pt>
                <c:pt idx="218">
                  <c:v>601475.89385750715</c:v>
                </c:pt>
                <c:pt idx="219">
                  <c:v>657761.43585007777</c:v>
                </c:pt>
                <c:pt idx="220">
                  <c:v>714058.21493591997</c:v>
                </c:pt>
                <c:pt idx="221">
                  <c:v>769509.28328863578</c:v>
                </c:pt>
                <c:pt idx="222">
                  <c:v>823207.15835163975</c:v>
                </c:pt>
                <c:pt idx="223">
                  <c:v>874217.39593735419</c:v>
                </c:pt>
                <c:pt idx="224">
                  <c:v>921604.91312927066</c:v>
                </c:pt>
                <c:pt idx="225">
                  <c:v>964462.06353902374</c:v>
                </c:pt>
                <c:pt idx="226">
                  <c:v>1001937.3100305585</c:v>
                </c:pt>
                <c:pt idx="227">
                  <c:v>1033263.2419813796</c:v>
                </c:pt>
                <c:pt idx="228">
                  <c:v>1057782.6555165653</c:v>
                </c:pt>
                <c:pt idx="229">
                  <c:v>1074971.4613141876</c:v>
                </c:pt>
                <c:pt idx="230">
                  <c:v>1084457.3056395722</c:v>
                </c:pt>
                <c:pt idx="231">
                  <c:v>1086032.9807960668</c:v>
                </c:pt>
                <c:pt idx="232">
                  <c:v>1079663.9504808534</c:v>
                </c:pt>
                <c:pt idx="233">
                  <c:v>1065489.608347445</c:v>
                </c:pt>
                <c:pt idx="234">
                  <c:v>1043818.2057211417</c:v>
                </c:pt>
                <c:pt idx="235">
                  <c:v>1015115.7062395934</c:v>
                </c:pt>
                <c:pt idx="236">
                  <c:v>979989.13021456741</c:v>
                </c:pt>
                <c:pt idx="237">
                  <c:v>939165.22008530551</c:v>
                </c:pt>
                <c:pt idx="238">
                  <c:v>893465.47368888045</c:v>
                </c:pt>
                <c:pt idx="239">
                  <c:v>843778.74159245682</c:v>
                </c:pt>
                <c:pt idx="240">
                  <c:v>791032.6608462513</c:v>
                </c:pt>
                <c:pt idx="241">
                  <c:v>736165.19813751511</c:v>
                </c:pt>
                <c:pt idx="242">
                  <c:v>680097.5038067475</c:v>
                </c:pt>
                <c:pt idx="243">
                  <c:v>623709.14281320153</c:v>
                </c:pt>
                <c:pt idx="244">
                  <c:v>567816.5818293012</c:v>
                </c:pt>
                <c:pt idx="245">
                  <c:v>513155.58837334858</c:v>
                </c:pt>
                <c:pt idx="246">
                  <c:v>460367.95492186735</c:v>
                </c:pt>
                <c:pt idx="247">
                  <c:v>409992.71505210665</c:v>
                </c:pt>
                <c:pt idx="248">
                  <c:v>362461.78544652561</c:v>
                </c:pt>
                <c:pt idx="249">
                  <c:v>318099.76037403254</c:v>
                </c:pt>
                <c:pt idx="250">
                  <c:v>277127.41431011999</c:v>
                </c:pt>
                <c:pt idx="251">
                  <c:v>239668.34039391432</c:v>
                </c:pt>
                <c:pt idx="252">
                  <c:v>205758.07049705385</c:v>
                </c:pt>
                <c:pt idx="253">
                  <c:v>175354.98636038537</c:v>
                </c:pt>
                <c:pt idx="254">
                  <c:v>148352.33705925284</c:v>
                </c:pt>
                <c:pt idx="255">
                  <c:v>124590.72010180705</c:v>
                </c:pt>
                <c:pt idx="256">
                  <c:v>103870.45421000963</c:v>
                </c:pt>
                <c:pt idx="257">
                  <c:v>85963.362874790851</c:v>
                </c:pt>
                <c:pt idx="258">
                  <c:v>70623.590586250677</c:v>
                </c:pt>
                <c:pt idx="259">
                  <c:v>57597.18020901976</c:v>
                </c:pt>
                <c:pt idx="260">
                  <c:v>46630.24331958015</c:v>
                </c:pt>
                <c:pt idx="261">
                  <c:v>37475.649832385723</c:v>
                </c:pt>
                <c:pt idx="262">
                  <c:v>29898.244846658385</c:v>
                </c:pt>
                <c:pt idx="263">
                  <c:v>23678.666848180834</c:v>
                </c:pt>
                <c:pt idx="264">
                  <c:v>18615.891170308041</c:v>
                </c:pt>
                <c:pt idx="265">
                  <c:v>14528.656194069468</c:v>
                </c:pt>
                <c:pt idx="266">
                  <c:v>11255.948394346682</c:v>
                </c:pt>
                <c:pt idx="267">
                  <c:v>8656.7279823352092</c:v>
                </c:pt>
                <c:pt idx="268">
                  <c:v>6609.0719511097122</c:v>
                </c:pt>
                <c:pt idx="269">
                  <c:v>5008.8983703490476</c:v>
                </c:pt>
                <c:pt idx="270">
                  <c:v>3768.4173208418197</c:v>
                </c:pt>
                <c:pt idx="271">
                  <c:v>2814.4322181553675</c:v>
                </c:pt>
                <c:pt idx="272">
                  <c:v>2086.592429383807</c:v>
                </c:pt>
                <c:pt idx="273">
                  <c:v>1535.6756290139556</c:v>
                </c:pt>
                <c:pt idx="274">
                  <c:v>1121.9574535799968</c:v>
                </c:pt>
                <c:pt idx="275">
                  <c:v>813.70749306513255</c:v>
                </c:pt>
                <c:pt idx="276">
                  <c:v>585.834944748515</c:v>
                </c:pt>
                <c:pt idx="277">
                  <c:v>418.69450679602909</c:v>
                </c:pt>
                <c:pt idx="278">
                  <c:v>297.05323321706737</c:v>
                </c:pt>
                <c:pt idx="279">
                  <c:v>209.21187685721179</c:v>
                </c:pt>
                <c:pt idx="280">
                  <c:v>146.26937935507735</c:v>
                </c:pt>
                <c:pt idx="281">
                  <c:v>101.51624210740479</c:v>
                </c:pt>
                <c:pt idx="282">
                  <c:v>69.941135400612609</c:v>
                </c:pt>
                <c:pt idx="283">
                  <c:v>47.834898284009775</c:v>
                </c:pt>
                <c:pt idx="284">
                  <c:v>32.476712644083513</c:v>
                </c:pt>
                <c:pt idx="285">
                  <c:v>21.888414376810037</c:v>
                </c:pt>
                <c:pt idx="286">
                  <c:v>14.644399666266702</c:v>
                </c:pt>
                <c:pt idx="287">
                  <c:v>9.7262152509761997</c:v>
                </c:pt>
                <c:pt idx="288">
                  <c:v>6.4125566752869192</c:v>
                </c:pt>
                <c:pt idx="289">
                  <c:v>4.1969481236667701</c:v>
                </c:pt>
                <c:pt idx="290">
                  <c:v>2.72678600354776</c:v>
                </c:pt>
                <c:pt idx="291">
                  <c:v>1.7586671614842133</c:v>
                </c:pt>
                <c:pt idx="292">
                  <c:v>1.1259824066065949</c:v>
                </c:pt>
                <c:pt idx="293">
                  <c:v>0.71564148119939186</c:v>
                </c:pt>
                <c:pt idx="294">
                  <c:v>0.45152008464888554</c:v>
                </c:pt>
                <c:pt idx="295">
                  <c:v>0.28280118563257128</c:v>
                </c:pt>
                <c:pt idx="296">
                  <c:v>0.1758417781341293</c:v>
                </c:pt>
                <c:pt idx="297">
                  <c:v>0.10855255328231685</c:v>
                </c:pt>
                <c:pt idx="298">
                  <c:v>6.6550469826124989E-2</c:v>
                </c:pt>
                <c:pt idx="299">
                  <c:v>4.0549681714251808E-2</c:v>
                </c:pt>
                <c:pt idx="300">
                  <c:v>2.4609148510009681E-2</c:v>
                </c:pt>
                <c:pt idx="301">
                  <c:v>1.4967562608835723E-2</c:v>
                </c:pt>
                <c:pt idx="302">
                  <c:v>9.2777945198660363E-3</c:v>
                </c:pt>
                <c:pt idx="303">
                  <c:v>6.1117188713697319E-3</c:v>
                </c:pt>
                <c:pt idx="304">
                  <c:v>4.6481857366599006E-3</c:v>
                </c:pt>
                <c:pt idx="305">
                  <c:v>4.486805214836625E-3</c:v>
                </c:pt>
                <c:pt idx="306">
                  <c:v>5.5517818817326526E-3</c:v>
                </c:pt>
                <c:pt idx="307">
                  <c:v>8.0660989789734638E-3</c:v>
                </c:pt>
                <c:pt idx="308">
                  <c:v>1.2589135966011546E-2</c:v>
                </c:pt>
                <c:pt idx="309">
                  <c:v>2.012213127572338E-2</c:v>
                </c:pt>
                <c:pt idx="310">
                  <c:v>3.229737153443317E-2</c:v>
                </c:pt>
                <c:pt idx="311">
                  <c:v>5.1680121626930614E-2</c:v>
                </c:pt>
                <c:pt idx="312">
                  <c:v>8.222869078554737E-2</c:v>
                </c:pt>
                <c:pt idx="313">
                  <c:v>0.12997942571101381</c:v>
                </c:pt>
                <c:pt idx="314">
                  <c:v>0.20405189259669002</c:v>
                </c:pt>
                <c:pt idx="315">
                  <c:v>0.31810750343435296</c:v>
                </c:pt>
                <c:pt idx="316">
                  <c:v>0.49244526846426223</c:v>
                </c:pt>
                <c:pt idx="317">
                  <c:v>0.75698463446466557</c:v>
                </c:pt>
                <c:pt idx="318">
                  <c:v>1.1554714245318127</c:v>
                </c:pt>
                <c:pt idx="319">
                  <c:v>1.751353099078782</c:v>
                </c:pt>
                <c:pt idx="320">
                  <c:v>2.6359085664159192</c:v>
                </c:pt>
                <c:pt idx="321">
                  <c:v>3.9393902482216547</c:v>
                </c:pt>
                <c:pt idx="322">
                  <c:v>5.8461462864021643</c:v>
                </c:pt>
                <c:pt idx="323">
                  <c:v>8.6149418465932328</c:v>
                </c:pt>
                <c:pt idx="324">
                  <c:v>12.605991717140052</c:v>
                </c:pt>
                <c:pt idx="325">
                  <c:v>18.316550131840902</c:v>
                </c:pt>
                <c:pt idx="326">
                  <c:v>26.427271978891614</c:v>
                </c:pt>
                <c:pt idx="327">
                  <c:v>37.861950501607396</c:v>
                </c:pt>
                <c:pt idx="328">
                  <c:v>53.863630977968661</c:v>
                </c:pt>
                <c:pt idx="329">
                  <c:v>76.090469259264765</c:v>
                </c:pt>
                <c:pt idx="330">
                  <c:v>106.73500934382365</c:v>
                </c:pt>
                <c:pt idx="331">
                  <c:v>148.6707444325742</c:v>
                </c:pt>
                <c:pt idx="332">
                  <c:v>205.62983796619798</c:v>
                </c:pt>
                <c:pt idx="333">
                  <c:v>282.41564010942278</c:v>
                </c:pt>
                <c:pt idx="334">
                  <c:v>385.15305647979312</c:v>
                </c:pt>
                <c:pt idx="335">
                  <c:v>521.57881917112752</c:v>
                </c:pt>
                <c:pt idx="336">
                  <c:v>701.37218482489709</c:v>
                </c:pt>
                <c:pt idx="337">
                  <c:v>936.52445832231524</c:v>
                </c:pt>
                <c:pt idx="338">
                  <c:v>1241.7429498746615</c:v>
                </c:pt>
                <c:pt idx="339">
                  <c:v>1634.8814852714534</c:v>
                </c:pt>
                <c:pt idx="340">
                  <c:v>2137.3854163233846</c:v>
                </c:pt>
                <c:pt idx="341">
                  <c:v>2774.7342932920055</c:v>
                </c:pt>
                <c:pt idx="342">
                  <c:v>3576.8601089095455</c:v>
                </c:pt>
                <c:pt idx="343">
                  <c:v>4578.5135346563793</c:v>
                </c:pt>
                <c:pt idx="344">
                  <c:v>5819.5451658079883</c:v>
                </c:pt>
                <c:pt idx="345">
                  <c:v>7345.0638853277233</c:v>
                </c:pt>
                <c:pt idx="346">
                  <c:v>9205.4305436980885</c:v>
                </c:pt>
                <c:pt idx="347">
                  <c:v>11456.042791740458</c:v>
                </c:pt>
                <c:pt idx="348">
                  <c:v>14156.866689079345</c:v>
                </c:pt>
                <c:pt idx="349">
                  <c:v>17371.673225937495</c:v>
                </c:pt>
                <c:pt idx="350">
                  <c:v>21166.943662593181</c:v>
                </c:pt>
                <c:pt idx="351">
                  <c:v>25610.417009125093</c:v>
                </c:pt>
                <c:pt idx="352">
                  <c:v>30769.266251494893</c:v>
                </c:pt>
                <c:pt idx="353">
                  <c:v>36707.907042842395</c:v>
                </c:pt>
                <c:pt idx="354">
                  <c:v>43485.463181917963</c:v>
                </c:pt>
                <c:pt idx="355">
                  <c:v>51152.936612809339</c:v>
                </c:pt>
                <c:pt idx="356">
                  <c:v>59750.15486331602</c:v>
                </c:pt>
                <c:pt idx="357">
                  <c:v>69302.594412338905</c:v>
                </c:pt>
                <c:pt idx="358">
                  <c:v>79818.202763832829</c:v>
                </c:pt>
                <c:pt idx="359">
                  <c:v>91284.363120556634</c:v>
                </c:pt>
                <c:pt idx="360">
                  <c:v>103665.16151840056</c:v>
                </c:pt>
                <c:pt idx="361">
                  <c:v>116899.12518192286</c:v>
                </c:pt>
                <c:pt idx="362">
                  <c:v>130897.60099905057</c:v>
                </c:pt>
                <c:pt idx="363">
                  <c:v>145543.93309165092</c:v>
                </c:pt>
                <c:pt idx="364">
                  <c:v>160693.57774624039</c:v>
                </c:pt>
                <c:pt idx="365">
                  <c:v>176175.26243418906</c:v>
                </c:pt>
                <c:pt idx="366">
                  <c:v>191793.2540576985</c:v>
                </c:pt>
                <c:pt idx="367">
                  <c:v>207330.75150227142</c:v>
                </c:pt>
                <c:pt idx="368">
                  <c:v>222554.36145223683</c:v>
                </c:pt>
                <c:pt idx="369">
                  <c:v>237219.55731824678</c:v>
                </c:pt>
                <c:pt idx="370">
                  <c:v>251076.96263232877</c:v>
                </c:pt>
                <c:pt idx="371">
                  <c:v>263879.24625728733</c:v>
                </c:pt>
                <c:pt idx="372">
                  <c:v>275388.3710905402</c:v>
                </c:pt>
                <c:pt idx="373">
                  <c:v>285382.9041557663</c:v>
                </c:pt>
                <c:pt idx="374">
                  <c:v>293665.076985616</c:v>
                </c:pt>
                <c:pt idx="375">
                  <c:v>300067.28303234</c:v>
                </c:pt>
                <c:pt idx="376">
                  <c:v>304457.71443089127</c:v>
                </c:pt>
                <c:pt idx="377">
                  <c:v>306744.87349006347</c:v>
                </c:pt>
                <c:pt idx="378">
                  <c:v>306880.74326389137</c:v>
                </c:pt>
                <c:pt idx="379">
                  <c:v>304862.46375220903</c:v>
                </c:pt>
                <c:pt idx="380">
                  <c:v>300732.43200226384</c:v>
                </c:pt>
                <c:pt idx="381">
                  <c:v>294576.8212177832</c:v>
                </c:pt>
                <c:pt idx="382">
                  <c:v>286522.59112325875</c:v>
                </c:pt>
                <c:pt idx="383">
                  <c:v>276733.13445134118</c:v>
                </c:pt>
                <c:pt idx="384">
                  <c:v>265402.76803702902</c:v>
                </c:pt>
                <c:pt idx="385">
                  <c:v>252750.32781313817</c:v>
                </c:pt>
                <c:pt idx="386">
                  <c:v>239012.16216557633</c:v>
                </c:pt>
                <c:pt idx="387">
                  <c:v>224434.83593313865</c:v>
                </c:pt>
                <c:pt idx="388">
                  <c:v>209267.85737655201</c:v>
                </c:pt>
                <c:pt idx="389">
                  <c:v>193756.72347699403</c:v>
                </c:pt>
                <c:pt idx="390">
                  <c:v>178136.54685437947</c:v>
                </c:pt>
                <c:pt idx="391">
                  <c:v>162626.4832387795</c:v>
                </c:pt>
                <c:pt idx="392">
                  <c:v>147425.12526034829</c:v>
                </c:pt>
                <c:pt idx="393">
                  <c:v>132706.97017845928</c:v>
                </c:pt>
                <c:pt idx="394">
                  <c:v>118620.0099343996</c:v>
                </c:pt>
                <c:pt idx="395">
                  <c:v>105284.43523033269</c:v>
                </c:pt>
                <c:pt idx="396">
                  <c:v>92792.394371129543</c:v>
                </c:pt>
                <c:pt idx="397">
                  <c:v>81208.704843321728</c:v>
                </c:pt>
                <c:pt idx="398">
                  <c:v>70572.382746268529</c:v>
                </c:pt>
                <c:pt idx="399">
                  <c:v>60898.833102898163</c:v>
                </c:pt>
                <c:pt idx="400">
                  <c:v>52182.532825773167</c:v>
                </c:pt>
                <c:pt idx="401">
                  <c:v>44400.03704749512</c:v>
                </c:pt>
                <c:pt idx="402">
                  <c:v>37513.147408762976</c:v>
                </c:pt>
                <c:pt idx="403">
                  <c:v>31472.096078521605</c:v>
                </c:pt>
                <c:pt idx="404">
                  <c:v>26218.619857803755</c:v>
                </c:pt>
                <c:pt idx="405">
                  <c:v>21688.822713963797</c:v>
                </c:pt>
                <c:pt idx="406">
                  <c:v>17815.750600705913</c:v>
                </c:pt>
                <c:pt idx="407">
                  <c:v>14531.627734167296</c:v>
                </c:pt>
                <c:pt idx="408">
                  <c:v>11769.727194736912</c:v>
                </c:pt>
                <c:pt idx="409">
                  <c:v>9465.8697254667459</c:v>
                </c:pt>
                <c:pt idx="410">
                  <c:v>7559.5621751824865</c:v>
                </c:pt>
                <c:pt idx="411">
                  <c:v>5994.8008072541625</c:v>
                </c:pt>
                <c:pt idx="412">
                  <c:v>4720.5745922719179</c:v>
                </c:pt>
                <c:pt idx="413">
                  <c:v>3691.1098100638442</c:v>
                </c:pt>
                <c:pt idx="414">
                  <c:v>2865.9001837236283</c:v>
                </c:pt>
                <c:pt idx="415">
                  <c:v>2209.5668658671166</c:v>
                </c:pt>
                <c:pt idx="416">
                  <c:v>1691.5904743266833</c:v>
                </c:pt>
                <c:pt idx="417">
                  <c:v>1285.9536250571514</c:v>
                </c:pt>
                <c:pt idx="418">
                  <c:v>970.7275997560148</c:v>
                </c:pt>
                <c:pt idx="419">
                  <c:v>727.63141962479858</c:v>
                </c:pt>
                <c:pt idx="420">
                  <c:v>541.58609884681573</c:v>
                </c:pt>
                <c:pt idx="421">
                  <c:v>400.28155491521443</c:v>
                </c:pt>
                <c:pt idx="422">
                  <c:v>293.76879935066091</c:v>
                </c:pt>
                <c:pt idx="423">
                  <c:v>214.08577728682039</c:v>
                </c:pt>
                <c:pt idx="424">
                  <c:v>154.92164858060494</c:v>
                </c:pt>
                <c:pt idx="425">
                  <c:v>111.32142576801184</c:v>
                </c:pt>
                <c:pt idx="426">
                  <c:v>79.430677641273661</c:v>
                </c:pt>
                <c:pt idx="427">
                  <c:v>56.278410970021007</c:v>
                </c:pt>
                <c:pt idx="428">
                  <c:v>39.59517637676047</c:v>
                </c:pt>
                <c:pt idx="429">
                  <c:v>27.662817752956219</c:v>
                </c:pt>
                <c:pt idx="430">
                  <c:v>19.192007181565778</c:v>
                </c:pt>
                <c:pt idx="431">
                  <c:v>13.223693765212163</c:v>
                </c:pt>
                <c:pt idx="432">
                  <c:v>9.0507690783142625</c:v>
                </c:pt>
                <c:pt idx="433">
                  <c:v>6.1565498092246322</c:v>
                </c:pt>
                <c:pt idx="434">
                  <c:v>4.1670475655083097</c:v>
                </c:pt>
                <c:pt idx="435">
                  <c:v>2.8143969031300116</c:v>
                </c:pt>
                <c:pt idx="436">
                  <c:v>1.9092166006916154</c:v>
                </c:pt>
                <c:pt idx="437">
                  <c:v>1.3200668585803028</c:v>
                </c:pt>
                <c:pt idx="438">
                  <c:v>0.95852530677783465</c:v>
                </c:pt>
                <c:pt idx="439">
                  <c:v>0.76873271476609939</c:v>
                </c:pt>
                <c:pt idx="440">
                  <c:v>0.72055530329708783</c:v>
                </c:pt>
                <c:pt idx="441">
                  <c:v>0.80577838794781875</c:v>
                </c:pt>
                <c:pt idx="442">
                  <c:v>1.0369921196539063</c:v>
                </c:pt>
                <c:pt idx="443">
                  <c:v>1.4490623807816909</c:v>
                </c:pt>
                <c:pt idx="444">
                  <c:v>2.1033074519415358</c:v>
                </c:pt>
                <c:pt idx="445">
                  <c:v>3.0947332322819427</c:v>
                </c:pt>
                <c:pt idx="446">
                  <c:v>4.5629257015873952</c:v>
                </c:pt>
                <c:pt idx="447">
                  <c:v>6.7074672806161715</c:v>
                </c:pt>
                <c:pt idx="448">
                  <c:v>9.8090406332118558</c:v>
                </c:pt>
                <c:pt idx="449">
                  <c:v>14.257713843820882</c:v>
                </c:pt>
                <c:pt idx="450">
                  <c:v>20.590266123573173</c:v>
                </c:pt>
                <c:pt idx="451">
                  <c:v>29.538810129397223</c:v>
                </c:pt>
                <c:pt idx="452">
                  <c:v>42.093386682756567</c:v>
                </c:pt>
                <c:pt idx="453">
                  <c:v>59.581633857114547</c:v>
                </c:pt>
                <c:pt idx="454">
                  <c:v>83.769039845586022</c:v>
                </c:pt>
                <c:pt idx="455">
                  <c:v>116.983642081577</c:v>
                </c:pt>
                <c:pt idx="456">
                  <c:v>162.26928650814295</c:v>
                </c:pt>
                <c:pt idx="457">
                  <c:v>223.57165116051851</c:v>
                </c:pt>
                <c:pt idx="458">
                  <c:v>305.9610957900876</c:v>
                </c:pt>
                <c:pt idx="459">
                  <c:v>415.89594196509324</c:v>
                </c:pt>
                <c:pt idx="460">
                  <c:v>561.52892617598809</c:v>
                </c:pt>
                <c:pt idx="461">
                  <c:v>753.05820946439985</c:v>
                </c:pt>
                <c:pt idx="462">
                  <c:v>1003.1223827610701</c:v>
                </c:pt>
                <c:pt idx="463">
                  <c:v>1327.2363027044871</c:v>
                </c:pt>
                <c:pt idx="464">
                  <c:v>1744.261278230915</c:v>
                </c:pt>
                <c:pt idx="465">
                  <c:v>2276.899091469109</c:v>
                </c:pt>
                <c:pt idx="466">
                  <c:v>2952.1946170218748</c:v>
                </c:pt>
                <c:pt idx="467">
                  <c:v>3802.026506895324</c:v>
                </c:pt>
                <c:pt idx="468">
                  <c:v>4863.5597176818392</c:v>
                </c:pt>
                <c:pt idx="469">
                  <c:v>6179.6278431297987</c:v>
                </c:pt>
                <c:pt idx="470">
                  <c:v>7799.0076415672693</c:v>
                </c:pt>
                <c:pt idx="471">
                  <c:v>9776.5432650253551</c:v>
                </c:pt>
                <c:pt idx="472">
                  <c:v>12173.074033230265</c:v>
                </c:pt>
                <c:pt idx="473">
                  <c:v>15055.117733136545</c:v>
                </c:pt>
                <c:pt idx="474">
                  <c:v>18494.261966500893</c:v>
                </c:pt>
                <c:pt idx="475">
                  <c:v>22566.219593906397</c:v>
                </c:pt>
                <c:pt idx="476">
                  <c:v>27349.511336306354</c:v>
                </c:pt>
                <c:pt idx="477">
                  <c:v>32923.749459817016</c:v>
                </c:pt>
                <c:pt idx="478">
                  <c:v>39367.511351243003</c:v>
                </c:pt>
                <c:pt idx="479">
                  <c:v>46755.810595924515</c:v>
                </c:pt>
                <c:pt idx="480">
                  <c:v>55157.195491172519</c:v>
                </c:pt>
                <c:pt idx="481">
                  <c:v>64630.53001920518</c:v>
                </c:pt>
                <c:pt idx="482">
                  <c:v>75221.539060058785</c:v>
                </c:pt>
                <c:pt idx="483">
                  <c:v>86959.226608177996</c:v>
                </c:pt>
                <c:pt idx="484">
                  <c:v>99852.301242118687</c:v>
                </c:pt>
                <c:pt idx="485">
                  <c:v>113885.765161458</c:v>
                </c:pt>
                <c:pt idx="486">
                  <c:v>129017.83974383678</c:v>
                </c:pt>
                <c:pt idx="487">
                  <c:v>145177.40984737233</c:v>
                </c:pt>
                <c:pt idx="488">
                  <c:v>162262.16927634686</c:v>
                </c:pt>
                <c:pt idx="489">
                  <c:v>180137.63962468537</c:v>
                </c:pt>
                <c:pt idx="490">
                  <c:v>198637.21335279776</c:v>
                </c:pt>
                <c:pt idx="491">
                  <c:v>217563.33937124585</c:v>
                </c:pt>
                <c:pt idx="492">
                  <c:v>236689.92631765411</c:v>
                </c:pt>
                <c:pt idx="493">
                  <c:v>255765.98666448658</c:v>
                </c:pt>
                <c:pt idx="494">
                  <c:v>274520.48612684448</c:v>
                </c:pt>
                <c:pt idx="495">
                  <c:v>292668.30059620755</c:v>
                </c:pt>
                <c:pt idx="496">
                  <c:v>309917.12059091934</c:v>
                </c:pt>
                <c:pt idx="497">
                  <c:v>325975.08488265582</c:v>
                </c:pt>
                <c:pt idx="498">
                  <c:v>340558.8744670361</c:v>
                </c:pt>
                <c:pt idx="499">
                  <c:v>353401.95907804335</c:v>
                </c:pt>
                <c:pt idx="500">
                  <c:v>364262.66413061344</c:v>
                </c:pt>
                <c:pt idx="501">
                  <c:v>372931.71862190159</c:v>
                </c:pt>
                <c:pt idx="502">
                  <c:v>379238.95539633301</c:v>
                </c:pt>
                <c:pt idx="503">
                  <c:v>383058.86436324124</c:v>
                </c:pt>
                <c:pt idx="504">
                  <c:v>384314.74558839842</c:v>
                </c:pt>
                <c:pt idx="505">
                  <c:v>382981.2703050893</c:v>
                </c:pt>
                <c:pt idx="506">
                  <c:v>379085.33039559715</c:v>
                </c:pt>
                <c:pt idx="507">
                  <c:v>372705.13654624223</c:v>
                </c:pt>
                <c:pt idx="508">
                  <c:v>363967.60732314287</c:v>
                </c:pt>
                <c:pt idx="509">
                  <c:v>353044.17092105106</c:v>
                </c:pt>
                <c:pt idx="510">
                  <c:v>340145.17355941539</c:v>
                </c:pt>
                <c:pt idx="511">
                  <c:v>325513.14922504016</c:v>
                </c:pt>
                <c:pt idx="512">
                  <c:v>309415.25130704063</c:v>
                </c:pt>
                <c:pt idx="513">
                  <c:v>292135.17531460093</c:v>
                </c:pt>
                <c:pt idx="514">
                  <c:v>273964.91218813852</c:v>
                </c:pt>
                <c:pt idx="515">
                  <c:v>255196.6638274084</c:v>
                </c:pt>
                <c:pt idx="516">
                  <c:v>236115.22766660244</c:v>
                </c:pt>
                <c:pt idx="517">
                  <c:v>216991.1177631022</c:v>
                </c:pt>
                <c:pt idx="518">
                  <c:v>198074.63908448711</c:v>
                </c:pt>
                <c:pt idx="519">
                  <c:v>179591.0731718475</c:v>
                </c:pt>
                <c:pt idx="520">
                  <c:v>161737.07106630568</c:v>
                </c:pt>
                <c:pt idx="521">
                  <c:v>144678.28719974955</c:v>
                </c:pt>
                <c:pt idx="522">
                  <c:v>128548.22943986519</c:v>
                </c:pt>
                <c:pt idx="523">
                  <c:v>113448.24866949444</c:v>
                </c:pt>
                <c:pt idx="524">
                  <c:v>99448.548490293164</c:v>
                </c:pt>
                <c:pt idx="525">
                  <c:v>86590.063389067669</c:v>
                </c:pt>
                <c:pt idx="526">
                  <c:v>74887.032685806509</c:v>
                </c:pt>
                <c:pt idx="527">
                  <c:v>64330.087705301718</c:v>
                </c:pt>
                <c:pt idx="528">
                  <c:v>54889.670101022137</c:v>
                </c:pt>
                <c:pt idx="529">
                  <c:v>46519.608779833376</c:v>
                </c:pt>
                <c:pt idx="530">
                  <c:v>39160.699706820553</c:v>
                </c:pt>
                <c:pt idx="531">
                  <c:v>32744.155065938481</c:v>
                </c:pt>
                <c:pt idx="532">
                  <c:v>27194.813810163741</c:v>
                </c:pt>
                <c:pt idx="533">
                  <c:v>22434.032635109867</c:v>
                </c:pt>
                <c:pt idx="534">
                  <c:v>18382.203135994856</c:v>
                </c:pt>
                <c:pt idx="535">
                  <c:v>14960.8659296966</c:v>
                </c:pt>
                <c:pt idx="536">
                  <c:v>12094.414748873214</c:v>
                </c:pt>
                <c:pt idx="537">
                  <c:v>9711.4022057698876</c:v>
                </c:pt>
                <c:pt idx="538">
                  <c:v>7745.4736845088555</c:v>
                </c:pt>
                <c:pt idx="539">
                  <c:v>6135.9665662224843</c:v>
                </c:pt>
                <c:pt idx="540">
                  <c:v>4828.21889335982</c:v>
                </c:pt>
                <c:pt idx="541">
                  <c:v>3773.6350081812634</c:v>
                </c:pt>
                <c:pt idx="542">
                  <c:v>2929.5561617206022</c:v>
                </c:pt>
                <c:pt idx="543">
                  <c:v>2258.9821645786528</c:v>
                </c:pt>
                <c:pt idx="544">
                  <c:v>1730.186442985447</c:v>
                </c:pt>
                <c:pt idx="545">
                  <c:v>1316.2619537401972</c:v>
                </c:pt>
                <c:pt idx="546">
                  <c:v>994.62982588618763</c:v>
                </c:pt>
                <c:pt idx="547">
                  <c:v>746.53678414529872</c:v>
                </c:pt>
                <c:pt idx="548">
                  <c:v>556.56172928983779</c:v>
                </c:pt>
                <c:pt idx="549">
                  <c:v>412.14657231009573</c:v>
                </c:pt>
                <c:pt idx="550">
                  <c:v>303.16172379023391</c:v>
                </c:pt>
                <c:pt idx="551">
                  <c:v>221.51263088351658</c:v>
                </c:pt>
                <c:pt idx="552">
                  <c:v>160.7904699889188</c:v>
                </c:pt>
                <c:pt idx="553">
                  <c:v>115.96753072053474</c:v>
                </c:pt>
                <c:pt idx="554">
                  <c:v>83.135915813940372</c:v>
                </c:pt>
                <c:pt idx="555">
                  <c:v>59.286857718509417</c:v>
                </c:pt>
                <c:pt idx="556">
                  <c:v>42.127128199986991</c:v>
                </c:pt>
                <c:pt idx="557">
                  <c:v>29.928600775795591</c:v>
                </c:pt>
                <c:pt idx="558">
                  <c:v>21.406928582888142</c:v>
                </c:pt>
                <c:pt idx="559">
                  <c:v>15.625441321127607</c:v>
                </c:pt>
                <c:pt idx="560">
                  <c:v>11.92067365608424</c:v>
                </c:pt>
                <c:pt idx="561">
                  <c:v>9.8463549980482483</c:v>
                </c:pt>
                <c:pt idx="562">
                  <c:v>9.1331696203497188</c:v>
                </c:pt>
                <c:pt idx="563">
                  <c:v>9.6621000420491168</c:v>
                </c:pt>
                <c:pt idx="564">
                  <c:v>11.449668014288708</c:v>
                </c:pt>
                <c:pt idx="565">
                  <c:v>14.643866106902534</c:v>
                </c:pt>
                <c:pt idx="566">
                  <c:v>19.530013842010973</c:v>
                </c:pt>
                <c:pt idx="567">
                  <c:v>26.546163933967211</c:v>
                </c:pt>
                <c:pt idx="568">
                  <c:v>36.308016409116739</c:v>
                </c:pt>
                <c:pt idx="569">
                  <c:v>49.643561240922502</c:v>
                </c:pt>
                <c:pt idx="570">
                  <c:v>67.637852706262834</c:v>
                </c:pt>
                <c:pt idx="571">
                  <c:v>91.688408358184162</c:v>
                </c:pt>
                <c:pt idx="572">
                  <c:v>123.57170790244248</c:v>
                </c:pt>
                <c:pt idx="573">
                  <c:v>165.5211264642144</c:v>
                </c:pt>
                <c:pt idx="574">
                  <c:v>220.31635626908803</c:v>
                </c:pt>
                <c:pt idx="575">
                  <c:v>291.38393507219683</c:v>
                </c:pt>
                <c:pt idx="576">
                  <c:v>382.90789610979948</c:v>
                </c:pt>
                <c:pt idx="577">
                  <c:v>499.94877571617252</c:v>
                </c:pt>
                <c:pt idx="578">
                  <c:v>648.56826217231992</c:v>
                </c:pt>
                <c:pt idx="579">
                  <c:v>835.95565538196092</c:v>
                </c:pt>
                <c:pt idx="580">
                  <c:v>1070.551058631426</c:v>
                </c:pt>
                <c:pt idx="581">
                  <c:v>1362.1588851906527</c:v>
                </c:pt>
                <c:pt idx="582">
                  <c:v>1722.0438972255233</c:v>
                </c:pt>
                <c:pt idx="583">
                  <c:v>2163.000685818613</c:v>
                </c:pt>
                <c:pt idx="584">
                  <c:v>2699.3863515931403</c:v>
                </c:pt>
                <c:pt idx="585">
                  <c:v>3347.1052750317522</c:v>
                </c:pt>
                <c:pt idx="586">
                  <c:v>4123.5344055892056</c:v>
                </c:pt>
                <c:pt idx="587">
                  <c:v>5047.3775854706137</c:v>
                </c:pt>
                <c:pt idx="588">
                  <c:v>6138.4381892313731</c:v>
                </c:pt>
                <c:pt idx="589">
                  <c:v>7417.3009198206973</c:v>
                </c:pt>
                <c:pt idx="590">
                  <c:v>8904.9160419976179</c:v>
                </c:pt>
                <c:pt idx="591">
                  <c:v>10622.082699300065</c:v>
                </c:pt>
                <c:pt idx="592">
                  <c:v>12588.832239433945</c:v>
                </c:pt>
                <c:pt idx="593">
                  <c:v>14823.717586685472</c:v>
                </c:pt>
                <c:pt idx="594">
                  <c:v>17343.020495455919</c:v>
                </c:pt>
                <c:pt idx="595">
                  <c:v>20159.89476467553</c:v>
                </c:pt>
                <c:pt idx="596">
                  <c:v>23283.469881256558</c:v>
                </c:pt>
                <c:pt idx="597">
                  <c:v>26717.945717957962</c:v>
                </c:pt>
                <c:pt idx="598">
                  <c:v>30461.714413146179</c:v>
                </c:pt>
                <c:pt idx="599">
                  <c:v>34506.549956673654</c:v>
                </c:pt>
                <c:pt idx="600">
                  <c:v>38836.908850602667</c:v>
                </c:pt>
                <c:pt idx="601">
                  <c:v>43429.386096628645</c:v>
                </c:pt>
                <c:pt idx="602">
                  <c:v>48252.369348847431</c:v>
                </c:pt>
                <c:pt idx="603">
                  <c:v>53265.930135938841</c:v>
                </c:pt>
                <c:pt idx="604">
                  <c:v>58421.984517541787</c:v>
                </c:pt>
                <c:pt idx="605">
                  <c:v>63664.746478285175</c:v>
                </c:pt>
                <c:pt idx="606">
                  <c:v>68931.486042344084</c:v>
                </c:pt>
                <c:pt idx="607">
                  <c:v>74153.590955328691</c:v>
                </c:pt>
                <c:pt idx="608">
                  <c:v>79257.916440242916</c:v>
                </c:pt>
                <c:pt idx="609">
                  <c:v>84168.392741000018</c:v>
                </c:pt>
                <c:pt idx="610">
                  <c:v>88807.845768587315</c:v>
                </c:pt>
                <c:pt idx="611">
                  <c:v>93099.973052998335</c:v>
                </c:pt>
                <c:pt idx="612">
                  <c:v>96971.406252044922</c:v>
                </c:pt>
                <c:pt idx="613">
                  <c:v>100353.78346690189</c:v>
                </c:pt>
                <c:pt idx="614">
                  <c:v>103185.75020909229</c:v>
                </c:pt>
                <c:pt idx="615">
                  <c:v>105414.80749951297</c:v>
                </c:pt>
                <c:pt idx="616">
                  <c:v>106998.92945919187</c:v>
                </c:pt>
                <c:pt idx="617">
                  <c:v>107907.88080782053</c:v>
                </c:pt>
                <c:pt idx="618">
                  <c:v>108124.17658020067</c:v>
                </c:pt>
                <c:pt idx="619">
                  <c:v>107643.64150510142</c:v>
                </c:pt>
                <c:pt idx="620">
                  <c:v>106475.54404624313</c:v>
                </c:pt>
                <c:pt idx="621">
                  <c:v>104642.29909384635</c:v>
                </c:pt>
                <c:pt idx="622">
                  <c:v>102178.75262980924</c:v>
                </c:pt>
                <c:pt idx="623">
                  <c:v>99131.080258222981</c:v>
                </c:pt>
                <c:pt idx="624">
                  <c:v>95555.34823743593</c:v>
                </c:pt>
                <c:pt idx="625">
                  <c:v>91515.799639315184</c:v>
                </c:pt>
                <c:pt idx="626">
                  <c:v>87082.93875513511</c:v>
                </c:pt>
                <c:pt idx="627">
                  <c:v>82331.49336294875</c:v>
                </c:pt>
                <c:pt idx="628">
                  <c:v>77338.336732043448</c:v>
                </c:pt>
                <c:pt idx="629">
                  <c:v>72180.449303781876</c:v>
                </c:pt>
                <c:pt idx="630">
                  <c:v>66932.994153109932</c:v>
                </c:pt>
                <c:pt idx="631">
                  <c:v>61667.57112808797</c:v>
                </c:pt>
                <c:pt idx="632">
                  <c:v>56450.702693568637</c:v>
                </c:pt>
                <c:pt idx="633">
                  <c:v>51342.590799420926</c:v>
                </c:pt>
                <c:pt idx="634">
                  <c:v>46396.169441442617</c:v>
                </c:pt>
                <c:pt idx="635">
                  <c:v>41656.462866259659</c:v>
                </c:pt>
                <c:pt idx="636">
                  <c:v>37160.245406971917</c:v>
                </c:pt>
                <c:pt idx="637">
                  <c:v>32935.986426225783</c:v>
                </c:pt>
                <c:pt idx="638">
                  <c:v>29004.053338110196</c:v>
                </c:pt>
                <c:pt idx="639">
                  <c:v>25377.137555611574</c:v>
                </c:pt>
                <c:pt idx="640">
                  <c:v>22060.862659830545</c:v>
                </c:pt>
                <c:pt idx="641">
                  <c:v>19054.531128133603</c:v>
                </c:pt>
                <c:pt idx="642">
                  <c:v>16351.965450389298</c:v>
                </c:pt>
                <c:pt idx="643">
                  <c:v>13942.401134621623</c:v>
                </c:pt>
                <c:pt idx="644">
                  <c:v>11811.392588355173</c:v>
                </c:pt>
                <c:pt idx="645">
                  <c:v>9941.6977319237267</c:v>
                </c:pt>
                <c:pt idx="646">
                  <c:v>8314.1130030719341</c:v>
                </c:pt>
                <c:pt idx="647">
                  <c:v>6908.2367048325577</c:v>
                </c:pt>
                <c:pt idx="648">
                  <c:v>5703.1450235637358</c:v>
                </c:pt>
                <c:pt idx="649">
                  <c:v>4677.9711509470781</c:v>
                </c:pt>
                <c:pt idx="650">
                  <c:v>3812.3835033354922</c:v>
                </c:pt>
                <c:pt idx="651">
                  <c:v>3086.9638422773028</c:v>
                </c:pt>
                <c:pt idx="652">
                  <c:v>2483.4900371494959</c:v>
                </c:pt>
                <c:pt idx="653">
                  <c:v>1985.131222747317</c:v>
                </c:pt>
                <c:pt idx="654">
                  <c:v>1576.5652024280441</c:v>
                </c:pt>
                <c:pt idx="655">
                  <c:v>1244.029192797989</c:v>
                </c:pt>
                <c:pt idx="656">
                  <c:v>975.31549815052301</c:v>
                </c:pt>
                <c:pt idx="657">
                  <c:v>759.72356503822016</c:v>
                </c:pt>
                <c:pt idx="658">
                  <c:v>587.97923409159216</c:v>
                </c:pt>
                <c:pt idx="659">
                  <c:v>452.13101277658581</c:v>
                </c:pt>
                <c:pt idx="660">
                  <c:v>345.43196659249259</c:v>
                </c:pt>
                <c:pt idx="661">
                  <c:v>262.21448044623071</c:v>
                </c:pt>
                <c:pt idx="662">
                  <c:v>197.76377164901319</c:v>
                </c:pt>
                <c:pt idx="663">
                  <c:v>148.19471621424691</c:v>
                </c:pt>
                <c:pt idx="664">
                  <c:v>110.33533584174324</c:v>
                </c:pt>
                <c:pt idx="665">
                  <c:v>81.619220288522058</c:v>
                </c:pt>
                <c:pt idx="666">
                  <c:v>59.988248314058914</c:v>
                </c:pt>
                <c:pt idx="667">
                  <c:v>43.806225852373416</c:v>
                </c:pt>
                <c:pt idx="668">
                  <c:v>31.783477594276118</c:v>
                </c:pt>
                <c:pt idx="669">
                  <c:v>22.911995131286229</c:v>
                </c:pt>
                <c:pt idx="670">
                  <c:v>16.410443617685132</c:v>
                </c:pt>
                <c:pt idx="671">
                  <c:v>11.678139341352939</c:v>
                </c:pt>
                <c:pt idx="672">
                  <c:v>8.2570117558509804</c:v>
                </c:pt>
                <c:pt idx="673">
                  <c:v>5.8005352652971442</c:v>
                </c:pt>
                <c:pt idx="674">
                  <c:v>4.048639972461503</c:v>
                </c:pt>
                <c:pt idx="675">
                  <c:v>2.8076706637452347</c:v>
                </c:pt>
                <c:pt idx="676">
                  <c:v>1.9345461224712228</c:v>
                </c:pt>
                <c:pt idx="677">
                  <c:v>1.3243657205904693</c:v>
                </c:pt>
                <c:pt idx="678">
                  <c:v>0.9008089496973104</c:v>
                </c:pt>
                <c:pt idx="679">
                  <c:v>0.60877018177651065</c:v>
                </c:pt>
                <c:pt idx="680">
                  <c:v>0.40876148697804887</c:v>
                </c:pt>
                <c:pt idx="681">
                  <c:v>0.27269833553105166</c:v>
                </c:pt>
                <c:pt idx="682">
                  <c:v>0.1807552509699952</c:v>
                </c:pt>
                <c:pt idx="683">
                  <c:v>0.11904064636524805</c:v>
                </c:pt>
                <c:pt idx="684">
                  <c:v>7.7892483096066334E-2</c:v>
                </c:pt>
                <c:pt idx="685">
                  <c:v>5.0639771764750388E-2</c:v>
                </c:pt>
                <c:pt idx="686">
                  <c:v>3.271024892163072E-2</c:v>
                </c:pt>
                <c:pt idx="687">
                  <c:v>2.0992872932323957E-2</c:v>
                </c:pt>
                <c:pt idx="688">
                  <c:v>1.3386154201403091E-2</c:v>
                </c:pt>
                <c:pt idx="689">
                  <c:v>8.4807778762573446E-3</c:v>
                </c:pt>
                <c:pt idx="690">
                  <c:v>5.3384044284991196E-3</c:v>
                </c:pt>
                <c:pt idx="691">
                  <c:v>3.3387444122644576E-3</c:v>
                </c:pt>
                <c:pt idx="692">
                  <c:v>2.0746784448130483E-3</c:v>
                </c:pt>
                <c:pt idx="693">
                  <c:v>1.2808973699892506E-3</c:v>
                </c:pt>
                <c:pt idx="694">
                  <c:v>7.8573082556808568E-4</c:v>
                </c:pt>
                <c:pt idx="695">
                  <c:v>4.7888272169755092E-4</c:v>
                </c:pt>
                <c:pt idx="696">
                  <c:v>2.8998829098202144E-4</c:v>
                </c:pt>
                <c:pt idx="697">
                  <c:v>1.7447277787068305E-4</c:v>
                </c:pt>
                <c:pt idx="698">
                  <c:v>1.0429675767820275E-4</c:v>
                </c:pt>
                <c:pt idx="699">
                  <c:v>6.1945513560404317E-5</c:v>
                </c:pt>
                <c:pt idx="700">
                  <c:v>3.6554834891395943E-5</c:v>
                </c:pt>
                <c:pt idx="701">
                  <c:v>2.1432642208252473E-5</c:v>
                </c:pt>
                <c:pt idx="702">
                  <c:v>1.2485401704941048E-5</c:v>
                </c:pt>
                <c:pt idx="703">
                  <c:v>7.2264540296113632E-6</c:v>
                </c:pt>
                <c:pt idx="704">
                  <c:v>4.1556971192353753E-6</c:v>
                </c:pt>
                <c:pt idx="705">
                  <c:v>2.3744249587508327E-6</c:v>
                </c:pt>
                <c:pt idx="706">
                  <c:v>1.3479349332867167E-6</c:v>
                </c:pt>
                <c:pt idx="707">
                  <c:v>7.602830831414384E-7</c:v>
                </c:pt>
                <c:pt idx="708">
                  <c:v>4.2606675082033491E-7</c:v>
                </c:pt>
                <c:pt idx="709">
                  <c:v>2.3723342550838602E-7</c:v>
                </c:pt>
                <c:pt idx="710">
                  <c:v>1.3124115203055658E-7</c:v>
                </c:pt>
                <c:pt idx="711">
                  <c:v>7.2137337098133423E-8</c:v>
                </c:pt>
                <c:pt idx="712">
                  <c:v>3.9395452913055521E-8</c:v>
                </c:pt>
                <c:pt idx="713">
                  <c:v>2.1376077110176431E-8</c:v>
                </c:pt>
                <c:pt idx="714">
                  <c:v>1.152406862077752E-8</c:v>
                </c:pt>
                <c:pt idx="715">
                  <c:v>6.1727627102512193E-9</c:v>
                </c:pt>
                <c:pt idx="716">
                  <c:v>3.2851049427426127E-9</c:v>
                </c:pt>
                <c:pt idx="717">
                  <c:v>1.737060046945482E-9</c:v>
                </c:pt>
                <c:pt idx="718">
                  <c:v>9.1259132014710697E-10</c:v>
                </c:pt>
                <c:pt idx="719">
                  <c:v>4.7635831967327819E-10</c:v>
                </c:pt>
                <c:pt idx="720">
                  <c:v>2.4705127184486951E-10</c:v>
                </c:pt>
                <c:pt idx="721">
                  <c:v>1.273023298134015E-10</c:v>
                </c:pt>
                <c:pt idx="722">
                  <c:v>6.5175073313991835E-11</c:v>
                </c:pt>
                <c:pt idx="723">
                  <c:v>3.3152983946414749E-11</c:v>
                </c:pt>
                <c:pt idx="724">
                  <c:v>1.6755586602982992E-11</c:v>
                </c:pt>
                <c:pt idx="725">
                  <c:v>8.4138074476847108E-12</c:v>
                </c:pt>
                <c:pt idx="726">
                  <c:v>4.1977968700370023E-12</c:v>
                </c:pt>
                <c:pt idx="727">
                  <c:v>2.0808759387571699E-12</c:v>
                </c:pt>
                <c:pt idx="728">
                  <c:v>1.0248655054935872E-12</c:v>
                </c:pt>
                <c:pt idx="729">
                  <c:v>5.015144863233672E-13</c:v>
                </c:pt>
                <c:pt idx="730">
                  <c:v>2.4383497900583419E-13</c:v>
                </c:pt>
                <c:pt idx="731">
                  <c:v>1.1778892278423578E-13</c:v>
                </c:pt>
                <c:pt idx="732">
                  <c:v>5.6533882477417713E-14</c:v>
                </c:pt>
                <c:pt idx="733">
                  <c:v>2.6959329825973514E-14</c:v>
                </c:pt>
                <c:pt idx="734">
                  <c:v>1.2773364070964228E-14</c:v>
                </c:pt>
                <c:pt idx="735">
                  <c:v>6.0130859007771582E-15</c:v>
                </c:pt>
                <c:pt idx="736">
                  <c:v>2.8124541033196961E-15</c:v>
                </c:pt>
                <c:pt idx="737">
                  <c:v>1.3069813734440412E-15</c:v>
                </c:pt>
                <c:pt idx="738">
                  <c:v>6.0346108756648663E-16</c:v>
                </c:pt>
                <c:pt idx="739">
                  <c:v>2.7683759170626666E-16</c:v>
                </c:pt>
                <c:pt idx="740">
                  <c:v>1.2618181571234552E-16</c:v>
                </c:pt>
                <c:pt idx="741">
                  <c:v>5.7143179454340693E-17</c:v>
                </c:pt>
                <c:pt idx="742">
                  <c:v>2.5711531610945971E-17</c:v>
                </c:pt>
                <c:pt idx="743">
                  <c:v>1.1494429301895818E-17</c:v>
                </c:pt>
                <c:pt idx="744">
                  <c:v>5.1055531008360803E-18</c:v>
                </c:pt>
                <c:pt idx="745">
                  <c:v>2.253170725787185E-18</c:v>
                </c:pt>
                <c:pt idx="746">
                  <c:v>9.8796445803716686E-19</c:v>
                </c:pt>
                <c:pt idx="747">
                  <c:v>4.3041208890507286E-19</c:v>
                </c:pt>
                <c:pt idx="748">
                  <c:v>1.863045746258769E-19</c:v>
                </c:pt>
                <c:pt idx="749">
                  <c:v>8.012323866602485E-20</c:v>
                </c:pt>
                <c:pt idx="750">
                  <c:v>3.4236502405447867E-20</c:v>
                </c:pt>
                <c:pt idx="751">
                  <c:v>1.4535039106240137E-20</c:v>
                </c:pt>
                <c:pt idx="752">
                  <c:v>6.1311075836204536E-21</c:v>
                </c:pt>
                <c:pt idx="753">
                  <c:v>2.5695530455034007E-21</c:v>
                </c:pt>
                <c:pt idx="754">
                  <c:v>1.0699713696149461E-21</c:v>
                </c:pt>
                <c:pt idx="755">
                  <c:v>4.4267260347833198E-22</c:v>
                </c:pt>
                <c:pt idx="756">
                  <c:v>1.8196549834521709E-22</c:v>
                </c:pt>
                <c:pt idx="757">
                  <c:v>7.4317548646887988E-23</c:v>
                </c:pt>
                <c:pt idx="758">
                  <c:v>3.0157103014462988E-23</c:v>
                </c:pt>
                <c:pt idx="759">
                  <c:v>1.2158605891195798E-23</c:v>
                </c:pt>
                <c:pt idx="760">
                  <c:v>4.8705035246071397E-24</c:v>
                </c:pt>
                <c:pt idx="761">
                  <c:v>1.9384734671554424E-24</c:v>
                </c:pt>
                <c:pt idx="762">
                  <c:v>7.665522778767842E-25</c:v>
                </c:pt>
                <c:pt idx="763">
                  <c:v>3.011754823727303E-25</c:v>
                </c:pt>
                <c:pt idx="764">
                  <c:v>1.1756914752066224E-25</c:v>
                </c:pt>
                <c:pt idx="765">
                  <c:v>4.5599810968039495E-26</c:v>
                </c:pt>
                <c:pt idx="766">
                  <c:v>1.7572301007547512E-26</c:v>
                </c:pt>
                <c:pt idx="767">
                  <c:v>6.7280644673236802E-27</c:v>
                </c:pt>
                <c:pt idx="768">
                  <c:v>2.5594554397615626E-27</c:v>
                </c:pt>
                <c:pt idx="769">
                  <c:v>9.6738849948855943E-28</c:v>
                </c:pt>
                <c:pt idx="770">
                  <c:v>3.6328727494442163E-28</c:v>
                </c:pt>
                <c:pt idx="771">
                  <c:v>1.3554870417865537E-28</c:v>
                </c:pt>
                <c:pt idx="772">
                  <c:v>5.0250047078761498E-29</c:v>
                </c:pt>
                <c:pt idx="773">
                  <c:v>1.8508596786147436E-29</c:v>
                </c:pt>
                <c:pt idx="774">
                  <c:v>6.7733954892091348E-30</c:v>
                </c:pt>
                <c:pt idx="775">
                  <c:v>2.4628348625808637E-30</c:v>
                </c:pt>
                <c:pt idx="776">
                  <c:v>8.8973375961656883E-31</c:v>
                </c:pt>
                <c:pt idx="777">
                  <c:v>3.1936018044580246E-31</c:v>
                </c:pt>
                <c:pt idx="778">
                  <c:v>1.1389309082674531E-31</c:v>
                </c:pt>
                <c:pt idx="779">
                  <c:v>4.0356167088293752E-32</c:v>
                </c:pt>
                <c:pt idx="780">
                  <c:v>1.4207522828412934E-32</c:v>
                </c:pt>
                <c:pt idx="781">
                  <c:v>4.9696148535709556E-33</c:v>
                </c:pt>
                <c:pt idx="782">
                  <c:v>1.7271220157764957E-33</c:v>
                </c:pt>
                <c:pt idx="783">
                  <c:v>5.9637472159308227E-34</c:v>
                </c:pt>
                <c:pt idx="784">
                  <c:v>2.046026959856979E-34</c:v>
                </c:pt>
                <c:pt idx="785">
                  <c:v>6.9742802637254908E-35</c:v>
                </c:pt>
                <c:pt idx="786">
                  <c:v>2.3620188429382297E-35</c:v>
                </c:pt>
                <c:pt idx="787">
                  <c:v>7.9480984626359558E-36</c:v>
                </c:pt>
                <c:pt idx="788">
                  <c:v>2.6572905181401682E-36</c:v>
                </c:pt>
                <c:pt idx="789">
                  <c:v>8.8269518110436174E-37</c:v>
                </c:pt>
                <c:pt idx="790">
                  <c:v>2.9132542719492065E-37</c:v>
                </c:pt>
                <c:pt idx="791">
                  <c:v>9.5530477122473432E-38</c:v>
                </c:pt>
                <c:pt idx="792">
                  <c:v>3.1124430967610875E-38</c:v>
                </c:pt>
                <c:pt idx="793">
                  <c:v>1.0075272755376071E-38</c:v>
                </c:pt>
                <c:pt idx="794">
                  <c:v>3.2404708757624178E-39</c:v>
                </c:pt>
                <c:pt idx="795">
                  <c:v>1.0355125136049509E-39</c:v>
                </c:pt>
                <c:pt idx="796">
                  <c:v>3.2877478236762851E-40</c:v>
                </c:pt>
                <c:pt idx="797">
                  <c:v>1.0371404315025719E-40</c:v>
                </c:pt>
                <c:pt idx="798">
                  <c:v>3.250667502117561E-41</c:v>
                </c:pt>
                <c:pt idx="799">
                  <c:v>1.0122865174872295E-41</c:v>
                </c:pt>
                <c:pt idx="800">
                  <c:v>3.1320614499099999E-42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'Fatores de forma'!$AF$1:$AF$2</c:f>
              <c:strCache>
                <c:ptCount val="1"/>
                <c:pt idx="0">
                  <c:v>(Ba(1−x)Cax)TiO3, t = 10nm , x = 0,25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forma'!$AF$3:$AF$803</c:f>
              <c:numCache>
                <c:formatCode>0.00000</c:formatCode>
                <c:ptCount val="801"/>
                <c:pt idx="0">
                  <c:v>40.956499650727039</c:v>
                </c:pt>
                <c:pt idx="1">
                  <c:v>58.155209025898721</c:v>
                </c:pt>
                <c:pt idx="2">
                  <c:v>81.94913984244522</c:v>
                </c:pt>
                <c:pt idx="3">
                  <c:v>114.60146458090273</c:v>
                </c:pt>
                <c:pt idx="4">
                  <c:v>159.04716277445795</c:v>
                </c:pt>
                <c:pt idx="5">
                  <c:v>219.0542453871841</c:v>
                </c:pt>
                <c:pt idx="6">
                  <c:v>299.41076622908668</c:v>
                </c:pt>
                <c:pt idx="7">
                  <c:v>406.13754645261338</c:v>
                </c:pt>
                <c:pt idx="8">
                  <c:v>546.72490646542428</c:v>
                </c:pt>
                <c:pt idx="9">
                  <c:v>730.38957705140274</c:v>
                </c:pt>
                <c:pt idx="10">
                  <c:v>968.3453357602973</c:v>
                </c:pt>
                <c:pt idx="11">
                  <c:v>1274.0778132309965</c:v>
                </c:pt>
                <c:pt idx="12">
                  <c:v>1663.6104161044564</c:v>
                </c:pt>
                <c:pt idx="13">
                  <c:v>2155.7445594765522</c:v>
                </c:pt>
                <c:pt idx="14">
                  <c:v>2772.2536026351722</c:v>
                </c:pt>
                <c:pt idx="15">
                  <c:v>3538.0063192491807</c:v>
                </c:pt>
                <c:pt idx="16">
                  <c:v>4480.9927573321947</c:v>
                </c:pt>
                <c:pt idx="17">
                  <c:v>5632.2233610324065</c:v>
                </c:pt>
                <c:pt idx="18">
                  <c:v>7025.4716754924539</c:v>
                </c:pt>
                <c:pt idx="19">
                  <c:v>8696.832280080178</c:v>
                </c:pt>
                <c:pt idx="20">
                  <c:v>10684.069198374722</c:v>
                </c:pt>
                <c:pt idx="21">
                  <c:v>13025.736233321652</c:v>
                </c:pt>
                <c:pt idx="22">
                  <c:v>15760.059652678836</c:v>
                </c:pt>
                <c:pt idx="23">
                  <c:v>18923.585393594334</c:v>
                </c:pt>
                <c:pt idx="24">
                  <c:v>22549.607222119965</c:v>
                </c:pt>
                <c:pt idx="25">
                  <c:v>26666.408564015572</c:v>
                </c:pt>
                <c:pt idx="26">
                  <c:v>31295.368229380772</c:v>
                </c:pt>
                <c:pt idx="27">
                  <c:v>36448.997931760081</c:v>
                </c:pt>
                <c:pt idx="28">
                  <c:v>42128.996074477342</c:v>
                </c:pt>
                <c:pt idx="29">
                  <c:v>48324.41631282126</c:v>
                </c:pt>
                <c:pt idx="30">
                  <c:v>55010.059418330973</c:v>
                </c:pt>
                <c:pt idx="31">
                  <c:v>62145.201560894537</c:v>
                </c:pt>
                <c:pt idx="32">
                  <c:v>69672.770085951677</c:v>
                </c:pt>
                <c:pt idx="33">
                  <c:v>77519.068348508474</c:v>
                </c:pt>
                <c:pt idx="34">
                  <c:v>85594.133802095675</c:v>
                </c:pt>
                <c:pt idx="35">
                  <c:v>93792.788537378467</c:v>
                </c:pt>
                <c:pt idx="36">
                  <c:v>101996.40966767241</c:v>
                </c:pt>
                <c:pt idx="37">
                  <c:v>110075.40985586053</c:v>
                </c:pt>
                <c:pt idx="38">
                  <c:v>117892.37794533299</c:v>
                </c:pt>
                <c:pt idx="39">
                  <c:v>125305.7886428332</c:v>
                </c:pt>
                <c:pt idx="40">
                  <c:v>132174.15134578606</c:v>
                </c:pt>
                <c:pt idx="41">
                  <c:v>138360.43443069156</c:v>
                </c:pt>
                <c:pt idx="42">
                  <c:v>143736.575375282</c:v>
                </c:pt>
                <c:pt idx="43">
                  <c:v>148187.87131277187</c:v>
                </c:pt>
                <c:pt idx="44">
                  <c:v>151617.04070660792</c:v>
                </c:pt>
                <c:pt idx="45">
                  <c:v>153947.75565948748</c:v>
                </c:pt>
                <c:pt idx="46">
                  <c:v>155127.46586245962</c:v>
                </c:pt>
                <c:pt idx="47">
                  <c:v>155129.36830648704</c:v>
                </c:pt>
                <c:pt idx="48">
                  <c:v>153953.41965802791</c:v>
                </c:pt>
                <c:pt idx="49">
                  <c:v>151626.33789994553</c:v>
                </c:pt>
                <c:pt idx="50">
                  <c:v>148200.59315097521</c:v>
                </c:pt>
                <c:pt idx="51">
                  <c:v>143752.44089478251</c:v>
                </c:pt>
                <c:pt idx="52">
                  <c:v>138379.10056656389</c:v>
                </c:pt>
                <c:pt idx="53">
                  <c:v>132195.22525135797</c:v>
                </c:pt>
                <c:pt idx="54">
                  <c:v>125328.84139950808</c:v>
                </c:pt>
                <c:pt idx="55">
                  <c:v>117916.95899635945</c:v>
                </c:pt>
                <c:pt idx="56">
                  <c:v>110101.06149003131</c:v>
                </c:pt>
                <c:pt idx="57">
                  <c:v>102022.68091125146</c:v>
                </c:pt>
                <c:pt idx="58">
                  <c:v>93819.247880732903</c:v>
                </c:pt>
                <c:pt idx="59">
                  <c:v>85620.380284954037</c:v>
                </c:pt>
                <c:pt idx="60">
                  <c:v>77544.740646156919</c:v>
                </c:pt>
                <c:pt idx="61">
                  <c:v>69697.553368756533</c:v>
                </c:pt>
                <c:pt idx="62">
                  <c:v>62168.832031901635</c:v>
                </c:pt>
                <c:pt idx="63">
                  <c:v>55032.326559563386</c:v>
                </c:pt>
                <c:pt idx="64">
                  <c:v>48345.162982754562</c:v>
                </c:pt>
                <c:pt idx="65">
                  <c:v>42148.116691233205</c:v>
                </c:pt>
                <c:pt idx="66">
                  <c:v>36466.435045048645</c:v>
                </c:pt>
                <c:pt idx="67">
                  <c:v>31311.10782746195</c:v>
                </c:pt>
                <c:pt idx="68">
                  <c:v>26680.474480239158</c:v>
                </c:pt>
                <c:pt idx="69">
                  <c:v>22562.055000969911</c:v>
                </c:pt>
                <c:pt idx="70">
                  <c:v>18934.4959519724</c:v>
                </c:pt>
                <c:pt idx="71">
                  <c:v>15769.533032689187</c:v>
                </c:pt>
                <c:pt idx="72">
                  <c:v>13033.885692788048</c:v>
                </c:pt>
                <c:pt idx="73">
                  <c:v>10691.015829480615</c:v>
                </c:pt>
                <c:pt idx="74">
                  <c:v>8702.7002892758501</c:v>
                </c:pt>
                <c:pt idx="75">
                  <c:v>7030.3844029445727</c:v>
                </c:pt>
                <c:pt idx="76">
                  <c:v>5636.3000683800647</c:v>
                </c:pt>
                <c:pt idx="77">
                  <c:v>4484.346170447503</c:v>
                </c:pt>
                <c:pt idx="78">
                  <c:v>3540.7408792818192</c:v>
                </c:pt>
                <c:pt idx="79">
                  <c:v>2774.4643542362046</c:v>
                </c:pt>
                <c:pt idx="80">
                  <c:v>2157.5165894484994</c:v>
                </c:pt>
                <c:pt idx="81">
                  <c:v>1665.0187479838321</c:v>
                </c:pt>
                <c:pt idx="82">
                  <c:v>1275.1876622872705</c:v>
                </c:pt>
                <c:pt idx="83">
                  <c:v>969.21263320604351</c:v>
                </c:pt>
                <c:pt idx="84">
                  <c:v>731.06168046236996</c:v>
                </c:pt>
                <c:pt idx="85">
                  <c:v>547.2414241316236</c:v>
                </c:pt>
                <c:pt idx="86">
                  <c:v>406.5312153963576</c:v>
                </c:pt>
                <c:pt idx="87">
                  <c:v>299.70833591138415</c:v>
                </c:pt>
                <c:pt idx="88">
                  <c:v>219.2773308873758</c:v>
                </c:pt>
                <c:pt idx="89">
                  <c:v>159.21304190698865</c:v>
                </c:pt>
                <c:pt idx="90">
                  <c:v>114.72380265831059</c:v>
                </c:pt>
                <c:pt idx="91">
                  <c:v>82.038633439404023</c:v>
                </c:pt>
                <c:pt idx="92">
                  <c:v>58.22014612713685</c:v>
                </c:pt>
                <c:pt idx="93">
                  <c:v>41.003238067057787</c:v>
                </c:pt>
                <c:pt idx="94">
                  <c:v>28.658470491835836</c:v>
                </c:pt>
                <c:pt idx="95">
                  <c:v>19.878236431833109</c:v>
                </c:pt>
                <c:pt idx="96">
                  <c:v>13.683357861782836</c:v>
                </c:pt>
                <c:pt idx="97">
                  <c:v>9.3475437961173018</c:v>
                </c:pt>
                <c:pt idx="98">
                  <c:v>6.3371257046454401</c:v>
                </c:pt>
                <c:pt idx="99">
                  <c:v>4.2636065945069941</c:v>
                </c:pt>
                <c:pt idx="100">
                  <c:v>2.8467669717626953</c:v>
                </c:pt>
                <c:pt idx="101">
                  <c:v>1.886325786427919</c:v>
                </c:pt>
                <c:pt idx="102">
                  <c:v>1.2404277539602409</c:v>
                </c:pt>
                <c:pt idx="103">
                  <c:v>0.80949885327277293</c:v>
                </c:pt>
                <c:pt idx="104">
                  <c:v>0.52426515182359601</c:v>
                </c:pt>
                <c:pt idx="105">
                  <c:v>0.33695797058273302</c:v>
                </c:pt>
                <c:pt idx="106">
                  <c:v>0.21492674762037578</c:v>
                </c:pt>
                <c:pt idx="107">
                  <c:v>0.13604894853124708</c:v>
                </c:pt>
                <c:pt idx="108">
                  <c:v>8.5465315944252482E-2</c:v>
                </c:pt>
                <c:pt idx="109">
                  <c:v>5.3281274560616751E-2</c:v>
                </c:pt>
                <c:pt idx="110">
                  <c:v>3.2964712916278185E-2</c:v>
                </c:pt>
                <c:pt idx="111">
                  <c:v>2.0240161828829061E-2</c:v>
                </c:pt>
                <c:pt idx="112">
                  <c:v>1.2332997775026592E-2</c:v>
                </c:pt>
                <c:pt idx="113">
                  <c:v>7.4578443599220947E-3</c:v>
                </c:pt>
                <c:pt idx="114">
                  <c:v>4.4755660231308378E-3</c:v>
                </c:pt>
                <c:pt idx="115">
                  <c:v>2.6654627070871071E-3</c:v>
                </c:pt>
                <c:pt idx="116">
                  <c:v>1.5753869478680915E-3</c:v>
                </c:pt>
                <c:pt idx="117">
                  <c:v>9.2404232746280028E-4</c:v>
                </c:pt>
                <c:pt idx="118">
                  <c:v>5.3788133934291849E-4</c:v>
                </c:pt>
                <c:pt idx="119">
                  <c:v>3.1072133906396372E-4</c:v>
                </c:pt>
                <c:pt idx="120">
                  <c:v>1.7813352909122889E-4</c:v>
                </c:pt>
                <c:pt idx="121">
                  <c:v>1.0134684985231918E-4</c:v>
                </c:pt>
                <c:pt idx="122">
                  <c:v>5.7222236269548185E-5</c:v>
                </c:pt>
                <c:pt idx="123">
                  <c:v>3.2063386362835552E-5</c:v>
                </c:pt>
                <c:pt idx="124">
                  <c:v>1.7829696085876695E-5</c:v>
                </c:pt>
                <c:pt idx="125">
                  <c:v>9.8393969927008557E-6</c:v>
                </c:pt>
                <c:pt idx="126">
                  <c:v>5.3886877611142933E-6</c:v>
                </c:pt>
                <c:pt idx="127">
                  <c:v>2.9287854602934262E-6</c:v>
                </c:pt>
                <c:pt idx="128">
                  <c:v>1.5797273828162106E-6</c:v>
                </c:pt>
                <c:pt idx="129">
                  <c:v>8.4560385335191075E-7</c:v>
                </c:pt>
                <c:pt idx="130">
                  <c:v>4.4920304921481319E-7</c:v>
                </c:pt>
                <c:pt idx="131">
                  <c:v>2.3681668608879427E-7</c:v>
                </c:pt>
                <c:pt idx="132">
                  <c:v>1.2390469317894296E-7</c:v>
                </c:pt>
                <c:pt idx="133">
                  <c:v>6.434550470672685E-8</c:v>
                </c:pt>
                <c:pt idx="134">
                  <c:v>3.3182187534028011E-8</c:v>
                </c:pt>
                <c:pt idx="135">
                  <c:v>1.7024381811015167E-8</c:v>
                </c:pt>
                <c:pt idx="136">
                  <c:v>8.7569064797036383E-9</c:v>
                </c:pt>
                <c:pt idx="137">
                  <c:v>4.6528953446618562E-9</c:v>
                </c:pt>
                <c:pt idx="138">
                  <c:v>2.823423443387227E-9</c:v>
                </c:pt>
                <c:pt idx="139">
                  <c:v>2.414367759087416E-9</c:v>
                </c:pt>
                <c:pt idx="140">
                  <c:v>3.2381302676248663E-9</c:v>
                </c:pt>
                <c:pt idx="141">
                  <c:v>5.695046840330151E-9</c:v>
                </c:pt>
                <c:pt idx="142">
                  <c:v>1.0954888292376904E-8</c:v>
                </c:pt>
                <c:pt idx="143">
                  <c:v>2.1474677599781424E-8</c:v>
                </c:pt>
                <c:pt idx="144">
                  <c:v>4.2064251644554422E-8</c:v>
                </c:pt>
                <c:pt idx="145">
                  <c:v>8.1925015782300773E-8</c:v>
                </c:pt>
                <c:pt idx="146">
                  <c:v>1.5845606191402492E-7</c:v>
                </c:pt>
                <c:pt idx="147">
                  <c:v>3.0427161449329657E-7</c:v>
                </c:pt>
                <c:pt idx="148">
                  <c:v>5.8001998230672663E-7</c:v>
                </c:pt>
                <c:pt idx="149">
                  <c:v>1.0976042805671402E-6</c:v>
                </c:pt>
                <c:pt idx="150">
                  <c:v>2.0619023632094165E-6</c:v>
                </c:pt>
                <c:pt idx="151">
                  <c:v>3.8451157565076622E-6</c:v>
                </c:pt>
                <c:pt idx="152">
                  <c:v>7.1181912060642529E-6</c:v>
                </c:pt>
                <c:pt idx="153">
                  <c:v>1.3081235454793812E-5</c:v>
                </c:pt>
                <c:pt idx="154">
                  <c:v>2.3864192938794143E-5</c:v>
                </c:pt>
                <c:pt idx="155">
                  <c:v>4.321789544517297E-5</c:v>
                </c:pt>
                <c:pt idx="156">
                  <c:v>7.769612351845135E-5</c:v>
                </c:pt>
                <c:pt idx="157">
                  <c:v>1.3866088298968791E-4</c:v>
                </c:pt>
                <c:pt idx="158">
                  <c:v>2.4565603925218469E-4</c:v>
                </c:pt>
                <c:pt idx="159">
                  <c:v>4.3203586710146143E-4</c:v>
                </c:pt>
                <c:pt idx="160">
                  <c:v>7.5427729353488827E-4</c:v>
                </c:pt>
                <c:pt idx="161">
                  <c:v>1.3072574901278602E-3</c:v>
                </c:pt>
                <c:pt idx="162">
                  <c:v>2.2491070001022938E-3</c:v>
                </c:pt>
                <c:pt idx="163">
                  <c:v>3.8412977269875422E-3</c:v>
                </c:pt>
                <c:pt idx="164">
                  <c:v>6.5127543091644058E-3</c:v>
                </c:pt>
                <c:pt idx="165">
                  <c:v>1.096150772257575E-2</c:v>
                </c:pt>
                <c:pt idx="166">
                  <c:v>1.8314487367526226E-2</c:v>
                </c:pt>
                <c:pt idx="167">
                  <c:v>3.0376526634870685E-2</c:v>
                </c:pt>
                <c:pt idx="168">
                  <c:v>5.0015006965176106E-2</c:v>
                </c:pt>
                <c:pt idx="169">
                  <c:v>8.1748807721845049E-2</c:v>
                </c:pt>
                <c:pt idx="170">
                  <c:v>0.13264210172193458</c:v>
                </c:pt>
                <c:pt idx="171">
                  <c:v>0.21364869067932429</c:v>
                </c:pt>
                <c:pt idx="172">
                  <c:v>0.34161580099884964</c:v>
                </c:pt>
                <c:pt idx="173">
                  <c:v>0.54224372933296339</c:v>
                </c:pt>
                <c:pt idx="174">
                  <c:v>0.85441723501654687</c:v>
                </c:pt>
                <c:pt idx="175">
                  <c:v>1.3364857595360853</c:v>
                </c:pt>
                <c:pt idx="176">
                  <c:v>2.075284033062101</c:v>
                </c:pt>
                <c:pt idx="177">
                  <c:v>3.1989660229121322</c:v>
                </c:pt>
                <c:pt idx="178">
                  <c:v>4.8950889019170498</c:v>
                </c:pt>
                <c:pt idx="179">
                  <c:v>7.4358464585849564</c:v>
                </c:pt>
                <c:pt idx="180">
                  <c:v>11.212930157259244</c:v>
                </c:pt>
                <c:pt idx="181">
                  <c:v>16.785206718340998</c:v>
                </c:pt>
                <c:pt idx="182">
                  <c:v>24.943256051262718</c:v>
                </c:pt>
                <c:pt idx="183">
                  <c:v>36.795818611254035</c:v>
                </c:pt>
                <c:pt idx="184">
                  <c:v>53.884352343928192</c:v>
                </c:pt>
                <c:pt idx="185">
                  <c:v>78.333176651954048</c:v>
                </c:pt>
                <c:pt idx="186">
                  <c:v>113.04404365555759</c:v>
                </c:pt>
                <c:pt idx="187">
                  <c:v>161.94535763731537</c:v>
                </c:pt>
                <c:pt idx="188">
                  <c:v>230.30756063098815</c:v>
                </c:pt>
                <c:pt idx="189">
                  <c:v>325.13727493446117</c:v>
                </c:pt>
                <c:pt idx="190">
                  <c:v>455.6634574679104</c:v>
                </c:pt>
                <c:pt idx="191">
                  <c:v>633.92884646023197</c:v>
                </c:pt>
                <c:pt idx="192">
                  <c:v>875.4990948060647</c:v>
                </c:pt>
                <c:pt idx="193">
                  <c:v>1200.299877951446</c:v>
                </c:pt>
                <c:pt idx="194">
                  <c:v>1633.5886077917962</c:v>
                </c:pt>
                <c:pt idx="195">
                  <c:v>2207.0618500845271</c:v>
                </c:pt>
                <c:pt idx="196">
                  <c:v>2960.0918369977931</c:v>
                </c:pt>
                <c:pt idx="197">
                  <c:v>3941.0753681963633</c:v>
                </c:pt>
                <c:pt idx="198">
                  <c:v>5208.8658048790348</c:v>
                </c:pt>
                <c:pt idx="199">
                  <c:v>6834.2438584936353</c:v>
                </c:pt>
                <c:pt idx="200">
                  <c:v>8901.3657668609412</c:v>
                </c:pt>
                <c:pt idx="201">
                  <c:v>11509.10882355877</c:v>
                </c:pt>
                <c:pt idx="202">
                  <c:v>14772.214990694778</c:v>
                </c:pt>
                <c:pt idx="203">
                  <c:v>18822.114730808142</c:v>
                </c:pt>
                <c:pt idx="204">
                  <c:v>23807.296824915727</c:v>
                </c:pt>
                <c:pt idx="205">
                  <c:v>29893.077676808509</c:v>
                </c:pt>
                <c:pt idx="206">
                  <c:v>37260.617522646906</c:v>
                </c:pt>
                <c:pt idx="207">
                  <c:v>46105.033232821901</c:v>
                </c:pt>
                <c:pt idx="208">
                  <c:v>56632.470079341132</c:v>
                </c:pt>
                <c:pt idx="209">
                  <c:v>69056.019711732748</c:v>
                </c:pt>
                <c:pt idx="210">
                  <c:v>83590.409862096887</c:v>
                </c:pt>
                <c:pt idx="211">
                  <c:v>100445.44342567932</c:v>
                </c:pt>
                <c:pt idx="212">
                  <c:v>119818.22996580173</c:v>
                </c:pt>
                <c:pt idx="213">
                  <c:v>141884.329604834</c:v>
                </c:pt>
                <c:pt idx="214">
                  <c:v>166788.01461479987</c:v>
                </c:pt>
                <c:pt idx="215">
                  <c:v>194631.94342662478</c:v>
                </c:pt>
                <c:pt idx="216">
                  <c:v>225466.62965039478</c:v>
                </c:pt>
                <c:pt idx="217">
                  <c:v>259280.16850571265</c:v>
                </c:pt>
                <c:pt idx="218">
                  <c:v>295988.74770646106</c:v>
                </c:pt>
                <c:pt idx="219">
                  <c:v>335428.51218557445</c:v>
                </c:pt>
                <c:pt idx="220">
                  <c:v>377349.36549913796</c:v>
                </c:pt>
                <c:pt idx="221">
                  <c:v>421411.26994491665</c:v>
                </c:pt>
                <c:pt idx="222">
                  <c:v>467183.54885556392</c:v>
                </c:pt>
                <c:pt idx="223">
                  <c:v>514147.59709390858</c:v>
                </c:pt>
                <c:pt idx="224">
                  <c:v>561703.27124782198</c:v>
                </c:pt>
                <c:pt idx="225">
                  <c:v>609179.06422103592</c:v>
                </c:pt>
                <c:pt idx="226">
                  <c:v>655845.97769624833</c:v>
                </c:pt>
                <c:pt idx="227">
                  <c:v>700934.80086734879</c:v>
                </c:pt>
                <c:pt idx="228">
                  <c:v>743656.2975642992</c:v>
                </c:pt>
                <c:pt idx="229">
                  <c:v>783223.61034710286</c:v>
                </c:pt>
                <c:pt idx="230">
                  <c:v>818876.02345501271</c:v>
                </c:pt>
                <c:pt idx="231">
                  <c:v>849903.0998546331</c:v>
                </c:pt>
                <c:pt idx="232">
                  <c:v>875668.13213401614</c:v>
                </c:pt>
                <c:pt idx="233">
                  <c:v>895629.83059981815</c:v>
                </c:pt>
                <c:pt idx="234">
                  <c:v>909361.21864604368</c:v>
                </c:pt>
                <c:pt idx="235">
                  <c:v>916564.81478570483</c:v>
                </c:pt>
                <c:pt idx="236">
                  <c:v>917083.34754953685</c:v>
                </c:pt>
                <c:pt idx="237">
                  <c:v>910905.46426323743</c:v>
                </c:pt>
                <c:pt idx="238">
                  <c:v>898166.14429581875</c:v>
                </c:pt>
                <c:pt idx="239">
                  <c:v>879141.79577053222</c:v>
                </c:pt>
                <c:pt idx="240">
                  <c:v>854240.28449853521</c:v>
                </c:pt>
                <c:pt idx="241">
                  <c:v>823986.39747721714</c:v>
                </c:pt>
                <c:pt idx="242">
                  <c:v>789003.46441731392</c:v>
                </c:pt>
                <c:pt idx="243">
                  <c:v>749992.03571037843</c:v>
                </c:pt>
                <c:pt idx="244">
                  <c:v>707706.63389822817</c:v>
                </c:pt>
                <c:pt idx="245">
                  <c:v>662931.65223501367</c:v>
                </c:pt>
                <c:pt idx="246">
                  <c:v>616457.46713467292</c:v>
                </c:pt>
                <c:pt idx="247">
                  <c:v>569057.76449926256</c:v>
                </c:pt>
                <c:pt idx="248">
                  <c:v>521468.96052245051</c:v>
                </c:pt>
                <c:pt idx="249">
                  <c:v>474372.43623488216</c:v>
                </c:pt>
                <c:pt idx="250">
                  <c:v>428380.11474586948</c:v>
                </c:pt>
                <c:pt idx="251">
                  <c:v>384023.70490084996</c:v>
                </c:pt>
                <c:pt idx="252">
                  <c:v>341747.72894073586</c:v>
                </c:pt>
                <c:pt idx="253">
                  <c:v>301906.25763831398</c:v>
                </c:pt>
                <c:pt idx="254">
                  <c:v>264763.10522894032</c:v>
                </c:pt>
                <c:pt idx="255">
                  <c:v>230495.09654641163</c:v>
                </c:pt>
                <c:pt idx="256">
                  <c:v>199197.9154226002</c:v>
                </c:pt>
                <c:pt idx="257">
                  <c:v>170893.97883730326</c:v>
                </c:pt>
                <c:pt idx="258">
                  <c:v>145541.75484215745</c:v>
                </c:pt>
                <c:pt idx="259">
                  <c:v>123045.95075703463</c:v>
                </c:pt>
                <c:pt idx="260">
                  <c:v>103268.03642465055</c:v>
                </c:pt>
                <c:pt idx="261">
                  <c:v>86036.628969694633</c:v>
                </c:pt>
                <c:pt idx="262">
                  <c:v>71157.343445070277</c:v>
                </c:pt>
                <c:pt idx="263">
                  <c:v>58421.80082138408</c:v>
                </c:pt>
                <c:pt idx="264">
                  <c:v>47615.574336780985</c:v>
                </c:pt>
                <c:pt idx="265">
                  <c:v>38524.941520566274</c:v>
                </c:pt>
                <c:pt idx="266">
                  <c:v>30942.387654136077</c:v>
                </c:pt>
                <c:pt idx="267">
                  <c:v>24670.873759989474</c:v>
                </c:pt>
                <c:pt idx="268">
                  <c:v>19526.93645112382</c:v>
                </c:pt>
                <c:pt idx="269">
                  <c:v>15342.72738346625</c:v>
                </c:pt>
                <c:pt idx="270">
                  <c:v>11967.126931226114</c:v>
                </c:pt>
                <c:pt idx="271">
                  <c:v>9266.0811683161246</c:v>
                </c:pt>
                <c:pt idx="272">
                  <c:v>7122.3149857169092</c:v>
                </c:pt>
                <c:pt idx="273">
                  <c:v>5434.5692418251419</c:v>
                </c:pt>
                <c:pt idx="274">
                  <c:v>4116.4983914038157</c:v>
                </c:pt>
                <c:pt idx="275">
                  <c:v>3095.3491745522751</c:v>
                </c:pt>
                <c:pt idx="276">
                  <c:v>2310.5225849685162</c:v>
                </c:pt>
                <c:pt idx="277">
                  <c:v>1712.1021098350352</c:v>
                </c:pt>
                <c:pt idx="278">
                  <c:v>1259.4124449554824</c:v>
                </c:pt>
                <c:pt idx="279">
                  <c:v>919.65549928265102</c:v>
                </c:pt>
                <c:pt idx="280">
                  <c:v>666.65514843868766</c:v>
                </c:pt>
                <c:pt idx="281">
                  <c:v>479.72922491239592</c:v>
                </c:pt>
                <c:pt idx="282">
                  <c:v>342.69675241084929</c:v>
                </c:pt>
                <c:pt idx="283">
                  <c:v>243.02036843892694</c:v>
                </c:pt>
                <c:pt idx="284">
                  <c:v>171.07802766865521</c:v>
                </c:pt>
                <c:pt idx="285">
                  <c:v>119.55415330065235</c:v>
                </c:pt>
                <c:pt idx="286">
                  <c:v>82.938079567405339</c:v>
                </c:pt>
                <c:pt idx="287">
                  <c:v>57.116574816960018</c:v>
                </c:pt>
                <c:pt idx="288">
                  <c:v>39.047138230957451</c:v>
                </c:pt>
                <c:pt idx="289">
                  <c:v>26.49934490387453</c:v>
                </c:pt>
                <c:pt idx="290">
                  <c:v>17.852536899628742</c:v>
                </c:pt>
                <c:pt idx="291">
                  <c:v>11.939430585374529</c:v>
                </c:pt>
                <c:pt idx="292">
                  <c:v>7.9265858011240127</c:v>
                </c:pt>
                <c:pt idx="293">
                  <c:v>5.2240532028971565</c:v>
                </c:pt>
                <c:pt idx="294">
                  <c:v>3.4178098614044403</c:v>
                </c:pt>
                <c:pt idx="295">
                  <c:v>2.2197655180985967</c:v>
                </c:pt>
                <c:pt idx="296">
                  <c:v>1.4311502745931808</c:v>
                </c:pt>
                <c:pt idx="297">
                  <c:v>0.91597248266516085</c:v>
                </c:pt>
                <c:pt idx="298">
                  <c:v>0.58196786116920141</c:v>
                </c:pt>
                <c:pt idx="299">
                  <c:v>0.3670590435048417</c:v>
                </c:pt>
                <c:pt idx="300">
                  <c:v>0.22982432694422184</c:v>
                </c:pt>
                <c:pt idx="301">
                  <c:v>0.14285230785499831</c:v>
                </c:pt>
                <c:pt idx="302">
                  <c:v>8.8152165074779409E-2</c:v>
                </c:pt>
                <c:pt idx="303">
                  <c:v>5.401325511610526E-2</c:v>
                </c:pt>
                <c:pt idx="304">
                  <c:v>3.2876328462997338E-2</c:v>
                </c:pt>
                <c:pt idx="305">
                  <c:v>1.9904008334392213E-2</c:v>
                </c:pt>
                <c:pt idx="306">
                  <c:v>1.2030141918059609E-2</c:v>
                </c:pt>
                <c:pt idx="307">
                  <c:v>7.3343273302728671E-3</c:v>
                </c:pt>
                <c:pt idx="308">
                  <c:v>4.635774886669772E-3</c:v>
                </c:pt>
                <c:pt idx="309">
                  <c:v>3.2347117821520822E-3</c:v>
                </c:pt>
                <c:pt idx="310">
                  <c:v>2.7536646007540579E-3</c:v>
                </c:pt>
                <c:pt idx="311">
                  <c:v>3.0481172486723886E-3</c:v>
                </c:pt>
                <c:pt idx="312">
                  <c:v>4.1685026448562814E-3</c:v>
                </c:pt>
                <c:pt idx="313">
                  <c:v>6.3649875551953722E-3</c:v>
                </c:pt>
                <c:pt idx="314">
                  <c:v>1.0134437305921583E-2</c:v>
                </c:pt>
                <c:pt idx="315">
                  <c:v>1.6316467333278847E-2</c:v>
                </c:pt>
                <c:pt idx="316">
                  <c:v>2.6253667575050488E-2</c:v>
                </c:pt>
                <c:pt idx="317">
                  <c:v>4.204099362168863E-2</c:v>
                </c:pt>
                <c:pt idx="318">
                  <c:v>6.6902123833439853E-2</c:v>
                </c:pt>
                <c:pt idx="319">
                  <c:v>0.10574763786367848</c:v>
                </c:pt>
                <c:pt idx="320">
                  <c:v>0.16599279720309434</c:v>
                </c:pt>
                <c:pt idx="321">
                  <c:v>0.25874345521212455</c:v>
                </c:pt>
                <c:pt idx="322">
                  <c:v>0.40049953650006698</c:v>
                </c:pt>
                <c:pt idx="323">
                  <c:v>0.61557937238253924</c:v>
                </c:pt>
                <c:pt idx="324">
                  <c:v>0.9395381534958227</c:v>
                </c:pt>
                <c:pt idx="325">
                  <c:v>1.4239434264818827</c:v>
                </c:pt>
                <c:pt idx="326">
                  <c:v>2.1429837276387294</c:v>
                </c:pt>
                <c:pt idx="327">
                  <c:v>3.2025269409466013</c:v>
                </c:pt>
                <c:pt idx="328">
                  <c:v>4.7524162880023431</c:v>
                </c:pt>
                <c:pt idx="329">
                  <c:v>7.0029966640268304</c:v>
                </c:pt>
                <c:pt idx="330">
                  <c:v>10.247103469316068</c:v>
                </c:pt>
                <c:pt idx="331">
                  <c:v>14.889018896656284</c:v>
                </c:pt>
                <c:pt idx="332">
                  <c:v>21.482202105843495</c:v>
                </c:pt>
                <c:pt idx="333">
                  <c:v>30.777920426536248</c:v>
                </c:pt>
                <c:pt idx="334">
                  <c:v>43.787233200656722</c:v>
                </c:pt>
                <c:pt idx="335">
                  <c:v>61.859085187769431</c:v>
                </c:pt>
                <c:pt idx="336">
                  <c:v>86.777520995041826</c:v>
                </c:pt>
                <c:pt idx="337">
                  <c:v>120.88119449131936</c:v>
                </c:pt>
                <c:pt idx="338">
                  <c:v>167.2083663047371</c:v>
                </c:pt>
                <c:pt idx="339">
                  <c:v>229.67039734595244</c:v>
                </c:pt>
                <c:pt idx="340">
                  <c:v>313.25628785188923</c:v>
                </c:pt>
                <c:pt idx="341">
                  <c:v>424.27000567011777</c:v>
                </c:pt>
                <c:pt idx="342">
                  <c:v>570.60112002755886</c:v>
                </c:pt>
                <c:pt idx="343">
                  <c:v>762.02753971560423</c:v>
                </c:pt>
                <c:pt idx="344">
                  <c:v>1010.5468940493467</c:v>
                </c:pt>
                <c:pt idx="345">
                  <c:v>1330.73026256408</c:v>
                </c:pt>
                <c:pt idx="346">
                  <c:v>1740.0885629235747</c:v>
                </c:pt>
                <c:pt idx="347">
                  <c:v>2259.4380018462352</c:v>
                </c:pt>
                <c:pt idx="348">
                  <c:v>2913.2466964316882</c:v>
                </c:pt>
                <c:pt idx="349">
                  <c:v>3729.9400673848422</c:v>
                </c:pt>
                <c:pt idx="350">
                  <c:v>4742.1381502293198</c:v>
                </c:pt>
                <c:pt idx="351">
                  <c:v>5986.7938997299007</c:v>
                </c:pt>
                <c:pt idx="352">
                  <c:v>7505.1982790147977</c:v>
                </c:pt>
                <c:pt idx="353">
                  <c:v>9342.8158844766513</c:v>
                </c:pt>
                <c:pt idx="354">
                  <c:v>11548.914545805108</c:v>
                </c:pt>
                <c:pt idx="355">
                  <c:v>14175.954238134775</c:v>
                </c:pt>
                <c:pt idx="356">
                  <c:v>17278.705183678579</c:v>
                </c:pt>
                <c:pt idx="357">
                  <c:v>20913.072540234276</c:v>
                </c:pt>
                <c:pt idx="358">
                  <c:v>25134.615761319415</c:v>
                </c:pt>
                <c:pt idx="359">
                  <c:v>29996.764554381301</c:v>
                </c:pt>
                <c:pt idx="360">
                  <c:v>35548.750100677978</c:v>
                </c:pt>
                <c:pt idx="361">
                  <c:v>41833.289295719384</c:v>
                </c:pt>
                <c:pt idx="362">
                  <c:v>48884.080392700605</c:v>
                </c:pt>
                <c:pt idx="363">
                  <c:v>56723.18947039733</c:v>
                </c:pt>
                <c:pt idx="364">
                  <c:v>65358.42724333948</c:v>
                </c:pt>
                <c:pt idx="365">
                  <c:v>74780.833349065942</c:v>
                </c:pt>
                <c:pt idx="366">
                  <c:v>84962.398765105085</c:v>
                </c:pt>
                <c:pt idx="367">
                  <c:v>95854.164843763487</c:v>
                </c:pt>
                <c:pt idx="368">
                  <c:v>107384.83819542128</c:v>
                </c:pt>
                <c:pt idx="369">
                  <c:v>119460.05320584503</c:v>
                </c:pt>
                <c:pt idx="370">
                  <c:v>131962.39769640882</c:v>
                </c:pt>
                <c:pt idx="371">
                  <c:v>144752.29205108239</c:v>
                </c:pt>
                <c:pt idx="372">
                  <c:v>157669.77861087545</c:v>
                </c:pt>
                <c:pt idx="373">
                  <c:v>170537.23752639489</c:v>
                </c:pt>
                <c:pt idx="374">
                  <c:v>183162.99947240544</c:v>
                </c:pt>
                <c:pt idx="375">
                  <c:v>195345.77715135479</c:v>
                </c:pt>
                <c:pt idx="376">
                  <c:v>206879.78926746862</c:v>
                </c:pt>
                <c:pt idx="377">
                  <c:v>217560.40580332442</c:v>
                </c:pt>
                <c:pt idx="378">
                  <c:v>227190.10515234634</c:v>
                </c:pt>
                <c:pt idx="379">
                  <c:v>235584.50488988555</c:v>
                </c:pt>
                <c:pt idx="380">
                  <c:v>242578.21115140518</c:v>
                </c:pt>
                <c:pt idx="381">
                  <c:v>248030.22846723927</c:v>
                </c:pt>
                <c:pt idx="382">
                  <c:v>251828.68333215322</c:v>
                </c:pt>
                <c:pt idx="383">
                  <c:v>253894.64062269928</c:v>
                </c:pt>
                <c:pt idx="384">
                  <c:v>254184.83105073893</c:v>
                </c:pt>
                <c:pt idx="385">
                  <c:v>252693.15802499733</c:v>
                </c:pt>
                <c:pt idx="386">
                  <c:v>249450.91062421436</c:v>
                </c:pt>
                <c:pt idx="387">
                  <c:v>244525.67229041873</c:v>
                </c:pt>
                <c:pt idx="388">
                  <c:v>238018.97840618627</c:v>
                </c:pt>
                <c:pt idx="389">
                  <c:v>230062.83615292388</c:v>
                </c:pt>
                <c:pt idx="390">
                  <c:v>220815.27323886461</c:v>
                </c:pt>
                <c:pt idx="391">
                  <c:v>210455.12504935707</c:v>
                </c:pt>
                <c:pt idx="392">
                  <c:v>199176.30008758316</c:v>
                </c:pt>
                <c:pt idx="393">
                  <c:v>187181.77975091629</c:v>
                </c:pt>
                <c:pt idx="394">
                  <c:v>174677.61005128326</c:v>
                </c:pt>
                <c:pt idx="395">
                  <c:v>161867.13037482271</c:v>
                </c:pt>
                <c:pt idx="396">
                  <c:v>148945.65925370899</c:v>
                </c:pt>
                <c:pt idx="397">
                  <c:v>136095.82163180204</c:v>
                </c:pt>
                <c:pt idx="398">
                  <c:v>123483.65905026322</c:v>
                </c:pt>
                <c:pt idx="399">
                  <c:v>111255.61668513354</c:v>
                </c:pt>
                <c:pt idx="400">
                  <c:v>99536.452430627221</c:v>
                </c:pt>
                <c:pt idx="401">
                  <c:v>88428.066263376168</c:v>
                </c:pt>
                <c:pt idx="402">
                  <c:v>78009.205590313082</c:v>
                </c:pt>
                <c:pt idx="403">
                  <c:v>68335.966285788105</c:v>
                </c:pt>
                <c:pt idx="404">
                  <c:v>59442.981132634392</c:v>
                </c:pt>
                <c:pt idx="405">
                  <c:v>51345.168187745941</c:v>
                </c:pt>
                <c:pt idx="406">
                  <c:v>44039.90132192873</c:v>
                </c:pt>
                <c:pt idx="407">
                  <c:v>37509.463365666539</c:v>
                </c:pt>
                <c:pt idx="408">
                  <c:v>31723.6479645453</c:v>
                </c:pt>
                <c:pt idx="409">
                  <c:v>26642.388086925319</c:v>
                </c:pt>
                <c:pt idx="410">
                  <c:v>22218.305589471976</c:v>
                </c:pt>
                <c:pt idx="411">
                  <c:v>18399.095711324957</c:v>
                </c:pt>
                <c:pt idx="412">
                  <c:v>15129.681259559879</c:v>
                </c:pt>
                <c:pt idx="413">
                  <c:v>12354.092142201376</c:v>
                </c:pt>
                <c:pt idx="414">
                  <c:v>10017.045602317794</c:v>
                </c:pt>
                <c:pt idx="415">
                  <c:v>8065.2200834764653</c:v>
                </c:pt>
                <c:pt idx="416">
                  <c:v>6448.2304811334006</c:v>
                </c:pt>
                <c:pt idx="417">
                  <c:v>5119.3242597921244</c:v>
                </c:pt>
                <c:pt idx="418">
                  <c:v>4035.8264535185945</c:v>
                </c:pt>
                <c:pt idx="419">
                  <c:v>3159.3670455668766</c:v>
                </c:pt>
                <c:pt idx="420">
                  <c:v>2455.9269356674581</c:v>
                </c:pt>
                <c:pt idx="421">
                  <c:v>1895.7390586233862</c:v>
                </c:pt>
                <c:pt idx="422">
                  <c:v>1453.079685599532</c:v>
                </c:pt>
                <c:pt idx="423">
                  <c:v>1105.982007886199</c:v>
                </c:pt>
                <c:pt idx="424">
                  <c:v>835.90024077377473</c:v>
                </c:pt>
                <c:pt idx="425">
                  <c:v>627.34811460037008</c:v>
                </c:pt>
                <c:pt idx="426">
                  <c:v>467.5310984713505</c:v>
                </c:pt>
                <c:pt idx="427">
                  <c:v>345.98731321511133</c:v>
                </c:pt>
                <c:pt idx="428">
                  <c:v>254.24804198367252</c:v>
                </c:pt>
                <c:pt idx="429">
                  <c:v>185.52517645838253</c:v>
                </c:pt>
                <c:pt idx="430">
                  <c:v>134.42991796913344</c:v>
                </c:pt>
                <c:pt idx="431">
                  <c:v>96.724608079132224</c:v>
                </c:pt>
                <c:pt idx="432">
                  <c:v>69.107674286154023</c:v>
                </c:pt>
                <c:pt idx="433">
                  <c:v>49.030296939612882</c:v>
                </c:pt>
                <c:pt idx="434">
                  <c:v>34.542468937412139</c:v>
                </c:pt>
                <c:pt idx="435">
                  <c:v>24.165557141405401</c:v>
                </c:pt>
                <c:pt idx="436">
                  <c:v>16.788209061596962</c:v>
                </c:pt>
                <c:pt idx="437">
                  <c:v>11.582409278305391</c:v>
                </c:pt>
                <c:pt idx="438">
                  <c:v>7.9366136638436782</c:v>
                </c:pt>
                <c:pt idx="439">
                  <c:v>5.4031214112640313</c:v>
                </c:pt>
                <c:pt idx="440">
                  <c:v>3.6571409604121126</c:v>
                </c:pt>
                <c:pt idx="441">
                  <c:v>2.4653318800909854</c:v>
                </c:pt>
                <c:pt idx="442">
                  <c:v>1.6619355671100524</c:v>
                </c:pt>
                <c:pt idx="443">
                  <c:v>1.1309262612023749</c:v>
                </c:pt>
                <c:pt idx="444">
                  <c:v>0.79291009604674867</c:v>
                </c:pt>
                <c:pt idx="445">
                  <c:v>0.59576887804243306</c:v>
                </c:pt>
                <c:pt idx="446">
                  <c:v>0.50828636321682974</c:v>
                </c:pt>
                <c:pt idx="447">
                  <c:v>0.51621046099617141</c:v>
                </c:pt>
                <c:pt idx="448">
                  <c:v>0.62039972464987236</c:v>
                </c:pt>
                <c:pt idx="449">
                  <c:v>0.83688288884742024</c:v>
                </c:pt>
                <c:pt idx="450">
                  <c:v>1.1988332209421715</c:v>
                </c:pt>
                <c:pt idx="451">
                  <c:v>1.760632688308698</c:v>
                </c:pt>
                <c:pt idx="452">
                  <c:v>2.6043821349409897</c:v>
                </c:pt>
                <c:pt idx="453">
                  <c:v>3.8494102591483044</c:v>
                </c:pt>
                <c:pt idx="454">
                  <c:v>5.665552953045637</c:v>
                </c:pt>
                <c:pt idx="455">
                  <c:v>8.2912210654659599</c:v>
                </c:pt>
                <c:pt idx="456">
                  <c:v>12.05755259578855</c:v>
                </c:pt>
                <c:pt idx="457">
                  <c:v>17.420255761969365</c:v>
                </c:pt>
                <c:pt idx="458">
                  <c:v>25.001089683646736</c:v>
                </c:pt>
                <c:pt idx="459">
                  <c:v>35.641292095705268</c:v>
                </c:pt>
                <c:pt idx="460">
                  <c:v>50.46963489422199</c:v>
                </c:pt>
                <c:pt idx="461">
                  <c:v>70.988147184681154</c:v>
                </c:pt>
                <c:pt idx="462">
                  <c:v>99.17886172930163</c:v>
                </c:pt>
                <c:pt idx="463">
                  <c:v>137.63517416690863</c:v>
                </c:pt>
                <c:pt idx="464">
                  <c:v>189.72150436591338</c:v>
                </c:pt>
                <c:pt idx="465">
                  <c:v>259.76485447477853</c:v>
                </c:pt>
                <c:pt idx="466">
                  <c:v>353.28149789668339</c:v>
                </c:pt>
                <c:pt idx="467">
                  <c:v>477.24132972539155</c:v>
                </c:pt>
                <c:pt idx="468">
                  <c:v>640.3712812917787</c:v>
                </c:pt>
                <c:pt idx="469">
                  <c:v>853.49757134396214</c:v>
                </c:pt>
                <c:pt idx="470">
                  <c:v>1129.9243665447875</c:v>
                </c:pt>
                <c:pt idx="471">
                  <c:v>1485.8436071271665</c:v>
                </c:pt>
                <c:pt idx="472">
                  <c:v>1940.7673037563516</c:v>
                </c:pt>
                <c:pt idx="473">
                  <c:v>2517.9695564525227</c:v>
                </c:pt>
                <c:pt idx="474">
                  <c:v>3244.9209690931284</c:v>
                </c:pt>
                <c:pt idx="475">
                  <c:v>4153.6931836656304</c:v>
                </c:pt>
                <c:pt idx="476">
                  <c:v>5281.3061626330418</c:v>
                </c:pt>
                <c:pt idx="477">
                  <c:v>6669.9859108397304</c:v>
                </c:pt>
                <c:pt idx="478">
                  <c:v>8367.2959338242745</c:v>
                </c:pt>
                <c:pt idx="479">
                  <c:v>10426.102329698582</c:v>
                </c:pt>
                <c:pt idx="480">
                  <c:v>12904.330510278973</c:v>
                </c:pt>
                <c:pt idx="481">
                  <c:v>15864.471670508985</c:v>
                </c:pt>
                <c:pt idx="482">
                  <c:v>19372.799785958927</c:v>
                </c:pt>
                <c:pt idx="483">
                  <c:v>23498.265569154879</c:v>
                </c:pt>
                <c:pt idx="484">
                  <c:v>28311.042797870108</c:v>
                </c:pt>
                <c:pt idx="485">
                  <c:v>33880.714917208912</c:v>
                </c:pt>
                <c:pt idx="486">
                  <c:v>40274.105768154535</c:v>
                </c:pt>
                <c:pt idx="487">
                  <c:v>47552.777399559935</c:v>
                </c:pt>
                <c:pt idx="488">
                  <c:v>55770.239573040002</c:v>
                </c:pt>
                <c:pt idx="489">
                  <c:v>64968.93885612204</c:v>
                </c:pt>
                <c:pt idx="490">
                  <c:v>75177.118905743933</c:v>
                </c:pt>
                <c:pt idx="491">
                  <c:v>86405.666201187065</c:v>
                </c:pt>
                <c:pt idx="492">
                  <c:v>98645.075434012906</c:v>
                </c:pt>
                <c:pt idx="493">
                  <c:v>111862.68425408637</c:v>
                </c:pt>
                <c:pt idx="494">
                  <c:v>126000.33639042181</c:v>
                </c:pt>
                <c:pt idx="495">
                  <c:v>140972.63377253601</c:v>
                </c:pt>
                <c:pt idx="496">
                  <c:v>156665.93095294898</c:v>
                </c:pt>
                <c:pt idx="497">
                  <c:v>172938.20811860138</c:v>
                </c:pt>
                <c:pt idx="498">
                  <c:v>189619.93210828732</c:v>
                </c:pt>
                <c:pt idx="499">
                  <c:v>206515.97862959871</c:v>
                </c:pt>
                <c:pt idx="500">
                  <c:v>223408.64451514461</c:v>
                </c:pt>
                <c:pt idx="501">
                  <c:v>240061.72830233997</c:v>
                </c:pt>
                <c:pt idx="502">
                  <c:v>256225.60322491487</c:v>
                </c:pt>
                <c:pt idx="503">
                  <c:v>271643.15192776395</c:v>
                </c:pt>
                <c:pt idx="504">
                  <c:v>286056.38023152191</c:v>
                </c:pt>
                <c:pt idx="505">
                  <c:v>299213.48153204308</c:v>
                </c:pt>
                <c:pt idx="506">
                  <c:v>310876.08720078249</c:v>
                </c:pt>
                <c:pt idx="507">
                  <c:v>320826.41449791682</c:v>
                </c:pt>
                <c:pt idx="508">
                  <c:v>328874.01418699807</c:v>
                </c:pt>
                <c:pt idx="509">
                  <c:v>334861.82653638715</c:v>
                </c:pt>
                <c:pt idx="510">
                  <c:v>338671.27697964292</c:v>
                </c:pt>
                <c:pt idx="511">
                  <c:v>340226.18057487381</c:v>
                </c:pt>
                <c:pt idx="512">
                  <c:v>339495.27568376088</c:v>
                </c:pt>
                <c:pt idx="513">
                  <c:v>336493.26916651143</c:v>
                </c:pt>
                <c:pt idx="514">
                  <c:v>331280.34427915124</c:v>
                </c:pt>
                <c:pt idx="515">
                  <c:v>323960.15427426569</c:v>
                </c:pt>
                <c:pt idx="516">
                  <c:v>314676.39514184179</c:v>
                </c:pt>
                <c:pt idx="517">
                  <c:v>303608.1157803525</c:v>
                </c:pt>
                <c:pt idx="518">
                  <c:v>290963.97936348728</c:v>
                </c:pt>
                <c:pt idx="519">
                  <c:v>276975.73264632589</c:v>
                </c:pt>
                <c:pt idx="520">
                  <c:v>261891.16820840791</c:v>
                </c:pt>
                <c:pt idx="521">
                  <c:v>245966.87696124165</c:v>
                </c:pt>
                <c:pt idx="522">
                  <c:v>229461.08453815177</c:v>
                </c:pt>
                <c:pt idx="523">
                  <c:v>212626.84636844043</c:v>
                </c:pt>
                <c:pt idx="524">
                  <c:v>195705.8441852261</c:v>
                </c:pt>
                <c:pt idx="525">
                  <c:v>178922.9840518634</c:v>
                </c:pt>
                <c:pt idx="526">
                  <c:v>162481.94586605878</c:v>
                </c:pt>
                <c:pt idx="527">
                  <c:v>146561.78013354342</c:v>
                </c:pt>
                <c:pt idx="528">
                  <c:v>131314.59302369648</c:v>
                </c:pt>
                <c:pt idx="529">
                  <c:v>116864.30852474469</c:v>
                </c:pt>
                <c:pt idx="530">
                  <c:v>103306.44966580694</c:v>
                </c:pt>
                <c:pt idx="531">
                  <c:v>90708.841435542417</c:v>
                </c:pt>
                <c:pt idx="532">
                  <c:v>79113.107684560833</c:v>
                </c:pt>
                <c:pt idx="533">
                  <c:v>68536.813712878036</c:v>
                </c:pt>
                <c:pt idx="534">
                  <c:v>58976.095480095428</c:v>
                </c:pt>
                <c:pt idx="535">
                  <c:v>50408.614877659034</c:v>
                </c:pt>
                <c:pt idx="536">
                  <c:v>42796.687201885856</c:v>
                </c:pt>
                <c:pt idx="537">
                  <c:v>36090.440421664447</c:v>
                </c:pt>
                <c:pt idx="538">
                  <c:v>30230.884376966136</c:v>
                </c:pt>
                <c:pt idx="539">
                  <c:v>25152.789921901222</c:v>
                </c:pt>
                <c:pt idx="540">
                  <c:v>20787.301535084796</c:v>
                </c:pt>
                <c:pt idx="541">
                  <c:v>17064.230512423357</c:v>
                </c:pt>
                <c:pt idx="542">
                  <c:v>13913.99822121957</c:v>
                </c:pt>
                <c:pt idx="543">
                  <c:v>11269.219004693268</c:v>
                </c:pt>
                <c:pt idx="544">
                  <c:v>9065.9294659219304</c:v>
                </c:pt>
                <c:pt idx="545">
                  <c:v>7244.484616874317</c:v>
                </c:pt>
                <c:pt idx="546">
                  <c:v>5750.1516166620177</c:v>
                </c:pt>
                <c:pt idx="547">
                  <c:v>4533.4386450164675</c:v>
                </c:pt>
                <c:pt idx="548">
                  <c:v>3550.200149795427</c:v>
                </c:pt>
                <c:pt idx="549">
                  <c:v>2761.56068979273</c:v>
                </c:pt>
                <c:pt idx="550">
                  <c:v>2133.6983629436272</c:v>
                </c:pt>
                <c:pt idx="551">
                  <c:v>1637.5258915157237</c:v>
                </c:pt>
                <c:pt idx="552">
                  <c:v>1248.303345556219</c:v>
                </c:pt>
                <c:pt idx="553">
                  <c:v>945.21169721922558</c:v>
                </c:pt>
                <c:pt idx="554">
                  <c:v>710.91132159872006</c:v>
                </c:pt>
                <c:pt idx="555">
                  <c:v>531.1045285443081</c:v>
                </c:pt>
                <c:pt idx="556">
                  <c:v>394.11647889679614</c:v>
                </c:pt>
                <c:pt idx="557">
                  <c:v>290.50458436772084</c:v>
                </c:pt>
                <c:pt idx="558">
                  <c:v>212.70281933627257</c:v>
                </c:pt>
                <c:pt idx="559">
                  <c:v>154.70433169909171</c:v>
                </c:pt>
                <c:pt idx="560">
                  <c:v>111.78332724981479</c:v>
                </c:pt>
                <c:pt idx="561">
                  <c:v>80.255380967184507</c:v>
                </c:pt>
                <c:pt idx="562">
                  <c:v>57.274038152223007</c:v>
                </c:pt>
                <c:pt idx="563">
                  <c:v>40.660733914555976</c:v>
                </c:pt>
                <c:pt idx="564">
                  <c:v>28.764601082456519</c:v>
                </c:pt>
                <c:pt idx="565">
                  <c:v>20.348575404240307</c:v>
                </c:pt>
                <c:pt idx="566">
                  <c:v>14.498269925778365</c:v>
                </c:pt>
                <c:pt idx="567">
                  <c:v>10.550313376973076</c:v>
                </c:pt>
                <c:pt idx="568">
                  <c:v>8.0371761305321954</c:v>
                </c:pt>
                <c:pt idx="569">
                  <c:v>6.6458980892525652</c:v>
                </c:pt>
                <c:pt idx="570">
                  <c:v>6.1885518458893003</c:v>
                </c:pt>
                <c:pt idx="571">
                  <c:v>6.582696468094074</c:v>
                </c:pt>
                <c:pt idx="572">
                  <c:v>7.8404843038304453</c:v>
                </c:pt>
                <c:pt idx="573">
                  <c:v>10.065462827328245</c:v>
                </c:pt>
                <c:pt idx="574">
                  <c:v>13.456457177311391</c:v>
                </c:pt>
                <c:pt idx="575">
                  <c:v>18.31822043764905</c:v>
                </c:pt>
                <c:pt idx="576">
                  <c:v>25.078792617868661</c:v>
                </c:pt>
                <c:pt idx="577">
                  <c:v>34.313710328296111</c:v>
                </c:pt>
                <c:pt idx="578">
                  <c:v>46.77735099931072</c:v>
                </c:pt>
                <c:pt idx="579">
                  <c:v>63.441770430497549</c:v>
                </c:pt>
                <c:pt idx="580">
                  <c:v>85.543391176196167</c:v>
                </c:pt>
                <c:pt idx="581">
                  <c:v>114.63781115727529</c:v>
                </c:pt>
                <c:pt idx="582">
                  <c:v>152.66281561726697</c:v>
                </c:pt>
                <c:pt idx="583">
                  <c:v>202.00938012809161</c:v>
                </c:pt>
                <c:pt idx="584">
                  <c:v>265.60003855588462</c:v>
                </c:pt>
                <c:pt idx="585">
                  <c:v>346.97345198855095</c:v>
                </c:pt>
                <c:pt idx="586">
                  <c:v>450.37335241768477</c:v>
                </c:pt>
                <c:pt idx="587">
                  <c:v>580.83925601627607</c:v>
                </c:pt>
                <c:pt idx="588">
                  <c:v>744.2954626555404</c:v>
                </c:pt>
                <c:pt idx="589">
                  <c:v>947.63391027034481</c:v>
                </c:pt>
                <c:pt idx="590">
                  <c:v>1198.7854776501124</c:v>
                </c:pt>
                <c:pt idx="591">
                  <c:v>1506.7733842224279</c:v>
                </c:pt>
                <c:pt idx="592">
                  <c:v>1881.7414913327866</c:v>
                </c:pt>
                <c:pt idx="593">
                  <c:v>2334.9496496325814</c:v>
                </c:pt>
                <c:pt idx="594">
                  <c:v>2878.727853869113</c:v>
                </c:pt>
                <c:pt idx="595">
                  <c:v>3526.3809564155786</c:v>
                </c:pt>
                <c:pt idx="596">
                  <c:v>4292.0361490281839</c:v>
                </c:pt>
                <c:pt idx="597">
                  <c:v>5190.4264333556603</c:v>
                </c:pt>
                <c:pt idx="598">
                  <c:v>6236.6049304537501</c:v>
                </c:pt>
                <c:pt idx="599">
                  <c:v>7445.5871652128317</c:v>
                </c:pt>
                <c:pt idx="600">
                  <c:v>8831.9214024942048</c:v>
                </c:pt>
                <c:pt idx="601">
                  <c:v>10409.190660986134</c:v>
                </c:pt>
                <c:pt idx="602">
                  <c:v>12189.454089054438</c:v>
                </c:pt>
                <c:pt idx="603">
                  <c:v>14182.639799461256</c:v>
                </c:pt>
                <c:pt idx="604">
                  <c:v>16395.905817569241</c:v>
                </c:pt>
                <c:pt idx="605">
                  <c:v>18832.990242557102</c:v>
                </c:pt>
                <c:pt idx="606">
                  <c:v>21493.575757257819</c:v>
                </c:pt>
                <c:pt idx="607">
                  <c:v>24372.696931339851</c:v>
                </c:pt>
                <c:pt idx="608">
                  <c:v>27460.221024728835</c:v>
                </c:pt>
                <c:pt idx="609">
                  <c:v>30740.433915468315</c:v>
                </c:pt>
                <c:pt idx="610">
                  <c:v>34191.762098415296</c:v>
                </c:pt>
                <c:pt idx="611">
                  <c:v>37786.659251347162</c:v>
                </c:pt>
                <c:pt idx="612">
                  <c:v>41491.681562843762</c:v>
                </c:pt>
                <c:pt idx="613">
                  <c:v>45267.769896342594</c:v>
                </c:pt>
                <c:pt idx="614">
                  <c:v>49070.749088195022</c:v>
                </c:pt>
                <c:pt idx="615">
                  <c:v>52852.045534707489</c:v>
                </c:pt>
                <c:pt idx="616">
                  <c:v>56559.614126112174</c:v>
                </c:pt>
                <c:pt idx="617">
                  <c:v>60139.055050066258</c:v>
                </c:pt>
                <c:pt idx="618">
                  <c:v>63534.890605332119</c:v>
                </c:pt>
                <c:pt idx="619">
                  <c:v>66691.962568721661</c:v>
                </c:pt>
                <c:pt idx="620">
                  <c:v>69556.90247272735</c:v>
                </c:pt>
                <c:pt idx="621">
                  <c:v>72079.620955889957</c:v>
                </c:pt>
                <c:pt idx="622">
                  <c:v>74214.758627065399</c:v>
                </c:pt>
                <c:pt idx="623">
                  <c:v>75923.039987914468</c:v>
                </c:pt>
                <c:pt idx="624">
                  <c:v>77172.474067901261</c:v>
                </c:pt>
                <c:pt idx="625">
                  <c:v>77939.350538032566</c:v>
                </c:pt>
                <c:pt idx="626">
                  <c:v>78208.987984081599</c:v>
                </c:pt>
                <c:pt idx="627">
                  <c:v>77976.201350889431</c:v>
                </c:pt>
                <c:pt idx="628">
                  <c:v>77245.467765956972</c:v>
                </c:pt>
                <c:pt idx="629">
                  <c:v>76030.783333670348</c:v>
                </c:pt>
                <c:pt idx="630">
                  <c:v>74355.21729930141</c:v>
                </c:pt>
                <c:pt idx="631">
                  <c:v>72250.183422863556</c:v>
                </c:pt>
                <c:pt idx="632">
                  <c:v>69754.460711103049</c:v>
                </c:pt>
                <c:pt idx="633">
                  <c:v>66913.006144364685</c:v>
                </c:pt>
                <c:pt idx="634">
                  <c:v>63775.610142407255</c:v>
                </c:pt>
                <c:pt idx="635">
                  <c:v>60395.45084022043</c:v>
                </c:pt>
                <c:pt idx="636">
                  <c:v>56827.605577921509</c:v>
                </c:pt>
                <c:pt idx="637">
                  <c:v>53127.577328835243</c:v>
                </c:pt>
                <c:pt idx="638">
                  <c:v>49349.890266408293</c:v>
                </c:pt>
                <c:pt idx="639">
                  <c:v>45546.802641959628</c:v>
                </c:pt>
                <c:pt idx="640">
                  <c:v>41767.177087027507</c:v>
                </c:pt>
                <c:pt idx="641">
                  <c:v>38055.538939198115</c:v>
                </c:pt>
                <c:pt idx="642">
                  <c:v>34451.342844283419</c:v>
                </c:pt>
                <c:pt idx="643">
                  <c:v>30988.457342790778</c:v>
                </c:pt>
                <c:pt idx="644">
                  <c:v>27694.867000720376</c:v>
                </c:pt>
                <c:pt idx="645">
                  <c:v>24592.582416363926</c:v>
                </c:pt>
                <c:pt idx="646">
                  <c:v>21697.740546405006</c:v>
                </c:pt>
                <c:pt idx="647">
                  <c:v>19020.871545889298</c:v>
                </c:pt>
                <c:pt idx="648">
                  <c:v>16567.303878210576</c:v>
                </c:pt>
                <c:pt idx="649">
                  <c:v>14337.676866783857</c:v>
                </c:pt>
                <c:pt idx="650">
                  <c:v>12328.529057068403</c:v>
                </c:pt>
                <c:pt idx="651">
                  <c:v>10532.931565491941</c:v>
                </c:pt>
                <c:pt idx="652">
                  <c:v>8941.1377649161768</c:v>
                </c:pt>
                <c:pt idx="653">
                  <c:v>7541.2238992467928</c:v>
                </c:pt>
                <c:pt idx="654">
                  <c:v>6319.6992134460088</c:v>
                </c:pt>
                <c:pt idx="655">
                  <c:v>5262.068610523298</c:v>
                </c:pt>
                <c:pt idx="656">
                  <c:v>4353.3354058438017</c:v>
                </c:pt>
                <c:pt idx="657">
                  <c:v>3578.4361800993092</c:v>
                </c:pt>
                <c:pt idx="658">
                  <c:v>2922.603822502324</c:v>
                </c:pt>
                <c:pt idx="659">
                  <c:v>2371.6584463816034</c:v>
                </c:pt>
                <c:pt idx="660">
                  <c:v>1912.2288470775245</c:v>
                </c:pt>
                <c:pt idx="661">
                  <c:v>1531.9095062724293</c:v>
                </c:pt>
                <c:pt idx="662">
                  <c:v>1219.359823795857</c:v>
                </c:pt>
                <c:pt idx="663">
                  <c:v>964.35331225392702</c:v>
                </c:pt>
                <c:pt idx="664">
                  <c:v>757.78498553474697</c:v>
                </c:pt>
                <c:pt idx="665">
                  <c:v>591.64519298481196</c:v>
                </c:pt>
                <c:pt idx="666">
                  <c:v>458.96779104470517</c:v>
                </c:pt>
                <c:pt idx="667">
                  <c:v>353.75990012972989</c:v>
                </c:pt>
                <c:pt idx="668">
                  <c:v>270.91965927407671</c:v>
                </c:pt>
                <c:pt idx="669">
                  <c:v>206.14744830860354</c:v>
                </c:pt>
                <c:pt idx="670">
                  <c:v>155.85506867481277</c:v>
                </c:pt>
                <c:pt idx="671">
                  <c:v>117.07641700067342</c:v>
                </c:pt>
                <c:pt idx="672">
                  <c:v>87.382293527365292</c:v>
                </c:pt>
                <c:pt idx="673">
                  <c:v>64.801189919749433</c:v>
                </c:pt>
                <c:pt idx="674">
                  <c:v>47.747215163833388</c:v>
                </c:pt>
                <c:pt idx="675">
                  <c:v>34.955751004221298</c:v>
                </c:pt>
                <c:pt idx="676">
                  <c:v>25.42697829260479</c:v>
                </c:pt>
                <c:pt idx="677">
                  <c:v>18.377075181477473</c:v>
                </c:pt>
                <c:pt idx="678">
                  <c:v>13.19664568262322</c:v>
                </c:pt>
                <c:pt idx="679">
                  <c:v>9.4157787608400252</c:v>
                </c:pt>
                <c:pt idx="680">
                  <c:v>6.6750490162068079</c:v>
                </c:pt>
                <c:pt idx="681">
                  <c:v>4.7017355386497037</c:v>
                </c:pt>
                <c:pt idx="682">
                  <c:v>3.2905421661815821</c:v>
                </c:pt>
                <c:pt idx="683">
                  <c:v>2.2881381805199341</c:v>
                </c:pt>
                <c:pt idx="684">
                  <c:v>1.5808933045105262</c:v>
                </c:pt>
                <c:pt idx="685">
                  <c:v>1.0852465076036453</c:v>
                </c:pt>
                <c:pt idx="686">
                  <c:v>0.74021819885362805</c:v>
                </c:pt>
                <c:pt idx="687">
                  <c:v>0.50164518081242782</c:v>
                </c:pt>
                <c:pt idx="688">
                  <c:v>0.33778398512964136</c:v>
                </c:pt>
                <c:pt idx="689">
                  <c:v>0.22598883872144027</c:v>
                </c:pt>
                <c:pt idx="690">
                  <c:v>0.15022439042641117</c:v>
                </c:pt>
                <c:pt idx="691">
                  <c:v>9.9220048506770478E-2</c:v>
                </c:pt>
                <c:pt idx="692">
                  <c:v>6.5112436100647486E-2</c:v>
                </c:pt>
                <c:pt idx="693">
                  <c:v>4.2455501773048993E-2</c:v>
                </c:pt>
                <c:pt idx="694">
                  <c:v>2.7504866196206627E-2</c:v>
                </c:pt>
                <c:pt idx="695">
                  <c:v>1.7704783469179409E-2</c:v>
                </c:pt>
                <c:pt idx="696">
                  <c:v>1.132340986444268E-2</c:v>
                </c:pt>
                <c:pt idx="697">
                  <c:v>7.1956388806579397E-3</c:v>
                </c:pt>
                <c:pt idx="698">
                  <c:v>4.5432539911129614E-3</c:v>
                </c:pt>
                <c:pt idx="699">
                  <c:v>2.8501662846894126E-3</c:v>
                </c:pt>
                <c:pt idx="700">
                  <c:v>1.7765560119876506E-3</c:v>
                </c:pt>
                <c:pt idx="701">
                  <c:v>1.1002544545362985E-3</c:v>
                </c:pt>
                <c:pt idx="702">
                  <c:v>6.770377600989314E-4</c:v>
                </c:pt>
                <c:pt idx="703">
                  <c:v>4.1394073950781188E-4</c:v>
                </c:pt>
                <c:pt idx="704">
                  <c:v>2.5146003749507601E-4</c:v>
                </c:pt>
                <c:pt idx="705">
                  <c:v>1.5177676969281397E-4</c:v>
                </c:pt>
                <c:pt idx="706">
                  <c:v>9.1022164631954374E-5</c:v>
                </c:pt>
                <c:pt idx="707">
                  <c:v>5.4236859952848081E-5</c:v>
                </c:pt>
                <c:pt idx="708">
                  <c:v>3.211052759693019E-5</c:v>
                </c:pt>
                <c:pt idx="709">
                  <c:v>1.8888865287276922E-5</c:v>
                </c:pt>
                <c:pt idx="710">
                  <c:v>1.1040019025949174E-5</c:v>
                </c:pt>
                <c:pt idx="711">
                  <c:v>6.4111996151886204E-6</c:v>
                </c:pt>
                <c:pt idx="712">
                  <c:v>3.6992552670417269E-6</c:v>
                </c:pt>
                <c:pt idx="713">
                  <c:v>2.1207761331270403E-6</c:v>
                </c:pt>
                <c:pt idx="714">
                  <c:v>1.2080387863352789E-6</c:v>
                </c:pt>
                <c:pt idx="715">
                  <c:v>6.8371082189150502E-7</c:v>
                </c:pt>
                <c:pt idx="716">
                  <c:v>3.8447628257296059E-7</c:v>
                </c:pt>
                <c:pt idx="717">
                  <c:v>2.1481874711740527E-7</c:v>
                </c:pt>
                <c:pt idx="718">
                  <c:v>1.1925602484005231E-7</c:v>
                </c:pt>
                <c:pt idx="719">
                  <c:v>6.5780020294390579E-8</c:v>
                </c:pt>
                <c:pt idx="720">
                  <c:v>3.6050658503910567E-8</c:v>
                </c:pt>
                <c:pt idx="721">
                  <c:v>1.9630796700497432E-8</c:v>
                </c:pt>
                <c:pt idx="722">
                  <c:v>1.0621067613679021E-8</c:v>
                </c:pt>
                <c:pt idx="723">
                  <c:v>5.7095771580986726E-9</c:v>
                </c:pt>
                <c:pt idx="724">
                  <c:v>3.0496166049414788E-9</c:v>
                </c:pt>
                <c:pt idx="725">
                  <c:v>1.6184230892053623E-9</c:v>
                </c:pt>
                <c:pt idx="726">
                  <c:v>8.5338383538277196E-10</c:v>
                </c:pt>
                <c:pt idx="727">
                  <c:v>4.4709754331660831E-10</c:v>
                </c:pt>
                <c:pt idx="728">
                  <c:v>2.327371326334093E-10</c:v>
                </c:pt>
                <c:pt idx="729">
                  <c:v>1.2037452875168399E-10</c:v>
                </c:pt>
                <c:pt idx="730">
                  <c:v>6.185987599561677E-11</c:v>
                </c:pt>
                <c:pt idx="731">
                  <c:v>3.1585591540754331E-11</c:v>
                </c:pt>
                <c:pt idx="732">
                  <c:v>1.6024131831066626E-11</c:v>
                </c:pt>
                <c:pt idx="733">
                  <c:v>8.0772872584517525E-12</c:v>
                </c:pt>
                <c:pt idx="734">
                  <c:v>4.0454056058929337E-12</c:v>
                </c:pt>
                <c:pt idx="735">
                  <c:v>2.0130943977263632E-12</c:v>
                </c:pt>
                <c:pt idx="736">
                  <c:v>9.9534063170100573E-13</c:v>
                </c:pt>
                <c:pt idx="737">
                  <c:v>4.8897296813446139E-13</c:v>
                </c:pt>
                <c:pt idx="738">
                  <c:v>2.3867311039630957E-13</c:v>
                </c:pt>
                <c:pt idx="739">
                  <c:v>1.1575177506709435E-13</c:v>
                </c:pt>
                <c:pt idx="740">
                  <c:v>5.5777282468946216E-14</c:v>
                </c:pt>
                <c:pt idx="741">
                  <c:v>2.6704999071480651E-14</c:v>
                </c:pt>
                <c:pt idx="742">
                  <c:v>1.2703790054563511E-14</c:v>
                </c:pt>
                <c:pt idx="743">
                  <c:v>6.0045376627529794E-15</c:v>
                </c:pt>
                <c:pt idx="744">
                  <c:v>2.8198847780647939E-15</c:v>
                </c:pt>
                <c:pt idx="745">
                  <c:v>1.3157963513251754E-15</c:v>
                </c:pt>
                <c:pt idx="746">
                  <c:v>6.1003045476714807E-16</c:v>
                </c:pt>
                <c:pt idx="747">
                  <c:v>2.8100877441706411E-16</c:v>
                </c:pt>
                <c:pt idx="748">
                  <c:v>1.2861563590138206E-16</c:v>
                </c:pt>
                <c:pt idx="749">
                  <c:v>5.8488863468715162E-17</c:v>
                </c:pt>
                <c:pt idx="750">
                  <c:v>2.6427624055401603E-17</c:v>
                </c:pt>
                <c:pt idx="751">
                  <c:v>1.1864476555967495E-17</c:v>
                </c:pt>
                <c:pt idx="752">
                  <c:v>5.2923013992065172E-18</c:v>
                </c:pt>
                <c:pt idx="753">
                  <c:v>2.3455574850721316E-18</c:v>
                </c:pt>
                <c:pt idx="754">
                  <c:v>1.0328877277396656E-18</c:v>
                </c:pt>
                <c:pt idx="755">
                  <c:v>4.5192428362394739E-19</c:v>
                </c:pt>
                <c:pt idx="756">
                  <c:v>1.9646435364737902E-19</c:v>
                </c:pt>
                <c:pt idx="757">
                  <c:v>8.4860849296564613E-20</c:v>
                </c:pt>
                <c:pt idx="758">
                  <c:v>3.6419712128583032E-20</c:v>
                </c:pt>
                <c:pt idx="759">
                  <c:v>1.5529989714294614E-20</c:v>
                </c:pt>
                <c:pt idx="760">
                  <c:v>6.5797796853711725E-21</c:v>
                </c:pt>
                <c:pt idx="761">
                  <c:v>2.7698551666975944E-21</c:v>
                </c:pt>
                <c:pt idx="762">
                  <c:v>1.1585326937388039E-21</c:v>
                </c:pt>
                <c:pt idx="763">
                  <c:v>4.8146536620713557E-22</c:v>
                </c:pt>
                <c:pt idx="764">
                  <c:v>1.9880501451705091E-22</c:v>
                </c:pt>
                <c:pt idx="765">
                  <c:v>8.1563366290079454E-23</c:v>
                </c:pt>
                <c:pt idx="766">
                  <c:v>3.3248225661678578E-23</c:v>
                </c:pt>
                <c:pt idx="767">
                  <c:v>1.3466270374994159E-23</c:v>
                </c:pt>
                <c:pt idx="768">
                  <c:v>5.4191567224502595E-24</c:v>
                </c:pt>
                <c:pt idx="769">
                  <c:v>2.1668139190632298E-24</c:v>
                </c:pt>
                <c:pt idx="770">
                  <c:v>8.6082931271748607E-25</c:v>
                </c:pt>
                <c:pt idx="771">
                  <c:v>3.3979579645954833E-25</c:v>
                </c:pt>
                <c:pt idx="772">
                  <c:v>1.3326757083418192E-25</c:v>
                </c:pt>
                <c:pt idx="773">
                  <c:v>5.1932171879046069E-26</c:v>
                </c:pt>
                <c:pt idx="774">
                  <c:v>2.0107311899702446E-26</c:v>
                </c:pt>
                <c:pt idx="775">
                  <c:v>7.7352983330673913E-27</c:v>
                </c:pt>
                <c:pt idx="776">
                  <c:v>2.9566890044808448E-27</c:v>
                </c:pt>
                <c:pt idx="777">
                  <c:v>1.1228965537528092E-27</c:v>
                </c:pt>
                <c:pt idx="778">
                  <c:v>4.2372040265930149E-28</c:v>
                </c:pt>
                <c:pt idx="779">
                  <c:v>1.5886364699047299E-28</c:v>
                </c:pt>
                <c:pt idx="780">
                  <c:v>5.9180033263815631E-29</c:v>
                </c:pt>
                <c:pt idx="781">
                  <c:v>2.1904402249230964E-29</c:v>
                </c:pt>
                <c:pt idx="782">
                  <c:v>8.0555116869758553E-30</c:v>
                </c:pt>
                <c:pt idx="783">
                  <c:v>2.9434752103146667E-30</c:v>
                </c:pt>
                <c:pt idx="784">
                  <c:v>1.068644260827052E-30</c:v>
                </c:pt>
                <c:pt idx="785">
                  <c:v>3.8548852742466215E-31</c:v>
                </c:pt>
                <c:pt idx="786">
                  <c:v>1.3816412211191126E-31</c:v>
                </c:pt>
                <c:pt idx="787">
                  <c:v>4.9202212338188392E-32</c:v>
                </c:pt>
                <c:pt idx="788">
                  <c:v>1.7409227659621105E-32</c:v>
                </c:pt>
                <c:pt idx="789">
                  <c:v>6.1204013582379212E-33</c:v>
                </c:pt>
                <c:pt idx="790">
                  <c:v>2.1378923131994622E-33</c:v>
                </c:pt>
                <c:pt idx="791">
                  <c:v>7.4198866926566948E-34</c:v>
                </c:pt>
                <c:pt idx="792">
                  <c:v>2.5586698136592927E-34</c:v>
                </c:pt>
                <c:pt idx="793">
                  <c:v>8.7667120556645644E-35</c:v>
                </c:pt>
                <c:pt idx="794">
                  <c:v>2.984453136395213E-35</c:v>
                </c:pt>
                <c:pt idx="795">
                  <c:v>1.009481373170716E-35</c:v>
                </c:pt>
                <c:pt idx="796">
                  <c:v>3.392636893139872E-36</c:v>
                </c:pt>
                <c:pt idx="797">
                  <c:v>1.1328749551899764E-36</c:v>
                </c:pt>
                <c:pt idx="798">
                  <c:v>3.7586518092303262E-37</c:v>
                </c:pt>
                <c:pt idx="799">
                  <c:v>1.2390468854481282E-37</c:v>
                </c:pt>
                <c:pt idx="800">
                  <c:v>4.0583444946640421E-38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'Fatores de forma'!$AG$1:$AG$2</c:f>
              <c:strCache>
                <c:ptCount val="1"/>
                <c:pt idx="0">
                  <c:v>(Ba(1−x)Cax)TiO3, t = 10nm , x = 0,5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forma'!$AG$3:$AG$803</c:f>
              <c:numCache>
                <c:formatCode>0.00000</c:formatCode>
                <c:ptCount val="801"/>
                <c:pt idx="0">
                  <c:v>5.1108048797731538</c:v>
                </c:pt>
                <c:pt idx="1">
                  <c:v>7.4478097540849433</c:v>
                </c:pt>
                <c:pt idx="2">
                  <c:v>10.77109368763025</c:v>
                </c:pt>
                <c:pt idx="3">
                  <c:v>15.459056605375304</c:v>
                </c:pt>
                <c:pt idx="4">
                  <c:v>22.019027126989293</c:v>
                </c:pt>
                <c:pt idx="5">
                  <c:v>31.124703338852928</c:v>
                </c:pt>
                <c:pt idx="6">
                  <c:v>43.662064815590888</c:v>
                </c:pt>
                <c:pt idx="7">
                  <c:v>60.784839517687885</c:v>
                </c:pt>
                <c:pt idx="8">
                  <c:v>83.980457061890391</c:v>
                </c:pt>
                <c:pt idx="9">
                  <c:v>115.14713815928835</c:v>
                </c:pt>
                <c:pt idx="10">
                  <c:v>156.68232894082627</c:v>
                </c:pt>
                <c:pt idx="11">
                  <c:v>211.58206096557663</c:v>
                </c:pt>
                <c:pt idx="12">
                  <c:v>283.54998139130038</c:v>
                </c:pt>
                <c:pt idx="13">
                  <c:v>377.11374184998533</c:v>
                </c:pt>
                <c:pt idx="14">
                  <c:v>497.74516303711505</c:v>
                </c:pt>
                <c:pt idx="15">
                  <c:v>651.97912931655344</c:v>
                </c:pt>
                <c:pt idx="16">
                  <c:v>847.52456342768198</c:v>
                </c:pt>
                <c:pt idx="17">
                  <c:v>1093.3591644378853</c:v>
                </c:pt>
                <c:pt idx="18">
                  <c:v>1399.7979724495065</c:v>
                </c:pt>
                <c:pt idx="19">
                  <c:v>1778.5243921332271</c:v>
                </c:pt>
                <c:pt idx="20">
                  <c:v>2242.5712319237155</c:v>
                </c:pt>
                <c:pt idx="21">
                  <c:v>2806.2387841212621</c:v>
                </c:pt>
                <c:pt idx="22">
                  <c:v>3484.9371781195032</c:v>
                </c:pt>
                <c:pt idx="23">
                  <c:v>4294.941370766508</c:v>
                </c:pt>
                <c:pt idx="24">
                  <c:v>5253.0493522564984</c:v>
                </c:pt>
                <c:pt idx="25">
                  <c:v>6376.1375501012262</c:v>
                </c:pt>
                <c:pt idx="26">
                  <c:v>7680.6120413711906</c:v>
                </c:pt>
                <c:pt idx="27">
                  <c:v>9181.7599737417768</c:v>
                </c:pt>
                <c:pt idx="28">
                  <c:v>10893.012376981069</c:v>
                </c:pt>
                <c:pt idx="29">
                  <c:v>12825.137025891372</c:v>
                </c:pt>
                <c:pt idx="30">
                  <c:v>14985.387780904981</c:v>
                </c:pt>
                <c:pt idx="31">
                  <c:v>17376.644363679767</c:v>
                </c:pt>
                <c:pt idx="32">
                  <c:v>19996.583220627763</c:v>
                </c:pt>
                <c:pt idx="33">
                  <c:v>22836.925342947095</c:v>
                </c:pt>
                <c:pt idx="34">
                  <c:v>25882.810010279052</c:v>
                </c:pt>
                <c:pt idx="35">
                  <c:v>29112.34383495857</c:v>
                </c:pt>
                <c:pt idx="36">
                  <c:v>32496.371760476373</c:v>
                </c:pt>
                <c:pt idx="37">
                  <c:v>35998.510552901826</c:v>
                </c:pt>
                <c:pt idx="38">
                  <c:v>39575.475795376005</c:v>
                </c:pt>
                <c:pt idx="39">
                  <c:v>43177.720701416358</c:v>
                </c:pt>
                <c:pt idx="40">
                  <c:v>46750.389733878161</c:v>
                </c:pt>
                <c:pt idx="41">
                  <c:v>50234.57285477718</c:v>
                </c:pt>
                <c:pt idx="42">
                  <c:v>53568.828269418809</c:v>
                </c:pt>
                <c:pt idx="43">
                  <c:v>56690.923964017551</c:v>
                </c:pt>
                <c:pt idx="44">
                  <c:v>59539.732443921421</c:v>
                </c:pt>
                <c:pt idx="45">
                  <c:v>62057.200108364988</c:v>
                </c:pt>
                <c:pt idx="46">
                  <c:v>64190.30376091502</c:v>
                </c:pt>
                <c:pt idx="47">
                  <c:v>65892.902726286964</c:v>
                </c:pt>
                <c:pt idx="48">
                  <c:v>67127.396468920211</c:v>
                </c:pt>
                <c:pt idx="49">
                  <c:v>67866.104638693258</c:v>
                </c:pt>
                <c:pt idx="50">
                  <c:v>68092.298832798915</c:v>
                </c:pt>
                <c:pt idx="51">
                  <c:v>67800.832371454017</c:v>
                </c:pt>
                <c:pt idx="52">
                  <c:v>66998.334978285842</c:v>
                </c:pt>
                <c:pt idx="53">
                  <c:v>65702.962081738267</c:v>
                </c:pt>
                <c:pt idx="54">
                  <c:v>63943.71197600376</c:v>
                </c:pt>
                <c:pt idx="55">
                  <c:v>61759.346705598371</c:v>
                </c:pt>
                <c:pt idx="56">
                  <c:v>59196.972747570777</c:v>
                </c:pt>
                <c:pt idx="57">
                  <c:v>56310.354038660931</c:v>
                </c:pt>
                <c:pt idx="58">
                  <c:v>53158.041614221685</c:v>
                </c:pt>
                <c:pt idx="59">
                  <c:v>49801.410453724973</c:v>
                </c:pt>
                <c:pt idx="60">
                  <c:v>46302.694846516053</c:v>
                </c:pt>
                <c:pt idx="61">
                  <c:v>42723.108905314919</c:v>
                </c:pt>
                <c:pt idx="62">
                  <c:v>39121.129354406745</c:v>
                </c:pt>
                <c:pt idx="63">
                  <c:v>35551.004313978541</c:v>
                </c:pt>
                <c:pt idx="64">
                  <c:v>32061.535628245962</c:v>
                </c:pt>
                <c:pt idx="65">
                  <c:v>28695.164600836786</c:v>
                </c:pt>
                <c:pt idx="66">
                  <c:v>25487.373076770902</c:v>
                </c:pt>
                <c:pt idx="67">
                  <c:v>22466.394827522847</c:v>
                </c:pt>
                <c:pt idx="68">
                  <c:v>19653.217160656943</c:v>
                </c:pt>
                <c:pt idx="69">
                  <c:v>17061.840357616704</c:v>
                </c:pt>
                <c:pt idx="70">
                  <c:v>14699.753437998268</c:v>
                </c:pt>
                <c:pt idx="71">
                  <c:v>12568.579068738411</c:v>
                </c:pt>
                <c:pt idx="72">
                  <c:v>10664.838127754183</c:v>
                </c:pt>
                <c:pt idx="73">
                  <c:v>8980.7852088338896</c:v>
                </c:pt>
                <c:pt idx="74">
                  <c:v>7505.2697540737117</c:v>
                </c:pt>
                <c:pt idx="75">
                  <c:v>6224.5829385996622</c:v>
                </c:pt>
                <c:pt idx="76">
                  <c:v>5123.2572685732075</c:v>
                </c:pt>
                <c:pt idx="77">
                  <c:v>4184.793446016417</c:v>
                </c:pt>
                <c:pt idx="78">
                  <c:v>3392.296809732592</c:v>
                </c:pt>
                <c:pt idx="79">
                  <c:v>2729.0130731072618</c:v>
                </c:pt>
                <c:pt idx="80">
                  <c:v>2178.7597491191268</c:v>
                </c:pt>
                <c:pt idx="81">
                  <c:v>1726.2553034132684</c:v>
                </c:pt>
                <c:pt idx="82">
                  <c:v>1357.3525505804976</c:v>
                </c:pt>
                <c:pt idx="83">
                  <c:v>1059.1860590395784</c:v>
                </c:pt>
                <c:pt idx="84">
                  <c:v>820.24540036112489</c:v>
                </c:pt>
                <c:pt idx="85">
                  <c:v>630.38708432477586</c:v>
                </c:pt>
                <c:pt idx="86">
                  <c:v>480.79812403979486</c:v>
                </c:pt>
                <c:pt idx="87">
                  <c:v>363.92356444805307</c:v>
                </c:pt>
                <c:pt idx="88">
                  <c:v>273.36917725493623</c:v>
                </c:pt>
                <c:pt idx="89">
                  <c:v>203.78906135550585</c:v>
                </c:pt>
                <c:pt idx="90">
                  <c:v>150.76625505606077</c:v>
                </c:pt>
                <c:pt idx="91">
                  <c:v>110.6928019554236</c:v>
                </c:pt>
                <c:pt idx="92">
                  <c:v>80.654122296764783</c:v>
                </c:pt>
                <c:pt idx="93">
                  <c:v>58.321100869565434</c:v>
                </c:pt>
                <c:pt idx="94">
                  <c:v>41.852057367451437</c:v>
                </c:pt>
                <c:pt idx="95">
                  <c:v>29.805737058917295</c:v>
                </c:pt>
                <c:pt idx="96">
                  <c:v>21.065650517239703</c:v>
                </c:pt>
                <c:pt idx="97">
                  <c:v>14.775488186998125</c:v>
                </c:pt>
                <c:pt idx="98">
                  <c:v>10.284916218675404</c:v>
                </c:pt>
                <c:pt idx="99">
                  <c:v>7.1047963283399955</c:v>
                </c:pt>
                <c:pt idx="100">
                  <c:v>4.8707345551379193</c:v>
                </c:pt>
                <c:pt idx="101">
                  <c:v>3.3138225326262933</c:v>
                </c:pt>
                <c:pt idx="102">
                  <c:v>2.2374636389237352</c:v>
                </c:pt>
                <c:pt idx="103">
                  <c:v>1.4992521527199079</c:v>
                </c:pt>
                <c:pt idx="104">
                  <c:v>0.99697743989048626</c:v>
                </c:pt>
                <c:pt idx="105">
                  <c:v>0.65794249287351814</c:v>
                </c:pt>
                <c:pt idx="106">
                  <c:v>0.43090595513303381</c:v>
                </c:pt>
                <c:pt idx="107">
                  <c:v>0.28007156057026583</c:v>
                </c:pt>
                <c:pt idx="108">
                  <c:v>0.18065395822333422</c:v>
                </c:pt>
                <c:pt idx="109">
                  <c:v>0.11564261589146597</c:v>
                </c:pt>
                <c:pt idx="110">
                  <c:v>7.3464966957241251E-2</c:v>
                </c:pt>
                <c:pt idx="111">
                  <c:v>4.6316381581281568E-2</c:v>
                </c:pt>
                <c:pt idx="112">
                  <c:v>2.8978834460320086E-2</c:v>
                </c:pt>
                <c:pt idx="113">
                  <c:v>1.7993645493456206E-2</c:v>
                </c:pt>
                <c:pt idx="114">
                  <c:v>1.108790154149652E-2</c:v>
                </c:pt>
                <c:pt idx="115">
                  <c:v>6.7806529529827898E-3</c:v>
                </c:pt>
                <c:pt idx="116">
                  <c:v>4.1151496013735432E-3</c:v>
                </c:pt>
                <c:pt idx="117">
                  <c:v>2.4785158148740083E-3</c:v>
                </c:pt>
                <c:pt idx="118">
                  <c:v>1.481459269795023E-3</c:v>
                </c:pt>
                <c:pt idx="119">
                  <c:v>8.7877904486949787E-4</c:v>
                </c:pt>
                <c:pt idx="120">
                  <c:v>5.1732280524261821E-4</c:v>
                </c:pt>
                <c:pt idx="121">
                  <c:v>3.0222856607937303E-4</c:v>
                </c:pt>
                <c:pt idx="122">
                  <c:v>1.7522713188020689E-4</c:v>
                </c:pt>
                <c:pt idx="123">
                  <c:v>1.0082289173429012E-4</c:v>
                </c:pt>
                <c:pt idx="124">
                  <c:v>5.7571679825077215E-5</c:v>
                </c:pt>
                <c:pt idx="125">
                  <c:v>3.2625006632512702E-5</c:v>
                </c:pt>
                <c:pt idx="126">
                  <c:v>1.8347811552859781E-5</c:v>
                </c:pt>
                <c:pt idx="127">
                  <c:v>1.0240234177693779E-5</c:v>
                </c:pt>
                <c:pt idx="128">
                  <c:v>5.6718855800291994E-6</c:v>
                </c:pt>
                <c:pt idx="129">
                  <c:v>3.1177191462840301E-6</c:v>
                </c:pt>
                <c:pt idx="130">
                  <c:v>1.7007421614824795E-6</c:v>
                </c:pt>
                <c:pt idx="131">
                  <c:v>9.2072924478021817E-7</c:v>
                </c:pt>
                <c:pt idx="132">
                  <c:v>4.9467210524839954E-7</c:v>
                </c:pt>
                <c:pt idx="133">
                  <c:v>2.6375162424187304E-7</c:v>
                </c:pt>
                <c:pt idx="134">
                  <c:v>1.3956161666653152E-7</c:v>
                </c:pt>
                <c:pt idx="135">
                  <c:v>7.3288130613133728E-8</c:v>
                </c:pt>
                <c:pt idx="136">
                  <c:v>3.8195598239896927E-8</c:v>
                </c:pt>
                <c:pt idx="137">
                  <c:v>1.9759137854770172E-8</c:v>
                </c:pt>
                <c:pt idx="138">
                  <c:v>1.0152155042005061E-8</c:v>
                </c:pt>
                <c:pt idx="139">
                  <c:v>5.1934873843294591E-9</c:v>
                </c:pt>
                <c:pt idx="140">
                  <c:v>2.6720843642099243E-9</c:v>
                </c:pt>
                <c:pt idx="141">
                  <c:v>1.4377416184376051E-9</c:v>
                </c:pt>
                <c:pt idx="142">
                  <c:v>9.1651154933333342E-10</c:v>
                </c:pt>
                <c:pt idx="143">
                  <c:v>8.640806238157836E-10</c:v>
                </c:pt>
                <c:pt idx="144">
                  <c:v>1.2601413647000159E-9</c:v>
                </c:pt>
                <c:pt idx="145">
                  <c:v>2.3020910285103247E-9</c:v>
                </c:pt>
                <c:pt idx="146">
                  <c:v>4.4969191282684056E-9</c:v>
                </c:pt>
                <c:pt idx="147">
                  <c:v>8.8909578332192919E-9</c:v>
                </c:pt>
                <c:pt idx="148">
                  <c:v>1.7533731237019903E-8</c:v>
                </c:pt>
                <c:pt idx="149">
                  <c:v>3.436560295855806E-8</c:v>
                </c:pt>
                <c:pt idx="150">
                  <c:v>6.6883225641107525E-8</c:v>
                </c:pt>
                <c:pt idx="151">
                  <c:v>1.2922970534672258E-7</c:v>
                </c:pt>
                <c:pt idx="152">
                  <c:v>2.4787761379675518E-7</c:v>
                </c:pt>
                <c:pt idx="153">
                  <c:v>4.7199429455368002E-7</c:v>
                </c:pt>
                <c:pt idx="154">
                  <c:v>8.9219421009952221E-7</c:v>
                </c:pt>
                <c:pt idx="155">
                  <c:v>1.6741908099180501E-6</c:v>
                </c:pt>
                <c:pt idx="156">
                  <c:v>3.1186980886413235E-6</c:v>
                </c:pt>
                <c:pt idx="157">
                  <c:v>5.76719351478134E-6</c:v>
                </c:pt>
                <c:pt idx="158">
                  <c:v>1.0587136670902635E-5</c:v>
                </c:pt>
                <c:pt idx="159">
                  <c:v>1.9293691014664251E-5</c:v>
                </c:pt>
                <c:pt idx="160">
                  <c:v>3.490397771583739E-5</c:v>
                </c:pt>
                <c:pt idx="161">
                  <c:v>6.2684090692328591E-5</c:v>
                </c:pt>
                <c:pt idx="162">
                  <c:v>1.1175386234863404E-4</c:v>
                </c:pt>
                <c:pt idx="163">
                  <c:v>1.9778372739650947E-4</c:v>
                </c:pt>
                <c:pt idx="164">
                  <c:v>3.4748925236934854E-4</c:v>
                </c:pt>
                <c:pt idx="165">
                  <c:v>6.060591327237384E-4</c:v>
                </c:pt>
                <c:pt idx="166">
                  <c:v>1.0493284002962525E-3</c:v>
                </c:pt>
                <c:pt idx="167">
                  <c:v>1.8035602645897757E-3</c:v>
                </c:pt>
                <c:pt idx="168">
                  <c:v>3.0773202429047672E-3</c:v>
                </c:pt>
                <c:pt idx="169">
                  <c:v>5.2123975595644622E-3</c:v>
                </c:pt>
                <c:pt idx="170">
                  <c:v>8.7644602526266713E-3</c:v>
                </c:pt>
                <c:pt idx="171">
                  <c:v>1.4629706815520054E-2</c:v>
                </c:pt>
                <c:pt idx="172">
                  <c:v>2.4242023825004736E-2</c:v>
                </c:pt>
                <c:pt idx="173">
                  <c:v>3.9877224984257255E-2</c:v>
                </c:pt>
                <c:pt idx="174">
                  <c:v>6.511840993399183E-2</c:v>
                </c:pt>
                <c:pt idx="175">
                  <c:v>0.10556147504173344</c:v>
                </c:pt>
                <c:pt idx="176">
                  <c:v>0.16987517486593801</c:v>
                </c:pt>
                <c:pt idx="177">
                  <c:v>0.27137959338328532</c:v>
                </c:pt>
                <c:pt idx="178">
                  <c:v>0.43037522421616342</c:v>
                </c:pt>
                <c:pt idx="179">
                  <c:v>0.67754811359001232</c:v>
                </c:pt>
                <c:pt idx="180">
                  <c:v>1.0589021324606454</c:v>
                </c:pt>
                <c:pt idx="181">
                  <c:v>1.6428363713200411</c:v>
                </c:pt>
                <c:pt idx="182">
                  <c:v>2.5302043590258876</c:v>
                </c:pt>
                <c:pt idx="183">
                  <c:v>3.8684741028343126</c:v>
                </c:pt>
                <c:pt idx="184">
                  <c:v>5.8714665638254235</c:v>
                </c:pt>
                <c:pt idx="185">
                  <c:v>8.8465980270868112</c:v>
                </c:pt>
                <c:pt idx="186">
                  <c:v>13.232100789583619</c:v>
                </c:pt>
                <c:pt idx="187">
                  <c:v>19.64735581301402</c:v>
                </c:pt>
                <c:pt idx="188">
                  <c:v>28.960244507716073</c:v>
                </c:pt>
                <c:pt idx="189">
                  <c:v>42.376310502380825</c:v>
                </c:pt>
                <c:pt idx="190">
                  <c:v>61.555500090309678</c:v>
                </c:pt>
                <c:pt idx="191">
                  <c:v>88.763289756756905</c:v>
                </c:pt>
                <c:pt idx="192">
                  <c:v>127.06405750876986</c:v>
                </c:pt>
                <c:pt idx="193">
                  <c:v>180.565532548037</c:v>
                </c:pt>
                <c:pt idx="194">
                  <c:v>254.72395585998578</c:v>
                </c:pt>
                <c:pt idx="195">
                  <c:v>356.7200598697338</c:v>
                </c:pt>
                <c:pt idx="196">
                  <c:v>495.91595125724717</c:v>
                </c:pt>
                <c:pt idx="197">
                  <c:v>684.40224761044203</c:v>
                </c:pt>
                <c:pt idx="198">
                  <c:v>937.64313976231108</c:v>
                </c:pt>
                <c:pt idx="199">
                  <c:v>1275.2241765057302</c:v>
                </c:pt>
                <c:pt idx="200">
                  <c:v>1721.7032488918919</c:v>
                </c:pt>
                <c:pt idx="201">
                  <c:v>2307.5592668261479</c:v>
                </c:pt>
                <c:pt idx="202">
                  <c:v>3070.2252089828798</c:v>
                </c:pt>
                <c:pt idx="203">
                  <c:v>4055.1825213476081</c:v>
                </c:pt>
                <c:pt idx="204">
                  <c:v>5317.0823092681376</c:v>
                </c:pt>
                <c:pt idx="205">
                  <c:v>6920.8456597382874</c:v>
                </c:pt>
                <c:pt idx="206">
                  <c:v>8942.6812074636655</c:v>
                </c:pt>
                <c:pt idx="207">
                  <c:v>11470.94342778377</c:v>
                </c:pt>
                <c:pt idx="208">
                  <c:v>14606.741068816928</c:v>
                </c:pt>
                <c:pt idx="209">
                  <c:v>18464.192843771754</c:v>
                </c:pt>
                <c:pt idx="210">
                  <c:v>23170.218430121491</c:v>
                </c:pt>
                <c:pt idx="211">
                  <c:v>28863.748555661783</c:v>
                </c:pt>
                <c:pt idx="212">
                  <c:v>35694.24013532378</c:v>
                </c:pt>
                <c:pt idx="213">
                  <c:v>43819.392619359103</c:v>
                </c:pt>
                <c:pt idx="214">
                  <c:v>53401.981243571456</c:v>
                </c:pt>
                <c:pt idx="215">
                  <c:v>64605.752634042095</c:v>
                </c:pt>
                <c:pt idx="216">
                  <c:v>77590.368503992635</c:v>
                </c:pt>
                <c:pt idx="217">
                  <c:v>92505.433503021399</c:v>
                </c:pt>
                <c:pt idx="218">
                  <c:v>109483.7022388232</c:v>
                </c:pt>
                <c:pt idx="219">
                  <c:v>128633.62569498729</c:v>
                </c:pt>
                <c:pt idx="220">
                  <c:v>150031.46532656526</c:v>
                </c:pt>
                <c:pt idx="221">
                  <c:v>173713.26973604149</c:v>
                </c:pt>
                <c:pt idx="222">
                  <c:v>199667.06901827012</c:v>
                </c:pt>
                <c:pt idx="223">
                  <c:v>227825.69021073828</c:v>
                </c:pt>
                <c:pt idx="224">
                  <c:v>258060.62838060164</c:v>
                </c:pt>
                <c:pt idx="225">
                  <c:v>290177.4167594476</c:v>
                </c:pt>
                <c:pt idx="226">
                  <c:v>323912.92198696715</c:v>
                </c:pt>
                <c:pt idx="227">
                  <c:v>358934.94436810981</c:v>
                </c:pt>
                <c:pt idx="228">
                  <c:v>394844.42736945592</c:v>
                </c:pt>
                <c:pt idx="229">
                  <c:v>431180.47683986078</c:v>
                </c:pt>
                <c:pt idx="230">
                  <c:v>467428.2624286394</c:v>
                </c:pt>
                <c:pt idx="231">
                  <c:v>503029.72747284378</c:v>
                </c:pt>
                <c:pt idx="232">
                  <c:v>537396.87735123467</c:v>
                </c:pt>
                <c:pt idx="233">
                  <c:v>569927.25964412838</c:v>
                </c:pt>
                <c:pt idx="234">
                  <c:v>600021.10299808998</c:v>
                </c:pt>
                <c:pt idx="235">
                  <c:v>627099.45609230059</c:v>
                </c:pt>
                <c:pt idx="236">
                  <c:v>650622.57350167073</c:v>
                </c:pt>
                <c:pt idx="237">
                  <c:v>670107.73988217104</c:v>
                </c:pt>
                <c:pt idx="238">
                  <c:v>685145.7136812309</c:v>
                </c:pt>
                <c:pt idx="239">
                  <c:v>695415.0093797911</c:v>
                </c:pt>
                <c:pt idx="240">
                  <c:v>700693.32256503601</c:v>
                </c:pt>
                <c:pt idx="241">
                  <c:v>700865.53086259577</c:v>
                </c:pt>
                <c:pt idx="242">
                  <c:v>695927.86856819049</c:v>
                </c:pt>
                <c:pt idx="243">
                  <c:v>685988.06355619477</c:v>
                </c:pt>
                <c:pt idx="244">
                  <c:v>671261.42951346969</c:v>
                </c:pt>
                <c:pt idx="245">
                  <c:v>652063.11147040396</c:v>
                </c:pt>
                <c:pt idx="246">
                  <c:v>628796.87466084503</c:v>
                </c:pt>
                <c:pt idx="247">
                  <c:v>601940.99364103959</c:v>
                </c:pt>
                <c:pt idx="248">
                  <c:v>572031.93001647713</c:v>
                </c:pt>
                <c:pt idx="249">
                  <c:v>539646.57550169108</c:v>
                </c:pt>
                <c:pt idx="250">
                  <c:v>505383.878088289</c:v>
                </c:pt>
                <c:pt idx="251">
                  <c:v>469846.66204669961</c:v>
                </c:pt>
                <c:pt idx="252">
                  <c:v>433624.39999614627</c:v>
                </c:pt>
                <c:pt idx="253">
                  <c:v>397277.60307316575</c:v>
                </c:pt>
                <c:pt idx="254">
                  <c:v>361324.37150417123</c:v>
                </c:pt>
                <c:pt idx="255">
                  <c:v>326229.5025217217</c:v>
                </c:pt>
                <c:pt idx="256">
                  <c:v>292396.39625414164</c:v>
                </c:pt>
                <c:pt idx="257">
                  <c:v>260161.84360068894</c:v>
                </c:pt>
                <c:pt idx="258">
                  <c:v>229793.63295127178</c:v>
                </c:pt>
                <c:pt idx="259">
                  <c:v>201490.78316082709</c:v>
                </c:pt>
                <c:pt idx="260">
                  <c:v>175386.10467225511</c:v>
                </c:pt>
                <c:pt idx="261">
                  <c:v>151550.71304646152</c:v>
                </c:pt>
                <c:pt idx="262">
                  <c:v>130000.07101767778</c:v>
                </c:pt>
                <c:pt idx="263">
                  <c:v>110701.11596930538</c:v>
                </c:pt>
                <c:pt idx="264">
                  <c:v>93580.036955246906</c:v>
                </c:pt>
                <c:pt idx="265">
                  <c:v>78530.295141950541</c:v>
                </c:pt>
                <c:pt idx="266">
                  <c:v>65420.528902385624</c:v>
                </c:pt>
                <c:pt idx="267">
                  <c:v>54102.04435553879</c:v>
                </c:pt>
                <c:pt idx="268">
                  <c:v>44415.658496619202</c:v>
                </c:pt>
                <c:pt idx="269">
                  <c:v>36197.730168351183</c:v>
                </c:pt>
                <c:pt idx="270">
                  <c:v>29285.279635968436</c:v>
                </c:pt>
                <c:pt idx="271">
                  <c:v>23520.156994127865</c:v>
                </c:pt>
                <c:pt idx="272">
                  <c:v>18752.270591478493</c:v>
                </c:pt>
                <c:pt idx="273">
                  <c:v>14841.927642920284</c:v>
                </c:pt>
                <c:pt idx="274">
                  <c:v>11661.369666989673</c:v>
                </c:pt>
                <c:pt idx="275">
                  <c:v>9095.6055808637866</c:v>
                </c:pt>
                <c:pt idx="276">
                  <c:v>7042.6560715696369</c:v>
                </c:pt>
                <c:pt idx="277">
                  <c:v>5413.3255369643775</c:v>
                </c:pt>
                <c:pt idx="278">
                  <c:v>4130.6140053576601</c:v>
                </c:pt>
                <c:pt idx="279">
                  <c:v>3128.8726403408573</c:v>
                </c:pt>
                <c:pt idx="280">
                  <c:v>2352.7943149128237</c:v>
                </c:pt>
                <c:pt idx="281">
                  <c:v>1756.3167469212829</c:v>
                </c:pt>
                <c:pt idx="282">
                  <c:v>1301.5010617617504</c:v>
                </c:pt>
                <c:pt idx="283">
                  <c:v>957.43437271013624</c:v>
                </c:pt>
                <c:pt idx="284">
                  <c:v>699.19176910136309</c:v>
                </c:pt>
                <c:pt idx="285">
                  <c:v>506.88145619553842</c:v>
                </c:pt>
                <c:pt idx="286">
                  <c:v>364.78695834377078</c:v>
                </c:pt>
                <c:pt idx="287">
                  <c:v>260.61235893399794</c:v>
                </c:pt>
                <c:pt idx="288">
                  <c:v>184.83044758186972</c:v>
                </c:pt>
                <c:pt idx="289">
                  <c:v>130.12922013280973</c:v>
                </c:pt>
                <c:pt idx="290">
                  <c:v>90.949212471244991</c:v>
                </c:pt>
                <c:pt idx="291">
                  <c:v>63.102397870604541</c:v>
                </c:pt>
                <c:pt idx="292">
                  <c:v>43.462588327456501</c:v>
                </c:pt>
                <c:pt idx="293">
                  <c:v>29.717215519044881</c:v>
                </c:pt>
                <c:pt idx="294">
                  <c:v>20.170814968292326</c:v>
                </c:pt>
                <c:pt idx="295">
                  <c:v>13.591318224999208</c:v>
                </c:pt>
                <c:pt idx="296">
                  <c:v>9.0912273957694847</c:v>
                </c:pt>
                <c:pt idx="297">
                  <c:v>6.0367927292670496</c:v>
                </c:pt>
                <c:pt idx="298">
                  <c:v>3.9793561867738649</c:v>
                </c:pt>
                <c:pt idx="299">
                  <c:v>2.6040071401105602</c:v>
                </c:pt>
                <c:pt idx="300">
                  <c:v>1.6915870112167695</c:v>
                </c:pt>
                <c:pt idx="301">
                  <c:v>1.0908608282337686</c:v>
                </c:pt>
                <c:pt idx="302">
                  <c:v>0.69834052270888081</c:v>
                </c:pt>
                <c:pt idx="303">
                  <c:v>0.44380092061156878</c:v>
                </c:pt>
                <c:pt idx="304">
                  <c:v>0.27998366709248923</c:v>
                </c:pt>
                <c:pt idx="305">
                  <c:v>0.17534853817416424</c:v>
                </c:pt>
                <c:pt idx="306">
                  <c:v>0.10901861395081736</c:v>
                </c:pt>
                <c:pt idx="307">
                  <c:v>6.7288391178173937E-2</c:v>
                </c:pt>
                <c:pt idx="308">
                  <c:v>4.1233985666577724E-2</c:v>
                </c:pt>
                <c:pt idx="309">
                  <c:v>2.5092683322109371E-2</c:v>
                </c:pt>
                <c:pt idx="310">
                  <c:v>1.5174306214666611E-2</c:v>
                </c:pt>
                <c:pt idx="311">
                  <c:v>9.1367160663815925E-3</c:v>
                </c:pt>
                <c:pt idx="312">
                  <c:v>5.5084162784546677E-3</c:v>
                </c:pt>
                <c:pt idx="313">
                  <c:v>3.3775136235086674E-3</c:v>
                </c:pt>
                <c:pt idx="314">
                  <c:v>2.1920706356829949E-3</c:v>
                </c:pt>
                <c:pt idx="315">
                  <c:v>1.6350468863549309E-3</c:v>
                </c:pt>
                <c:pt idx="316">
                  <c:v>1.5498153930317681E-3</c:v>
                </c:pt>
                <c:pt idx="317">
                  <c:v>1.9013283356160906E-3</c:v>
                </c:pt>
                <c:pt idx="318">
                  <c:v>2.7646661695000904E-3</c:v>
                </c:pt>
                <c:pt idx="319">
                  <c:v>4.3379186353272236E-3</c:v>
                </c:pt>
                <c:pt idx="320">
                  <c:v>6.9809069919729658E-3</c:v>
                </c:pt>
                <c:pt idx="321">
                  <c:v>1.128584957397411E-2</c:v>
                </c:pt>
                <c:pt idx="322">
                  <c:v>1.819134960376597E-2</c:v>
                </c:pt>
                <c:pt idx="323">
                  <c:v>2.9157728815792722E-2</c:v>
                </c:pt>
                <c:pt idx="324">
                  <c:v>4.6430518066745544E-2</c:v>
                </c:pt>
                <c:pt idx="325">
                  <c:v>7.343076955325116E-2</c:v>
                </c:pt>
                <c:pt idx="326">
                  <c:v>0.11532689787104182</c:v>
                </c:pt>
                <c:pt idx="327">
                  <c:v>0.17986436080827869</c:v>
                </c:pt>
                <c:pt idx="328">
                  <c:v>0.27855831557024535</c:v>
                </c:pt>
                <c:pt idx="329">
                  <c:v>0.42839240561343522</c:v>
                </c:pt>
                <c:pt idx="330">
                  <c:v>0.6542163361522183</c:v>
                </c:pt>
                <c:pt idx="331">
                  <c:v>0.99209845281766729</c:v>
                </c:pt>
                <c:pt idx="332">
                  <c:v>1.4939699147670884</c:v>
                </c:pt>
                <c:pt idx="333">
                  <c:v>2.2339970607565403</c:v>
                </c:pt>
                <c:pt idx="334">
                  <c:v>3.3172408147842698</c:v>
                </c:pt>
                <c:pt idx="335">
                  <c:v>4.8913085258987383</c:v>
                </c:pt>
                <c:pt idx="336">
                  <c:v>7.1618755127359268</c:v>
                </c:pt>
                <c:pt idx="337">
                  <c:v>10.413150165224049</c:v>
                </c:pt>
                <c:pt idx="338">
                  <c:v>15.034574710312469</c:v>
                </c:pt>
                <c:pt idx="339">
                  <c:v>21.55528734180238</c:v>
                </c:pt>
                <c:pt idx="340">
                  <c:v>30.688109730947826</c:v>
                </c:pt>
                <c:pt idx="341">
                  <c:v>43.385051067664079</c:v>
                </c:pt>
                <c:pt idx="342">
                  <c:v>60.906513593007844</c:v>
                </c:pt>
                <c:pt idx="343">
                  <c:v>84.906515962872135</c:v>
                </c:pt>
                <c:pt idx="344">
                  <c:v>117.53628328592816</c:v>
                </c:pt>
                <c:pt idx="345">
                  <c:v>161.56844273494286</c:v>
                </c:pt>
                <c:pt idx="346">
                  <c:v>220.54376154830624</c:v>
                </c:pt>
                <c:pt idx="347">
                  <c:v>298.94181622979943</c:v>
                </c:pt>
                <c:pt idx="348">
                  <c:v>402.37613317347677</c:v>
                </c:pt>
                <c:pt idx="349">
                  <c:v>537.81314087217902</c:v>
                </c:pt>
                <c:pt idx="350">
                  <c:v>713.8126811016989</c:v>
                </c:pt>
                <c:pt idx="351">
                  <c:v>940.78581674612053</c:v>
                </c:pt>
                <c:pt idx="352">
                  <c:v>1231.2632481515432</c:v>
                </c:pt>
                <c:pt idx="353">
                  <c:v>1600.1648428257249</c:v>
                </c:pt>
                <c:pt idx="354">
                  <c:v>2065.057671947482</c:v>
                </c:pt>
                <c:pt idx="355">
                  <c:v>2646.3866579035289</c:v>
                </c:pt>
                <c:pt idx="356">
                  <c:v>3367.6586504283791</c:v>
                </c:pt>
                <c:pt idx="357">
                  <c:v>4255.5577005365876</c:v>
                </c:pt>
                <c:pt idx="358">
                  <c:v>5339.9667782332717</c:v>
                </c:pt>
                <c:pt idx="359">
                  <c:v>6653.8695102877373</c:v>
                </c:pt>
                <c:pt idx="360">
                  <c:v>8233.1050512186775</c:v>
                </c:pt>
                <c:pt idx="361">
                  <c:v>10115.95029825605</c:v>
                </c:pt>
                <c:pt idx="362">
                  <c:v>12342.506644611074</c:v>
                </c:pt>
                <c:pt idx="363">
                  <c:v>14953.873595825436</c:v>
                </c:pt>
                <c:pt idx="364">
                  <c:v>17991.099009707439</c:v>
                </c:pt>
                <c:pt idx="365">
                  <c:v>21493.905479269306</c:v>
                </c:pt>
                <c:pt idx="366">
                  <c:v>25499.20430344568</c:v>
                </c:pt>
                <c:pt idx="367">
                  <c:v>30039.422225225491</c:v>
                </c:pt>
                <c:pt idx="368">
                  <c:v>35140.681091004997</c:v>
                </c:pt>
                <c:pt idx="369">
                  <c:v>40820.886018968245</c:v>
                </c:pt>
                <c:pt idx="370">
                  <c:v>47087.792592964586</c:v>
                </c:pt>
                <c:pt idx="371">
                  <c:v>53937.136915975854</c:v>
                </c:pt>
                <c:pt idx="372">
                  <c:v>61350.922883752479</c:v>
                </c:pt>
                <c:pt idx="373">
                  <c:v>69295.967604607868</c:v>
                </c:pt>
                <c:pt idx="374">
                  <c:v>77722.807433796814</c:v>
                </c:pt>
                <c:pt idx="375">
                  <c:v>86565.062760439032</c:v>
                </c:pt>
                <c:pt idx="376">
                  <c:v>95739.348944490383</c:v>
                </c:pt>
                <c:pt idx="377">
                  <c:v>105145.80351420636</c:v>
                </c:pt>
                <c:pt idx="378">
                  <c:v>114669.27622892451</c:v>
                </c:pt>
                <c:pt idx="379">
                  <c:v>124181.19971194289</c:v>
                </c:pt>
                <c:pt idx="380">
                  <c:v>133542.12537564221</c:v>
                </c:pt>
                <c:pt idx="381">
                  <c:v>142604.8740433692</c:v>
                </c:pt>
                <c:pt idx="382">
                  <c:v>151218.21510776412</c:v>
                </c:pt>
                <c:pt idx="383">
                  <c:v>159230.95454682194</c:v>
                </c:pt>
                <c:pt idx="384">
                  <c:v>166496.28298219963</c:v>
                </c:pt>
                <c:pt idx="385">
                  <c:v>172876.2124044146</c:v>
                </c:pt>
                <c:pt idx="386">
                  <c:v>178245.91607907414</c:v>
                </c:pt>
                <c:pt idx="387">
                  <c:v>182497.78186912058</c:v>
                </c:pt>
                <c:pt idx="388">
                  <c:v>185544.99551603565</c:v>
                </c:pt>
                <c:pt idx="389">
                  <c:v>187324.48735794486</c:v>
                </c:pt>
                <c:pt idx="390">
                  <c:v>187799.10281574042</c:v>
                </c:pt>
                <c:pt idx="391">
                  <c:v>186958.89232114964</c:v>
                </c:pt>
                <c:pt idx="392">
                  <c:v>184821.45813547712</c:v>
                </c:pt>
                <c:pt idx="393">
                  <c:v>181431.34117337957</c:v>
                </c:pt>
                <c:pt idx="394">
                  <c:v>176858.477666213</c:v>
                </c:pt>
                <c:pt idx="395">
                  <c:v>171195.80035763443</c:v>
                </c:pt>
                <c:pt idx="396">
                  <c:v>164556.09914536832</c:v>
                </c:pt>
                <c:pt idx="397">
                  <c:v>157068.28924349564</c:v>
                </c:pt>
                <c:pt idx="398">
                  <c:v>148873.25914440569</c:v>
                </c:pt>
                <c:pt idx="399">
                  <c:v>140119.48467401674</c:v>
                </c:pt>
                <c:pt idx="400">
                  <c:v>130958.59875747933</c:v>
                </c:pt>
                <c:pt idx="401">
                  <c:v>121541.0993904982</c:v>
                </c:pt>
                <c:pt idx="402">
                  <c:v>112012.36168502421</c:v>
                </c:pt>
                <c:pt idx="403">
                  <c:v>102509.09526126127</c:v>
                </c:pt>
                <c:pt idx="404">
                  <c:v>93156.357670874597</c:v>
                </c:pt>
                <c:pt idx="405">
                  <c:v>84065.200211854899</c:v>
                </c:pt>
                <c:pt idx="406">
                  <c:v>75330.986775058613</c:v>
                </c:pt>
                <c:pt idx="407">
                  <c:v>67032.391497755074</c:v>
                </c:pt>
                <c:pt idx="408">
                  <c:v>59231.048995578822</c:v>
                </c:pt>
                <c:pt idx="409">
                  <c:v>51971.803435114169</c:v>
                </c:pt>
                <c:pt idx="410">
                  <c:v>45283.480874271016</c:v>
                </c:pt>
                <c:pt idx="411">
                  <c:v>39180.09382164292</c:v>
                </c:pt>
                <c:pt idx="412">
                  <c:v>33662.378043093318</c:v>
                </c:pt>
                <c:pt idx="413">
                  <c:v>28719.559018112544</c:v>
                </c:pt>
                <c:pt idx="414">
                  <c:v>24331.248486243858</c:v>
                </c:pt>
                <c:pt idx="415">
                  <c:v>20469.379305682876</c:v>
                </c:pt>
                <c:pt idx="416">
                  <c:v>17100.098269684393</c:v>
                </c:pt>
                <c:pt idx="417">
                  <c:v>14185.550409516647</c:v>
                </c:pt>
                <c:pt idx="418">
                  <c:v>11685.503488225795</c:v>
                </c:pt>
                <c:pt idx="419">
                  <c:v>9558.776785077649</c:v>
                </c:pt>
                <c:pt idx="420">
                  <c:v>7764.452969174371</c:v>
                </c:pt>
                <c:pt idx="421">
                  <c:v>6262.8651397151043</c:v>
                </c:pt>
                <c:pt idx="422">
                  <c:v>5016.3624592921124</c:v>
                </c:pt>
                <c:pt idx="423">
                  <c:v>3989.8669262123631</c:v>
                </c:pt>
                <c:pt idx="424">
                  <c:v>3151.2406170415056</c:v>
                </c:pt>
                <c:pt idx="425">
                  <c:v>2471.4872420675879</c:v>
                </c:pt>
                <c:pt idx="426">
                  <c:v>1924.814285042761</c:v>
                </c:pt>
                <c:pt idx="427">
                  <c:v>1488.5826269710892</c:v>
                </c:pt>
                <c:pt idx="428">
                  <c:v>1143.1697184982479</c:v>
                </c:pt>
                <c:pt idx="429">
                  <c:v>871.77042326257163</c:v>
                </c:pt>
                <c:pt idx="430">
                  <c:v>660.15695363652458</c:v>
                </c:pt>
                <c:pt idx="431">
                  <c:v>496.41617878725089</c:v>
                </c:pt>
                <c:pt idx="432">
                  <c:v>370.67927628157577</c:v>
                </c:pt>
                <c:pt idx="433">
                  <c:v>274.8554430018138</c:v>
                </c:pt>
                <c:pt idx="434">
                  <c:v>202.37834406790188</c:v>
                </c:pt>
                <c:pt idx="435">
                  <c:v>147.97127181766399</c:v>
                </c:pt>
                <c:pt idx="436">
                  <c:v>107.43467513478871</c:v>
                </c:pt>
                <c:pt idx="437">
                  <c:v>77.457826999072196</c:v>
                </c:pt>
                <c:pt idx="438">
                  <c:v>55.45491810796603</c:v>
                </c:pt>
                <c:pt idx="439">
                  <c:v>39.424767020909712</c:v>
                </c:pt>
                <c:pt idx="440">
                  <c:v>27.832577936491166</c:v>
                </c:pt>
                <c:pt idx="441">
                  <c:v>19.511703459614385</c:v>
                </c:pt>
                <c:pt idx="442">
                  <c:v>13.583126784037413</c:v>
                </c:pt>
                <c:pt idx="443">
                  <c:v>9.3903127469699754</c:v>
                </c:pt>
                <c:pt idx="444">
                  <c:v>6.447142149806214</c:v>
                </c:pt>
                <c:pt idx="445">
                  <c:v>4.3967970549532236</c:v>
                </c:pt>
                <c:pt idx="446">
                  <c:v>2.9796722392090675</c:v>
                </c:pt>
                <c:pt idx="447">
                  <c:v>2.0086227334989966</c:v>
                </c:pt>
                <c:pt idx="448">
                  <c:v>1.3500994126293668</c:v>
                </c:pt>
                <c:pt idx="449">
                  <c:v>0.9099600203739554</c:v>
                </c:pt>
                <c:pt idx="450">
                  <c:v>0.62296308569459102</c:v>
                </c:pt>
                <c:pt idx="451">
                  <c:v>0.44515235123595009</c:v>
                </c:pt>
                <c:pt idx="452">
                  <c:v>0.34851830761511626</c:v>
                </c:pt>
                <c:pt idx="453">
                  <c:v>0.31748237368065801</c:v>
                </c:pt>
                <c:pt idx="454">
                  <c:v>0.34689112851456172</c:v>
                </c:pt>
                <c:pt idx="455">
                  <c:v>0.44133696733420397</c:v>
                </c:pt>
                <c:pt idx="456">
                  <c:v>0.61574262382511136</c:v>
                </c:pt>
                <c:pt idx="457">
                  <c:v>0.89726568436191512</c:v>
                </c:pt>
                <c:pt idx="458">
                  <c:v>1.3287012802112319</c:v>
                </c:pt>
                <c:pt idx="459">
                  <c:v>1.9736923850529642</c:v>
                </c:pt>
                <c:pt idx="460">
                  <c:v>2.9242031790625038</c:v>
                </c:pt>
                <c:pt idx="461">
                  <c:v>4.3108769104972131</c:v>
                </c:pt>
                <c:pt idx="462">
                  <c:v>6.3170899001061267</c:v>
                </c:pt>
                <c:pt idx="463">
                  <c:v>9.1977307816917229</c:v>
                </c:pt>
                <c:pt idx="464">
                  <c:v>13.303979791659227</c:v>
                </c:pt>
                <c:pt idx="465">
                  <c:v>19.115635208425175</c:v>
                </c:pt>
                <c:pt idx="466">
                  <c:v>27.282827511242495</c:v>
                </c:pt>
                <c:pt idx="467">
                  <c:v>38.679266333444303</c:v>
                </c:pt>
                <c:pt idx="468">
                  <c:v>54.469464785974836</c:v>
                </c:pt>
                <c:pt idx="469">
                  <c:v>76.192657164463881</c:v>
                </c:pt>
                <c:pt idx="470">
                  <c:v>105.86633838290112</c:v>
                </c:pt>
                <c:pt idx="471">
                  <c:v>146.11246702622461</c:v>
                </c:pt>
                <c:pt idx="472">
                  <c:v>200.3093402711462</c:v>
                </c:pt>
                <c:pt idx="473">
                  <c:v>272.77191160093378</c:v>
                </c:pt>
                <c:pt idx="474">
                  <c:v>368.96281835586484</c:v>
                </c:pt>
                <c:pt idx="475">
                  <c:v>495.73554939331626</c:v>
                </c:pt>
                <c:pt idx="476">
                  <c:v>661.60994811868454</c:v>
                </c:pt>
                <c:pt idx="477">
                  <c:v>877.07855446463418</c:v>
                </c:pt>
                <c:pt idx="478">
                  <c:v>1154.9400970737652</c:v>
                </c:pt>
                <c:pt idx="479">
                  <c:v>1510.6537333451736</c:v>
                </c:pt>
                <c:pt idx="480">
                  <c:v>1962.7044126588744</c:v>
                </c:pt>
                <c:pt idx="481">
                  <c:v>2532.9660627732869</c:v>
                </c:pt>
                <c:pt idx="482">
                  <c:v>3247.0452796186055</c:v>
                </c:pt>
                <c:pt idx="483">
                  <c:v>4134.5840054487298</c:v>
                </c:pt>
                <c:pt idx="484">
                  <c:v>5229.4955435885104</c:v>
                </c:pt>
                <c:pt idx="485">
                  <c:v>6570.1044789914658</c:v>
                </c:pt>
                <c:pt idx="486">
                  <c:v>8199.1580110367922</c:v>
                </c:pt>
                <c:pt idx="487">
                  <c:v>10163.674263505931</c:v>
                </c:pt>
                <c:pt idx="488">
                  <c:v>12514.592747477485</c:v>
                </c:pt>
                <c:pt idx="489">
                  <c:v>15306.193744352042</c:v>
                </c:pt>
                <c:pt idx="490">
                  <c:v>18595.257338361771</c:v>
                </c:pt>
                <c:pt idx="491">
                  <c:v>22439.93947086273</c:v>
                </c:pt>
                <c:pt idx="492">
                  <c:v>26898.35189813035</c:v>
                </c:pt>
                <c:pt idx="493">
                  <c:v>32026.845327341376</c:v>
                </c:pt>
                <c:pt idx="494">
                  <c:v>37878.010090948992</c:v>
                </c:pt>
                <c:pt idx="495">
                  <c:v>44498.426068854918</c:v>
                </c:pt>
                <c:pt idx="496">
                  <c:v>51926.212498492088</c:v>
                </c:pt>
                <c:pt idx="497">
                  <c:v>60188.447893291021</c:v>
                </c:pt>
                <c:pt idx="498">
                  <c:v>69298.549364499748</c:v>
                </c:pt>
                <c:pt idx="499">
                  <c:v>79253.717881132616</c:v>
                </c:pt>
                <c:pt idx="500">
                  <c:v>90032.569980293003</c:v>
                </c:pt>
                <c:pt idx="501">
                  <c:v>101593.0857246761</c:v>
                </c:pt>
                <c:pt idx="502">
                  <c:v>113871.00597428392</c:v>
                </c:pt>
                <c:pt idx="503">
                  <c:v>126778.80820340361</c:v>
                </c:pt>
                <c:pt idx="504">
                  <c:v>140205.37840833826</c:v>
                </c:pt>
                <c:pt idx="505">
                  <c:v>154016.47682764631</c:v>
                </c:pt>
                <c:pt idx="506">
                  <c:v>168056.06748306073</c:v>
                </c:pt>
                <c:pt idx="507">
                  <c:v>182148.54677832325</c:v>
                </c:pt>
                <c:pt idx="508">
                  <c:v>196101.86598535965</c:v>
                </c:pt>
                <c:pt idx="509">
                  <c:v>209711.49836595793</c:v>
                </c:pt>
                <c:pt idx="510">
                  <c:v>222765.15633355183</c:v>
                </c:pt>
                <c:pt idx="511">
                  <c:v>235048.12017104629</c:v>
                </c:pt>
                <c:pt idx="512">
                  <c:v>246349.00023004427</c:v>
                </c:pt>
                <c:pt idx="513">
                  <c:v>256465.72200819149</c:v>
                </c:pt>
                <c:pt idx="514">
                  <c:v>265211.50050463877</c:v>
                </c:pt>
                <c:pt idx="515">
                  <c:v>272420.55875987461</c:v>
                </c:pt>
                <c:pt idx="516">
                  <c:v>277953.34679053491</c:v>
                </c:pt>
                <c:pt idx="517">
                  <c:v>281701.03172001033</c:v>
                </c:pt>
                <c:pt idx="518">
                  <c:v>283589.0573900083</c:v>
                </c:pt>
                <c:pt idx="519">
                  <c:v>283579.61084172595</c:v>
                </c:pt>
                <c:pt idx="520">
                  <c:v>281672.88168721681</c:v>
                </c:pt>
                <c:pt idx="521">
                  <c:v>277907.05578035058</c:v>
                </c:pt>
                <c:pt idx="522">
                  <c:v>272357.04348246794</c:v>
                </c:pt>
                <c:pt idx="523">
                  <c:v>265132.00168587652</c:v>
                </c:pt>
                <c:pt idx="524">
                  <c:v>256371.7640954899</c:v>
                </c:pt>
                <c:pt idx="525">
                  <c:v>246242.34281890548</c:v>
                </c:pt>
                <c:pt idx="526">
                  <c:v>234930.7033124179</c:v>
                </c:pt>
                <c:pt idx="527">
                  <c:v>222639.04209167577</c:v>
                </c:pt>
                <c:pt idx="528">
                  <c:v>209578.81107449345</c:v>
                </c:pt>
                <c:pt idx="529">
                  <c:v>195964.73359686288</c:v>
                </c:pt>
                <c:pt idx="530">
                  <c:v>182009.04552769911</c:v>
                </c:pt>
                <c:pt idx="531">
                  <c:v>167916.171805875</c:v>
                </c:pt>
                <c:pt idx="532">
                  <c:v>153878.01611157681</c:v>
                </c:pt>
                <c:pt idx="533">
                  <c:v>140070.00173689573</c:v>
                </c:pt>
                <c:pt idx="534">
                  <c:v>126647.95780354326</c:v>
                </c:pt>
                <c:pt idx="535">
                  <c:v>113745.89963156493</c:v>
                </c:pt>
                <c:pt idx="536">
                  <c:v>101474.70800691206</c:v>
                </c:pt>
                <c:pt idx="537">
                  <c:v>89921.671735053053</c:v>
                </c:pt>
                <c:pt idx="538">
                  <c:v>79150.823160880871</c:v>
                </c:pt>
                <c:pt idx="539">
                  <c:v>69203.968696783631</c:v>
                </c:pt>
                <c:pt idx="540">
                  <c:v>60102.296657496321</c:v>
                </c:pt>
                <c:pt idx="541">
                  <c:v>51848.433094937827</c:v>
                </c:pt>
                <c:pt idx="542">
                  <c:v>44428.812565100605</c:v>
                </c:pt>
                <c:pt idx="543">
                  <c:v>37816.234094818043</c:v>
                </c:pt>
                <c:pt idx="544">
                  <c:v>31972.48195413929</c:v>
                </c:pt>
                <c:pt idx="545">
                  <c:v>26850.904856997437</c:v>
                </c:pt>
                <c:pt idx="546">
                  <c:v>22398.86447779513</c:v>
                </c:pt>
                <c:pt idx="547">
                  <c:v>18559.983257342912</c:v>
                </c:pt>
                <c:pt idx="548">
                  <c:v>15276.141050841094</c:v>
                </c:pt>
                <c:pt idx="549">
                  <c:v>12489.189089790025</c:v>
                </c:pt>
                <c:pt idx="550">
                  <c:v>10142.367059378681</c:v>
                </c:pt>
                <c:pt idx="551">
                  <c:v>8181.4241534034036</c:v>
                </c:pt>
                <c:pt idx="552">
                  <c:v>6555.4573336893191</c:v>
                </c:pt>
                <c:pt idx="553">
                  <c:v>5217.489501577249</c:v>
                </c:pt>
                <c:pt idx="554">
                  <c:v>4124.8169042417803</c:v>
                </c:pt>
                <c:pt idx="555">
                  <c:v>3239.1590355608614</c:v>
                </c:pt>
                <c:pt idx="556">
                  <c:v>2526.6458611060916</c:v>
                </c:pt>
                <c:pt idx="557">
                  <c:v>1957.6767901477283</c:v>
                </c:pt>
                <c:pt idx="558">
                  <c:v>1506.6838629556851</c:v>
                </c:pt>
                <c:pt idx="559">
                  <c:v>1151.8285500020338</c:v>
                </c:pt>
                <c:pt idx="560">
                  <c:v>874.6577756399779</c:v>
                </c:pt>
                <c:pt idx="561">
                  <c:v>659.74064046813203</c:v>
                </c:pt>
                <c:pt idx="562">
                  <c:v>494.30312246607292</c:v>
                </c:pt>
                <c:pt idx="563">
                  <c:v>367.87402052416024</c:v>
                </c:pt>
                <c:pt idx="564">
                  <c:v>271.95173359023238</c:v>
                </c:pt>
                <c:pt idx="565">
                  <c:v>199.69825235780746</c:v>
                </c:pt>
                <c:pt idx="566">
                  <c:v>145.66403363671949</c:v>
                </c:pt>
                <c:pt idx="567">
                  <c:v>105.5452425593258</c:v>
                </c:pt>
                <c:pt idx="568">
                  <c:v>75.973163844876126</c:v>
                </c:pt>
                <c:pt idx="569">
                  <c:v>54.334356529772123</c:v>
                </c:pt>
                <c:pt idx="570">
                  <c:v>38.6192985944394</c:v>
                </c:pt>
                <c:pt idx="571">
                  <c:v>27.296773671426941</c:v>
                </c:pt>
                <c:pt idx="572">
                  <c:v>19.211025520953235</c:v>
                </c:pt>
                <c:pt idx="573">
                  <c:v>13.498684728935814</c:v>
                </c:pt>
                <c:pt idx="574">
                  <c:v>9.5226000547188452</c:v>
                </c:pt>
                <c:pt idx="575">
                  <c:v>6.8199360260102511</c:v>
                </c:pt>
                <c:pt idx="576">
                  <c:v>5.0621894066880149</c:v>
                </c:pt>
                <c:pt idx="577">
                  <c:v>4.0250991928694271</c:v>
                </c:pt>
                <c:pt idx="578">
                  <c:v>3.5667547186697304</c:v>
                </c:pt>
                <c:pt idx="579">
                  <c:v>3.6125278433397892</c:v>
                </c:pt>
                <c:pt idx="580">
                  <c:v>4.1457570355153601</c:v>
                </c:pt>
                <c:pt idx="581">
                  <c:v>5.2033865863420612</c:v>
                </c:pt>
                <c:pt idx="582">
                  <c:v>6.8760091801902252</c:v>
                </c:pt>
                <c:pt idx="583">
                  <c:v>9.3119724118980152</c:v>
                </c:pt>
                <c:pt idx="584">
                  <c:v>12.725388163564016</c:v>
                </c:pt>
                <c:pt idx="585">
                  <c:v>17.408026691954493</c:v>
                </c:pt>
                <c:pt idx="586">
                  <c:v>23.745182960612951</c:v>
                </c:pt>
                <c:pt idx="587">
                  <c:v>32.235668430142645</c:v>
                </c:pt>
                <c:pt idx="588">
                  <c:v>43.516103420746248</c:v>
                </c:pt>
                <c:pt idx="589">
                  <c:v>58.389658552906418</c:v>
                </c:pt>
                <c:pt idx="590">
                  <c:v>77.859313263729135</c:v>
                </c:pt>
                <c:pt idx="591">
                  <c:v>103.16555945092902</c:v>
                </c:pt>
                <c:pt idx="592">
                  <c:v>135.82827396169992</c:v>
                </c:pt>
                <c:pt idx="593">
                  <c:v>177.69221147973659</c:v>
                </c:pt>
                <c:pt idx="594">
                  <c:v>230.97522853021289</c:v>
                </c:pt>
                <c:pt idx="595">
                  <c:v>298.31794277129171</c:v>
                </c:pt>
                <c:pt idx="596">
                  <c:v>382.83306743080766</c:v>
                </c:pt>
                <c:pt idx="597">
                  <c:v>488.15215277631546</c:v>
                </c:pt>
                <c:pt idx="598">
                  <c:v>618.46693603075619</c:v>
                </c:pt>
                <c:pt idx="599">
                  <c:v>778.56197693152046</c:v>
                </c:pt>
                <c:pt idx="600">
                  <c:v>973.83477459159928</c:v>
                </c:pt>
                <c:pt idx="601">
                  <c:v>1210.2991658828462</c:v>
                </c:pt>
                <c:pt idx="602">
                  <c:v>1494.5675452244116</c:v>
                </c:pt>
                <c:pt idx="603">
                  <c:v>1833.8073726828882</c:v>
                </c:pt>
                <c:pt idx="604">
                  <c:v>2235.6676039697772</c:v>
                </c:pt>
                <c:pt idx="605">
                  <c:v>2708.1711305282511</c:v>
                </c:pt>
                <c:pt idx="606">
                  <c:v>3259.5700999493565</c:v>
                </c:pt>
                <c:pt idx="607">
                  <c:v>3898.1621220678212</c:v>
                </c:pt>
                <c:pt idx="608">
                  <c:v>4632.0668608215619</c:v>
                </c:pt>
                <c:pt idx="609">
                  <c:v>5468.9643490950366</c:v>
                </c:pt>
                <c:pt idx="610">
                  <c:v>6415.7984985398643</c:v>
                </c:pt>
                <c:pt idx="611">
                  <c:v>7478.4516342241677</c:v>
                </c:pt>
                <c:pt idx="612">
                  <c:v>8661.3983603465131</c:v>
                </c:pt>
                <c:pt idx="613">
                  <c:v>9967.3495258325711</c:v>
                </c:pt>
                <c:pt idx="614">
                  <c:v>11396.899352264298</c:v>
                </c:pt>
                <c:pt idx="615">
                  <c:v>12948.190741027074</c:v>
                </c:pt>
                <c:pt idx="616">
                  <c:v>14616.615216751979</c:v>
                </c:pt>
                <c:pt idx="617">
                  <c:v>16394.56472260685</c:v>
                </c:pt>
                <c:pt idx="618">
                  <c:v>18271.252413561462</c:v>
                </c:pt>
                <c:pt idx="619">
                  <c:v>20232.618585536773</c:v>
                </c:pt>
                <c:pt idx="620">
                  <c:v>22261.335868923044</c:v>
                </c:pt>
                <c:pt idx="621">
                  <c:v>24336.924801363723</c:v>
                </c:pt>
                <c:pt idx="622">
                  <c:v>26435.986941088868</c:v>
                </c:pt>
                <c:pt idx="623">
                  <c:v>28532.557922815526</c:v>
                </c:pt>
                <c:pt idx="624">
                  <c:v>30598.577495791487</c:v>
                </c:pt>
                <c:pt idx="625">
                  <c:v>32604.467880733602</c:v>
                </c:pt>
                <c:pt idx="626">
                  <c:v>34519.806048924409</c:v>
                </c:pt>
                <c:pt idx="627">
                  <c:v>36314.070100896446</c:v>
                </c:pt>
                <c:pt idx="628">
                  <c:v>37957.435148682773</c:v>
                </c:pt>
                <c:pt idx="629">
                  <c:v>39421.590311262298</c:v>
                </c:pt>
                <c:pt idx="630">
                  <c:v>40680.545901515012</c:v>
                </c:pt>
                <c:pt idx="631">
                  <c:v>41711.398832846644</c:v>
                </c:pt>
                <c:pt idx="632">
                  <c:v>42495.024837721976</c:v>
                </c:pt>
                <c:pt idx="633">
                  <c:v>43016.66830308894</c:v>
                </c:pt>
                <c:pt idx="634">
                  <c:v>43266.40431830383</c:v>
                </c:pt>
                <c:pt idx="635">
                  <c:v>43239.452725027091</c:v>
                </c:pt>
                <c:pt idx="636">
                  <c:v>42936.330286504664</c:v>
                </c:pt>
                <c:pt idx="637">
                  <c:v>42362.834208929584</c:v>
                </c:pt>
                <c:pt idx="638">
                  <c:v>41529.857748981689</c:v>
                </c:pt>
                <c:pt idx="639">
                  <c:v>40453.046101089662</c:v>
                </c:pt>
                <c:pt idx="640">
                  <c:v>39152.30775029197</c:v>
                </c:pt>
                <c:pt idx="641">
                  <c:v>37651.202609115629</c:v>
                </c:pt>
                <c:pt idx="642">
                  <c:v>35976.233196336267</c:v>
                </c:pt>
                <c:pt idx="643">
                  <c:v>34156.068609948321</c:v>
                </c:pt>
                <c:pt idx="644">
                  <c:v>32220.732941209513</c:v>
                </c:pt>
                <c:pt idx="645">
                  <c:v>30200.790021047142</c:v>
                </c:pt>
                <c:pt idx="646">
                  <c:v>28126.555038775507</c:v>
                </c:pt>
                <c:pt idx="647">
                  <c:v>26027.360776844878</c:v>
                </c:pt>
                <c:pt idx="648">
                  <c:v>23930.902196787218</c:v>
                </c:pt>
                <c:pt idx="649">
                  <c:v>21862.678184780631</c:v>
                </c:pt>
                <c:pt idx="650">
                  <c:v>19845.543752499103</c:v>
                </c:pt>
                <c:pt idx="651">
                  <c:v>17899.380235497163</c:v>
                </c:pt>
                <c:pt idx="652">
                  <c:v>16040.885371695753</c:v>
                </c:pt>
                <c:pt idx="653">
                  <c:v>14283.479878479773</c:v>
                </c:pt>
                <c:pt idx="654">
                  <c:v>12637.322530435957</c:v>
                </c:pt>
                <c:pt idx="655">
                  <c:v>11109.421960525717</c:v>
                </c:pt>
                <c:pt idx="656">
                  <c:v>9703.8305862156049</c:v>
                </c:pt>
                <c:pt idx="657">
                  <c:v>8421.9042494770274</c:v>
                </c:pt>
                <c:pt idx="658">
                  <c:v>7262.6103403857624</c:v>
                </c:pt>
                <c:pt idx="659">
                  <c:v>6222.8672755132429</c:v>
                </c:pt>
                <c:pt idx="660">
                  <c:v>5297.8991055847055</c:v>
                </c:pt>
                <c:pt idx="661">
                  <c:v>4481.5905805552848</c:v>
                </c:pt>
                <c:pt idx="662">
                  <c:v>3766.8300343349256</c:v>
                </c:pt>
                <c:pt idx="663">
                  <c:v>3145.8297908482159</c:v>
                </c:pt>
                <c:pt idx="664">
                  <c:v>2610.4162699034846</c:v>
                </c:pt>
                <c:pt idx="665">
                  <c:v>2152.2844342336612</c:v>
                </c:pt>
                <c:pt idx="666">
                  <c:v>1763.2135408252989</c:v>
                </c:pt>
                <c:pt idx="667">
                  <c:v>1435.2432414500788</c:v>
                </c:pt>
                <c:pt idx="668">
                  <c:v>1160.8108504749425</c:v>
                </c:pt>
                <c:pt idx="669">
                  <c:v>932.85202336582654</c:v>
                </c:pt>
                <c:pt idx="670">
                  <c:v>744.86815454010184</c:v>
                </c:pt>
                <c:pt idx="671">
                  <c:v>590.96451900743989</c:v>
                </c:pt>
                <c:pt idx="672">
                  <c:v>465.86357727793876</c:v>
                </c:pt>
                <c:pt idx="673">
                  <c:v>364.89797889078449</c:v>
                </c:pt>
                <c:pt idx="674">
                  <c:v>283.98768598894685</c:v>
                </c:pt>
                <c:pt idx="675">
                  <c:v>219.60534715319406</c:v>
                </c:pt>
                <c:pt idx="676">
                  <c:v>168.7336349709071</c:v>
                </c:pt>
                <c:pt idx="677">
                  <c:v>128.81776649314918</c:v>
                </c:pt>
                <c:pt idx="678">
                  <c:v>97.715895794462952</c:v>
                </c:pt>
                <c:pt idx="679">
                  <c:v>73.649536998133513</c:v>
                </c:pt>
                <c:pt idx="680">
                  <c:v>55.155671289368414</c:v>
                </c:pt>
                <c:pt idx="681">
                  <c:v>41.041731875423608</c:v>
                </c:pt>
                <c:pt idx="682">
                  <c:v>30.344258776502127</c:v>
                </c:pt>
                <c:pt idx="683">
                  <c:v>22.291676833850719</c:v>
                </c:pt>
                <c:pt idx="684">
                  <c:v>16.271376484573448</c:v>
                </c:pt>
                <c:pt idx="685">
                  <c:v>11.801064925392193</c:v>
                </c:pt>
                <c:pt idx="686">
                  <c:v>8.5041998186375078</c:v>
                </c:pt>
                <c:pt idx="687">
                  <c:v>6.0892115540686227</c:v>
                </c:pt>
                <c:pt idx="688">
                  <c:v>4.3321553302945066</c:v>
                </c:pt>
                <c:pt idx="689">
                  <c:v>3.0624029014348189</c:v>
                </c:pt>
                <c:pt idx="690">
                  <c:v>2.1509780848281372</c:v>
                </c:pt>
                <c:pt idx="691">
                  <c:v>1.5011531230110093</c:v>
                </c:pt>
                <c:pt idx="692">
                  <c:v>1.0409487620047069</c:v>
                </c:pt>
                <c:pt idx="693">
                  <c:v>0.71721450201476722</c:v>
                </c:pt>
                <c:pt idx="694">
                  <c:v>0.49100297345429639</c:v>
                </c:pt>
                <c:pt idx="695">
                  <c:v>0.33399082179924983</c:v>
                </c:pt>
                <c:pt idx="696">
                  <c:v>0.22573572342230214</c:v>
                </c:pt>
                <c:pt idx="697">
                  <c:v>0.15159378764171241</c:v>
                </c:pt>
                <c:pt idx="698">
                  <c:v>0.10115278992430132</c:v>
                </c:pt>
                <c:pt idx="699">
                  <c:v>6.7064034665398314E-2</c:v>
                </c:pt>
                <c:pt idx="700">
                  <c:v>4.4179097527504624E-2</c:v>
                </c:pt>
                <c:pt idx="701">
                  <c:v>2.8917407354837721E-2</c:v>
                </c:pt>
                <c:pt idx="702">
                  <c:v>1.880690003478273E-2</c:v>
                </c:pt>
                <c:pt idx="703">
                  <c:v>1.2153193980178058E-2</c:v>
                </c:pt>
                <c:pt idx="704">
                  <c:v>7.8033124008805958E-3</c:v>
                </c:pt>
                <c:pt idx="705">
                  <c:v>4.9783211404863664E-3</c:v>
                </c:pt>
                <c:pt idx="706">
                  <c:v>3.1557469675477065E-3</c:v>
                </c:pt>
                <c:pt idx="707">
                  <c:v>1.9876357021958381E-3</c:v>
                </c:pt>
                <c:pt idx="708">
                  <c:v>1.2439036863862445E-3</c:v>
                </c:pt>
                <c:pt idx="709">
                  <c:v>7.7348531210334227E-4</c:v>
                </c:pt>
                <c:pt idx="710">
                  <c:v>4.7789527644349683E-4</c:v>
                </c:pt>
                <c:pt idx="711">
                  <c:v>2.9337881841652759E-4</c:v>
                </c:pt>
                <c:pt idx="712">
                  <c:v>1.789534694792578E-4</c:v>
                </c:pt>
                <c:pt idx="713">
                  <c:v>1.0845931089649472E-4</c:v>
                </c:pt>
                <c:pt idx="714">
                  <c:v>6.5314395134309378E-5</c:v>
                </c:pt>
                <c:pt idx="715">
                  <c:v>3.9081059421521537E-5</c:v>
                </c:pt>
                <c:pt idx="716">
                  <c:v>2.3234808508209175E-5</c:v>
                </c:pt>
                <c:pt idx="717">
                  <c:v>1.3725469761711326E-5</c:v>
                </c:pt>
                <c:pt idx="718">
                  <c:v>8.0562083154071677E-6</c:v>
                </c:pt>
                <c:pt idx="719">
                  <c:v>4.6983948113965441E-6</c:v>
                </c:pt>
                <c:pt idx="720">
                  <c:v>2.7225989915755799E-6</c:v>
                </c:pt>
                <c:pt idx="721">
                  <c:v>1.5675925862086878E-6</c:v>
                </c:pt>
                <c:pt idx="722">
                  <c:v>8.9680510713369582E-7</c:v>
                </c:pt>
                <c:pt idx="723">
                  <c:v>5.0977472052240785E-7</c:v>
                </c:pt>
                <c:pt idx="724">
                  <c:v>2.8792134873422173E-7</c:v>
                </c:pt>
                <c:pt idx="725">
                  <c:v>1.6157895361758179E-7</c:v>
                </c:pt>
                <c:pt idx="726">
                  <c:v>9.0097152418507291E-8</c:v>
                </c:pt>
                <c:pt idx="727">
                  <c:v>4.9917484202425706E-8</c:v>
                </c:pt>
                <c:pt idx="728">
                  <c:v>2.7479552987614163E-8</c:v>
                </c:pt>
                <c:pt idx="729">
                  <c:v>1.5030796284085767E-8</c:v>
                </c:pt>
                <c:pt idx="730">
                  <c:v>8.1690144483805895E-9</c:v>
                </c:pt>
                <c:pt idx="731">
                  <c:v>4.411361921410672E-9</c:v>
                </c:pt>
                <c:pt idx="732">
                  <c:v>2.3669608048048259E-9</c:v>
                </c:pt>
                <c:pt idx="733">
                  <c:v>1.2618995722166049E-9</c:v>
                </c:pt>
                <c:pt idx="734">
                  <c:v>6.6845760764099886E-10</c:v>
                </c:pt>
                <c:pt idx="735">
                  <c:v>3.5183439865308079E-10</c:v>
                </c:pt>
                <c:pt idx="736">
                  <c:v>1.8400010717693582E-10</c:v>
                </c:pt>
                <c:pt idx="737">
                  <c:v>9.561217648919072E-11</c:v>
                </c:pt>
                <c:pt idx="738">
                  <c:v>4.9365516282957972E-11</c:v>
                </c:pt>
                <c:pt idx="739">
                  <c:v>2.5325003423637855E-11</c:v>
                </c:pt>
                <c:pt idx="740">
                  <c:v>1.2908943278655268E-11</c:v>
                </c:pt>
                <c:pt idx="741">
                  <c:v>6.5380347230907464E-12</c:v>
                </c:pt>
                <c:pt idx="742">
                  <c:v>3.2901757978651789E-12</c:v>
                </c:pt>
                <c:pt idx="743">
                  <c:v>1.6451531544151259E-12</c:v>
                </c:pt>
                <c:pt idx="744">
                  <c:v>8.1735159800130047E-13</c:v>
                </c:pt>
                <c:pt idx="745">
                  <c:v>4.0348449276398575E-13</c:v>
                </c:pt>
                <c:pt idx="746">
                  <c:v>1.9790653285358966E-13</c:v>
                </c:pt>
                <c:pt idx="747">
                  <c:v>9.6451450503380006E-14</c:v>
                </c:pt>
                <c:pt idx="748">
                  <c:v>4.6706007692692516E-14</c:v>
                </c:pt>
                <c:pt idx="749">
                  <c:v>2.2472535762104844E-14</c:v>
                </c:pt>
                <c:pt idx="750">
                  <c:v>1.0743524148991574E-14</c:v>
                </c:pt>
                <c:pt idx="751">
                  <c:v>5.1033669756616402E-15</c:v>
                </c:pt>
                <c:pt idx="752">
                  <c:v>2.4086970677646774E-15</c:v>
                </c:pt>
                <c:pt idx="753">
                  <c:v>1.1295954110174297E-15</c:v>
                </c:pt>
                <c:pt idx="754">
                  <c:v>5.2635530600886691E-16</c:v>
                </c:pt>
                <c:pt idx="755">
                  <c:v>2.4369714515917223E-16</c:v>
                </c:pt>
                <c:pt idx="756">
                  <c:v>1.1210816094386379E-16</c:v>
                </c:pt>
                <c:pt idx="757">
                  <c:v>5.124356849821463E-17</c:v>
                </c:pt>
                <c:pt idx="758">
                  <c:v>2.3273240269673098E-17</c:v>
                </c:pt>
                <c:pt idx="759">
                  <c:v>1.0502427475092266E-17</c:v>
                </c:pt>
                <c:pt idx="760">
                  <c:v>4.7090996386913569E-18</c:v>
                </c:pt>
                <c:pt idx="761">
                  <c:v>2.0979803615179493E-18</c:v>
                </c:pt>
                <c:pt idx="762">
                  <c:v>9.2871039787195908E-19</c:v>
                </c:pt>
                <c:pt idx="763">
                  <c:v>4.0848352738052284E-19</c:v>
                </c:pt>
                <c:pt idx="764">
                  <c:v>1.7851887362408561E-19</c:v>
                </c:pt>
                <c:pt idx="765">
                  <c:v>7.7519163675353854E-20</c:v>
                </c:pt>
                <c:pt idx="766">
                  <c:v>3.3446399256968065E-20</c:v>
                </c:pt>
                <c:pt idx="767">
                  <c:v>1.4338542609875368E-20</c:v>
                </c:pt>
                <c:pt idx="768">
                  <c:v>6.1076761783631543E-21</c:v>
                </c:pt>
                <c:pt idx="769">
                  <c:v>2.5850107032074852E-21</c:v>
                </c:pt>
                <c:pt idx="770">
                  <c:v>1.0870863397432142E-21</c:v>
                </c:pt>
                <c:pt idx="771">
                  <c:v>4.5423550938941909E-22</c:v>
                </c:pt>
                <c:pt idx="772">
                  <c:v>1.8858774842281745E-22</c:v>
                </c:pt>
                <c:pt idx="773">
                  <c:v>7.7796707919247803E-23</c:v>
                </c:pt>
                <c:pt idx="774">
                  <c:v>3.1887782134199522E-23</c:v>
                </c:pt>
                <c:pt idx="775">
                  <c:v>1.2986818145919021E-23</c:v>
                </c:pt>
                <c:pt idx="776">
                  <c:v>5.2552884042495285E-24</c:v>
                </c:pt>
                <c:pt idx="777">
                  <c:v>2.1130301821615757E-24</c:v>
                </c:pt>
                <c:pt idx="778">
                  <c:v>8.4417054932041827E-25</c:v>
                </c:pt>
                <c:pt idx="779">
                  <c:v>3.350966171171781E-25</c:v>
                </c:pt>
                <c:pt idx="780">
                  <c:v>1.3216767209864707E-25</c:v>
                </c:pt>
                <c:pt idx="781">
                  <c:v>5.1795948257404194E-26</c:v>
                </c:pt>
                <c:pt idx="782">
                  <c:v>2.0168875558856561E-26</c:v>
                </c:pt>
                <c:pt idx="783">
                  <c:v>7.8033832106779513E-27</c:v>
                </c:pt>
                <c:pt idx="784">
                  <c:v>2.9998499610544981E-27</c:v>
                </c:pt>
                <c:pt idx="785">
                  <c:v>1.1458597993576267E-27</c:v>
                </c:pt>
                <c:pt idx="786">
                  <c:v>4.3488936061607611E-28</c:v>
                </c:pt>
                <c:pt idx="787">
                  <c:v>1.6399908809526508E-28</c:v>
                </c:pt>
                <c:pt idx="788">
                  <c:v>6.1449652864484555E-29</c:v>
                </c:pt>
                <c:pt idx="789">
                  <c:v>2.2877722348587078E-29</c:v>
                </c:pt>
                <c:pt idx="790">
                  <c:v>8.4629443772862677E-30</c:v>
                </c:pt>
                <c:pt idx="791">
                  <c:v>3.1106098181740099E-30</c:v>
                </c:pt>
                <c:pt idx="792">
                  <c:v>1.1360172887813685E-30</c:v>
                </c:pt>
                <c:pt idx="793">
                  <c:v>4.1223009430607821E-31</c:v>
                </c:pt>
                <c:pt idx="794">
                  <c:v>1.4863113593331496E-31</c:v>
                </c:pt>
                <c:pt idx="795">
                  <c:v>5.3247013062159333E-32</c:v>
                </c:pt>
                <c:pt idx="796">
                  <c:v>1.8953789576213359E-32</c:v>
                </c:pt>
                <c:pt idx="797">
                  <c:v>6.703663550099657E-33</c:v>
                </c:pt>
                <c:pt idx="798">
                  <c:v>2.3558287330812182E-33</c:v>
                </c:pt>
                <c:pt idx="799">
                  <c:v>8.2260353187826268E-34</c:v>
                </c:pt>
                <c:pt idx="800">
                  <c:v>2.8539921597088391E-34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'Fatores de forma'!$AH$1:$AH$2</c:f>
              <c:strCache>
                <c:ptCount val="1"/>
                <c:pt idx="0">
                  <c:v>(Ba(1−x)Cax)TiO3, t = 10nm , x = 0,75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forma'!$AH$3:$AH$803</c:f>
              <c:numCache>
                <c:formatCode>0.00000</c:formatCode>
                <c:ptCount val="801"/>
                <c:pt idx="0">
                  <c:v>1.6307830772218648</c:v>
                </c:pt>
                <c:pt idx="1">
                  <c:v>2.4398906075624889</c:v>
                </c:pt>
                <c:pt idx="2">
                  <c:v>3.6227509570425664</c:v>
                </c:pt>
                <c:pt idx="3">
                  <c:v>5.3382704208782039</c:v>
                </c:pt>
                <c:pt idx="4">
                  <c:v>7.8065047060393562</c:v>
                </c:pt>
                <c:pt idx="5">
                  <c:v>11.329393133021727</c:v>
                </c:pt>
                <c:pt idx="6">
                  <c:v>16.317387761269845</c:v>
                </c:pt>
                <c:pt idx="7">
                  <c:v>23.32322417292341</c:v>
                </c:pt>
                <c:pt idx="8">
                  <c:v>33.08418987009334</c:v>
                </c:pt>
                <c:pt idx="9">
                  <c:v>46.574305563173723</c:v>
                </c:pt>
                <c:pt idx="10">
                  <c:v>65.067817109251081</c:v>
                </c:pt>
                <c:pt idx="11">
                  <c:v>90.215269742829719</c:v>
                </c:pt>
                <c:pt idx="12">
                  <c:v>124.13316602912766</c:v>
                </c:pt>
                <c:pt idx="13">
                  <c:v>169.50775736478357</c:v>
                </c:pt>
                <c:pt idx="14">
                  <c:v>229.7128496866905</c:v>
                </c:pt>
                <c:pt idx="15">
                  <c:v>308.94058629405254</c:v>
                </c:pt>
                <c:pt idx="16">
                  <c:v>412.34298346716724</c:v>
                </c:pt>
                <c:pt idx="17">
                  <c:v>546.18053303503996</c:v>
                </c:pt>
                <c:pt idx="18">
                  <c:v>717.97246775395058</c:v>
                </c:pt>
                <c:pt idx="19">
                  <c:v>936.64135656766632</c:v>
                </c:pt>
                <c:pt idx="20">
                  <c:v>1212.6426380096082</c:v>
                </c:pt>
                <c:pt idx="21">
                  <c:v>1558.0676297148696</c:v>
                </c:pt>
                <c:pt idx="22">
                  <c:v>1986.7066279635319</c:v>
                </c:pt>
                <c:pt idx="23">
                  <c:v>2514.0571277328772</c:v>
                </c:pt>
                <c:pt idx="24">
                  <c:v>3157.2611747359538</c:v>
                </c:pt>
                <c:pt idx="25">
                  <c:v>3934.9556473552207</c:v>
                </c:pt>
                <c:pt idx="26">
                  <c:v>4867.020098681217</c:v>
                </c:pt>
                <c:pt idx="27">
                  <c:v>5974.2088842852891</c:v>
                </c:pt>
                <c:pt idx="28">
                  <c:v>7277.6578274938638</c:v>
                </c:pt>
                <c:pt idx="29">
                  <c:v>8798.2607203532534</c:v>
                </c:pt>
                <c:pt idx="30">
                  <c:v>10555.917508985218</c:v>
                </c:pt>
                <c:pt idx="31">
                  <c:v>12568.663920821818</c:v>
                </c:pt>
                <c:pt idx="32">
                  <c:v>14851.701266354094</c:v>
                </c:pt>
                <c:pt idx="33">
                  <c:v>17416.354745863071</c:v>
                </c:pt>
                <c:pt idx="34">
                  <c:v>20268.998224920932</c:v>
                </c:pt>
                <c:pt idx="35">
                  <c:v>23409.992404630404</c:v>
                </c:pt>
                <c:pt idx="36">
                  <c:v>26832.690818233492</c:v>
                </c:pt>
                <c:pt idx="37">
                  <c:v>30522.573326818274</c:v>
                </c:pt>
                <c:pt idx="38">
                  <c:v>34456.569001070282</c:v>
                </c:pt>
                <c:pt idx="39">
                  <c:v>38602.628822444582</c:v>
                </c:pt>
                <c:pt idx="40">
                  <c:v>42919.603072444239</c:v>
                </c:pt>
                <c:pt idx="41">
                  <c:v>47357.468425920735</c:v>
                </c:pt>
                <c:pt idx="42">
                  <c:v>51857.935765982635</c:v>
                </c:pt>
                <c:pt idx="43">
                  <c:v>56355.452085930956</c:v>
                </c:pt>
                <c:pt idx="44">
                  <c:v>60778.589378698212</c:v>
                </c:pt>
                <c:pt idx="45">
                  <c:v>65051.791293876595</c:v>
                </c:pt>
                <c:pt idx="46">
                  <c:v>69097.425973417208</c:v>
                </c:pt>
                <c:pt idx="47">
                  <c:v>72838.072418657583</c:v>
                </c:pt>
                <c:pt idx="48">
                  <c:v>76198.949584381669</c:v>
                </c:pt>
                <c:pt idx="49">
                  <c:v>79110.383628719472</c:v>
                </c:pt>
                <c:pt idx="50">
                  <c:v>81510.20062223867</c:v>
                </c:pt>
                <c:pt idx="51">
                  <c:v>83345.930427525265</c:v>
                </c:pt>
                <c:pt idx="52">
                  <c:v>84576.71283794551</c:v>
                </c:pt>
                <c:pt idx="53">
                  <c:v>85174.809331711076</c:v>
                </c:pt>
                <c:pt idx="54">
                  <c:v>85126.642345053711</c:v>
                </c:pt>
                <c:pt idx="55">
                  <c:v>84433.307689246489</c:v>
                </c:pt>
                <c:pt idx="56">
                  <c:v>83110.533105655937</c:v>
                </c:pt>
                <c:pt idx="57">
                  <c:v>81188.085147785619</c:v>
                </c:pt>
                <c:pt idx="58">
                  <c:v>78708.655625778149</c:v>
                </c:pt>
                <c:pt idx="59">
                  <c:v>75726.285785724191</c:v>
                </c:pt>
                <c:pt idx="60">
                  <c:v>72304.409435736714</c:v>
                </c:pt>
                <c:pt idx="61">
                  <c:v>68513.613903750185</c:v>
                </c:pt>
                <c:pt idx="62">
                  <c:v>64429.22898132859</c:v>
                </c:pt>
                <c:pt idx="63">
                  <c:v>60128.858341526953</c:v>
                </c:pt>
                <c:pt idx="64">
                  <c:v>55689.965316324997</c:v>
                </c:pt>
                <c:pt idx="65">
                  <c:v>51187.615888914086</c:v>
                </c:pt>
                <c:pt idx="66">
                  <c:v>46692.467250407368</c:v>
                </c:pt>
                <c:pt idx="67">
                  <c:v>42269.071584191239</c:v>
                </c:pt>
                <c:pt idx="68">
                  <c:v>37974.543386592326</c:v>
                </c:pt>
                <c:pt idx="69">
                  <c:v>33857.61620426739</c:v>
                </c:pt>
                <c:pt idx="70">
                  <c:v>29958.092710444889</c:v>
                </c:pt>
                <c:pt idx="71">
                  <c:v>26306.671929084318</c:v>
                </c:pt>
                <c:pt idx="72">
                  <c:v>22925.120261918713</c:v>
                </c:pt>
                <c:pt idx="73">
                  <c:v>19826.739568622786</c:v>
                </c:pt>
                <c:pt idx="74">
                  <c:v>17017.076334042606</c:v>
                </c:pt>
                <c:pt idx="75">
                  <c:v>14494.81102105289</c:v>
                </c:pt>
                <c:pt idx="76">
                  <c:v>12252.765832790201</c:v>
                </c:pt>
                <c:pt idx="77">
                  <c:v>10278.971816431391</c:v>
                </c:pt>
                <c:pt idx="78">
                  <c:v>8557.7418684985951</c:v>
                </c:pt>
                <c:pt idx="79">
                  <c:v>7070.7039750879412</c:v>
                </c:pt>
                <c:pt idx="80">
                  <c:v>5797.7581306807515</c:v>
                </c:pt>
                <c:pt idx="81">
                  <c:v>4717.9300494298423</c:v>
                </c:pt>
                <c:pt idx="82">
                  <c:v>3810.1043219693511</c:v>
                </c:pt>
                <c:pt idx="83">
                  <c:v>3053.628511875766</c:v>
                </c:pt>
                <c:pt idx="84">
                  <c:v>2428.787407639717</c:v>
                </c:pt>
                <c:pt idx="85">
                  <c:v>1917.1529788425314</c:v>
                </c:pt>
                <c:pt idx="86">
                  <c:v>1501.8204038823189</c:v>
                </c:pt>
                <c:pt idx="87">
                  <c:v>1167.5438422264992</c:v>
                </c:pt>
                <c:pt idx="88">
                  <c:v>900.78751974598856</c:v>
                </c:pt>
                <c:pt idx="89">
                  <c:v>689.70835796593951</c:v>
                </c:pt>
                <c:pt idx="90">
                  <c:v>524.08602934214684</c:v>
                </c:pt>
                <c:pt idx="91">
                  <c:v>395.2152027824946</c:v>
                </c:pt>
                <c:pt idx="92">
                  <c:v>295.77309601033824</c:v>
                </c:pt>
                <c:pt idx="93">
                  <c:v>219.67349412053937</c:v>
                </c:pt>
                <c:pt idx="94">
                  <c:v>161.91631605492199</c:v>
                </c:pt>
                <c:pt idx="95">
                  <c:v>118.43976468712457</c:v>
                </c:pt>
                <c:pt idx="96">
                  <c:v>85.980194490050138</c:v>
                </c:pt>
                <c:pt idx="97">
                  <c:v>61.943148464281037</c:v>
                </c:pt>
                <c:pt idx="98">
                  <c:v>44.287594746062616</c:v>
                </c:pt>
                <c:pt idx="99">
                  <c:v>31.424246903849568</c:v>
                </c:pt>
                <c:pt idx="100">
                  <c:v>22.127972750713226</c:v>
                </c:pt>
                <c:pt idx="101">
                  <c:v>15.463661807945771</c:v>
                </c:pt>
                <c:pt idx="102">
                  <c:v>10.724499263008726</c:v>
                </c:pt>
                <c:pt idx="103">
                  <c:v>7.3813478118649796</c:v>
                </c:pt>
                <c:pt idx="104">
                  <c:v>5.0418309707833888</c:v>
                </c:pt>
                <c:pt idx="105">
                  <c:v>3.4177072449262105</c:v>
                </c:pt>
                <c:pt idx="106">
                  <c:v>2.2991928590428414</c:v>
                </c:pt>
                <c:pt idx="107">
                  <c:v>1.5350054097966066</c:v>
                </c:pt>
                <c:pt idx="108">
                  <c:v>1.01704082063873</c:v>
                </c:pt>
                <c:pt idx="109">
                  <c:v>0.66874542504368761</c:v>
                </c:pt>
                <c:pt idx="110">
                  <c:v>0.43639245084843936</c:v>
                </c:pt>
                <c:pt idx="111">
                  <c:v>0.28261004865017419</c:v>
                </c:pt>
                <c:pt idx="112">
                  <c:v>0.18163182056966248</c:v>
                </c:pt>
                <c:pt idx="113">
                  <c:v>0.11584845277168729</c:v>
                </c:pt>
                <c:pt idx="114">
                  <c:v>7.3330138501829609E-2</c:v>
                </c:pt>
                <c:pt idx="115">
                  <c:v>4.6064752087064419E-2</c:v>
                </c:pt>
                <c:pt idx="116">
                  <c:v>2.8717652546958843E-2</c:v>
                </c:pt>
                <c:pt idx="117">
                  <c:v>1.7767368129068883E-2</c:v>
                </c:pt>
                <c:pt idx="118">
                  <c:v>1.0909157964311775E-2</c:v>
                </c:pt>
                <c:pt idx="119">
                  <c:v>6.6474231551612983E-3</c:v>
                </c:pt>
                <c:pt idx="120">
                  <c:v>4.0198457285145206E-3</c:v>
                </c:pt>
                <c:pt idx="121">
                  <c:v>2.4124560635862516E-3</c:v>
                </c:pt>
                <c:pt idx="122">
                  <c:v>1.4368234402511088E-3</c:v>
                </c:pt>
                <c:pt idx="123">
                  <c:v>8.49261354140802E-4</c:v>
                </c:pt>
                <c:pt idx="124">
                  <c:v>4.9816508390711396E-4</c:v>
                </c:pt>
                <c:pt idx="125">
                  <c:v>2.9000078491634384E-4</c:v>
                </c:pt>
                <c:pt idx="126">
                  <c:v>1.6754019919572831E-4</c:v>
                </c:pt>
                <c:pt idx="127">
                  <c:v>9.6057846733429105E-5</c:v>
                </c:pt>
                <c:pt idx="128">
                  <c:v>5.4656350828013084E-5</c:v>
                </c:pt>
                <c:pt idx="129">
                  <c:v>3.0863301618968617E-5</c:v>
                </c:pt>
                <c:pt idx="130">
                  <c:v>1.7295698238475383E-5</c:v>
                </c:pt>
                <c:pt idx="131">
                  <c:v>9.6189525280039941E-6</c:v>
                </c:pt>
                <c:pt idx="132">
                  <c:v>5.3089841529779957E-6</c:v>
                </c:pt>
                <c:pt idx="133">
                  <c:v>2.9079641133393791E-6</c:v>
                </c:pt>
                <c:pt idx="134">
                  <c:v>1.5807406584505739E-6</c:v>
                </c:pt>
                <c:pt idx="135">
                  <c:v>8.5275874064534673E-7</c:v>
                </c:pt>
                <c:pt idx="136">
                  <c:v>4.565472561169349E-7</c:v>
                </c:pt>
                <c:pt idx="137">
                  <c:v>2.4257129769924039E-7</c:v>
                </c:pt>
                <c:pt idx="138">
                  <c:v>1.2790504804172635E-7</c:v>
                </c:pt>
                <c:pt idx="139">
                  <c:v>6.6931810293548723E-8</c:v>
                </c:pt>
                <c:pt idx="140">
                  <c:v>3.4760217827316854E-8</c:v>
                </c:pt>
                <c:pt idx="141">
                  <c:v>1.7917303198340062E-8</c:v>
                </c:pt>
                <c:pt idx="142">
                  <c:v>9.1695964692785294E-9</c:v>
                </c:pt>
                <c:pt idx="143">
                  <c:v>4.6658390343031653E-9</c:v>
                </c:pt>
                <c:pt idx="144">
                  <c:v>2.3744265859872868E-9</c:v>
                </c:pt>
                <c:pt idx="145">
                  <c:v>1.2373306919093159E-9</c:v>
                </c:pt>
                <c:pt idx="146">
                  <c:v>7.1837789484248112E-10</c:v>
                </c:pt>
                <c:pt idx="147">
                  <c:v>5.69237046669785E-10</c:v>
                </c:pt>
                <c:pt idx="148">
                  <c:v>7.1945239135500469E-10</c:v>
                </c:pt>
                <c:pt idx="149">
                  <c:v>1.2458889740502747E-9</c:v>
                </c:pt>
                <c:pt idx="150">
                  <c:v>2.4095932959412505E-9</c:v>
                </c:pt>
                <c:pt idx="151">
                  <c:v>4.7765310902817881E-9</c:v>
                </c:pt>
                <c:pt idx="152">
                  <c:v>9.4739154417809991E-9</c:v>
                </c:pt>
                <c:pt idx="153">
                  <c:v>1.8689414628037567E-8</c:v>
                </c:pt>
                <c:pt idx="154">
                  <c:v>3.6617204932070246E-8</c:v>
                </c:pt>
                <c:pt idx="155">
                  <c:v>7.1227607612963225E-8</c:v>
                </c:pt>
                <c:pt idx="156">
                  <c:v>1.3754649052940325E-7</c:v>
                </c:pt>
                <c:pt idx="157">
                  <c:v>2.6368180000042659E-7</c:v>
                </c:pt>
                <c:pt idx="158">
                  <c:v>5.0180877753574948E-7</c:v>
                </c:pt>
                <c:pt idx="159">
                  <c:v>9.4803272333718018E-7</c:v>
                </c:pt>
                <c:pt idx="160">
                  <c:v>1.7780143569596019E-6</c:v>
                </c:pt>
                <c:pt idx="161">
                  <c:v>3.310350902325954E-6</c:v>
                </c:pt>
                <c:pt idx="162">
                  <c:v>6.1184248144617331E-6</c:v>
                </c:pt>
                <c:pt idx="163">
                  <c:v>1.1226181217133146E-5</c:v>
                </c:pt>
                <c:pt idx="164">
                  <c:v>2.0448021555329202E-5</c:v>
                </c:pt>
                <c:pt idx="165">
                  <c:v>3.6974079013488191E-5</c:v>
                </c:pt>
                <c:pt idx="166">
                  <c:v>6.6369762034458105E-5</c:v>
                </c:pt>
                <c:pt idx="167">
                  <c:v>1.1826874296509618E-4</c:v>
                </c:pt>
                <c:pt idx="168">
                  <c:v>2.0921678597352601E-4</c:v>
                </c:pt>
                <c:pt idx="169">
                  <c:v>3.6740908937563126E-4</c:v>
                </c:pt>
                <c:pt idx="170">
                  <c:v>6.4051615963672706E-4</c:v>
                </c:pt>
                <c:pt idx="171">
                  <c:v>1.1085036075190288E-3</c:v>
                </c:pt>
                <c:pt idx="172">
                  <c:v>1.9044560531426423E-3</c:v>
                </c:pt>
                <c:pt idx="173">
                  <c:v>3.2481167033821955E-3</c:v>
                </c:pt>
                <c:pt idx="174">
                  <c:v>5.4994482431927052E-3</c:v>
                </c:pt>
                <c:pt idx="175">
                  <c:v>9.243435993163138E-3</c:v>
                </c:pt>
                <c:pt idx="176">
                  <c:v>1.5423203263899902E-2</c:v>
                </c:pt>
                <c:pt idx="177">
                  <c:v>2.5547155475699638E-2</c:v>
                </c:pt>
                <c:pt idx="178">
                  <c:v>4.2008516469671402E-2</c:v>
                </c:pt>
                <c:pt idx="179">
                  <c:v>6.8573917909939497E-2</c:v>
                </c:pt>
                <c:pt idx="180">
                  <c:v>0.11112388249042283</c:v>
                </c:pt>
                <c:pt idx="181">
                  <c:v>0.17876507470911771</c:v>
                </c:pt>
                <c:pt idx="182">
                  <c:v>0.2854859685187332</c:v>
                </c:pt>
                <c:pt idx="183">
                  <c:v>0.45259909960751898</c:v>
                </c:pt>
                <c:pt idx="184">
                  <c:v>0.71231063471733724</c:v>
                </c:pt>
                <c:pt idx="185">
                  <c:v>1.1128893744758452</c:v>
                </c:pt>
                <c:pt idx="186">
                  <c:v>1.7260818596118497</c:v>
                </c:pt>
                <c:pt idx="187">
                  <c:v>2.657648896938317</c:v>
                </c:pt>
                <c:pt idx="188">
                  <c:v>4.06219388133173</c:v>
                </c:pt>
                <c:pt idx="189">
                  <c:v>6.163828046351604</c:v>
                </c:pt>
                <c:pt idx="190">
                  <c:v>9.2846856905557935</c:v>
                </c:pt>
                <c:pt idx="191">
                  <c:v>13.883875896958637</c:v>
                </c:pt>
                <c:pt idx="192">
                  <c:v>20.610145819465078</c:v>
                </c:pt>
                <c:pt idx="193">
                  <c:v>30.372338454013025</c:v>
                </c:pt>
                <c:pt idx="194">
                  <c:v>44.432650639528916</c:v>
                </c:pt>
                <c:pt idx="195">
                  <c:v>64.528718138795583</c:v>
                </c:pt>
                <c:pt idx="196">
                  <c:v>93.03164039436237</c:v>
                </c:pt>
                <c:pt idx="197">
                  <c:v>133.14815241368828</c:v>
                </c:pt>
                <c:pt idx="198">
                  <c:v>189.17617277411415</c:v>
                </c:pt>
                <c:pt idx="199">
                  <c:v>266.82379105896337</c:v>
                </c:pt>
                <c:pt idx="200">
                  <c:v>373.60225646104652</c:v>
                </c:pt>
                <c:pt idx="201">
                  <c:v>519.30350716410237</c:v>
                </c:pt>
                <c:pt idx="202">
                  <c:v>716.57201884463132</c:v>
                </c:pt>
                <c:pt idx="203">
                  <c:v>981.57900412716651</c:v>
                </c:pt>
                <c:pt idx="204">
                  <c:v>1334.8040014234728</c:v>
                </c:pt>
                <c:pt idx="205">
                  <c:v>1801.9243925049602</c:v>
                </c:pt>
                <c:pt idx="206">
                  <c:v>2414.8071529130798</c:v>
                </c:pt>
                <c:pt idx="207">
                  <c:v>3212.5889980979132</c:v>
                </c:pt>
                <c:pt idx="208">
                  <c:v>4242.8209702597796</c:v>
                </c:pt>
                <c:pt idx="209">
                  <c:v>5562.6414870322333</c:v>
                </c:pt>
                <c:pt idx="210">
                  <c:v>7239.9281989631763</c:v>
                </c:pt>
                <c:pt idx="211">
                  <c:v>9354.3641583111767</c:v>
                </c:pt>
                <c:pt idx="212">
                  <c:v>11998.338522183791</c:v>
                </c:pt>
                <c:pt idx="213">
                  <c:v>15277.587304000295</c:v>
                </c:pt>
                <c:pt idx="214">
                  <c:v>19311.466817549812</c:v>
                </c:pt>
                <c:pt idx="215">
                  <c:v>24232.742924704427</c:v>
                </c:pt>
                <c:pt idx="216">
                  <c:v>30186.77465841857</c:v>
                </c:pt>
                <c:pt idx="217">
                  <c:v>37329.972960769963</c:v>
                </c:pt>
                <c:pt idx="218">
                  <c:v>45827.425783496576</c:v>
                </c:pt>
                <c:pt idx="219">
                  <c:v>55849.601028315774</c:v>
                </c:pt>
                <c:pt idx="220">
                  <c:v>67568.069701991844</c:v>
                </c:pt>
                <c:pt idx="221">
                  <c:v>81150.233543069407</c:v>
                </c:pt>
                <c:pt idx="222">
                  <c:v>96753.093751957975</c:v>
                </c:pt>
                <c:pt idx="223">
                  <c:v>114516.15888141432</c:v>
                </c:pt>
                <c:pt idx="224">
                  <c:v>134553.65794341773</c:v>
                </c:pt>
                <c:pt idx="225">
                  <c:v>156946.29584558107</c:v>
                </c:pt>
                <c:pt idx="226">
                  <c:v>181732.85792628981</c:v>
                </c:pt>
                <c:pt idx="227">
                  <c:v>208902.03341212589</c:v>
                </c:pt>
                <c:pt idx="228">
                  <c:v>238384.8784431931</c:v>
                </c:pt>
                <c:pt idx="229">
                  <c:v>270048.37224946101</c:v>
                </c:pt>
                <c:pt idx="230">
                  <c:v>303690.52992153133</c:v>
                </c:pt>
                <c:pt idx="231">
                  <c:v>339037.51778718672</c:v>
                </c:pt>
                <c:pt idx="232">
                  <c:v>375743.16995121539</c:v>
                </c:pt>
                <c:pt idx="233">
                  <c:v>413391.22628241556</c:v>
                </c:pt>
                <c:pt idx="234">
                  <c:v>451500.50450219889</c:v>
                </c:pt>
                <c:pt idx="235">
                  <c:v>489533.08593508368</c:v>
                </c:pt>
                <c:pt idx="236">
                  <c:v>526905.44220518949</c:v>
                </c:pt>
                <c:pt idx="237">
                  <c:v>563002.26711997821</c:v>
                </c:pt>
                <c:pt idx="238">
                  <c:v>597192.6142409204</c:v>
                </c:pt>
                <c:pt idx="239">
                  <c:v>628847.78724336263</c:v>
                </c:pt>
                <c:pt idx="240">
                  <c:v>657360.29830485815</c:v>
                </c:pt>
                <c:pt idx="241">
                  <c:v>682163.10985996109</c:v>
                </c:pt>
                <c:pt idx="242">
                  <c:v>702748.3158739371</c:v>
                </c:pt>
                <c:pt idx="243">
                  <c:v>718684.40657517314</c:v>
                </c:pt>
                <c:pt idx="244">
                  <c:v>729631.29845608678</c:v>
                </c:pt>
                <c:pt idx="245">
                  <c:v>735352.3988609761</c:v>
                </c:pt>
                <c:pt idx="246">
                  <c:v>735723.10751840146</c:v>
                </c:pt>
                <c:pt idx="247">
                  <c:v>730735.32838023163</c:v>
                </c:pt>
                <c:pt idx="248">
                  <c:v>720497.76359437476</c:v>
                </c:pt>
                <c:pt idx="249">
                  <c:v>705231.97470332414</c:v>
                </c:pt>
                <c:pt idx="250">
                  <c:v>685264.41039543157</c:v>
                </c:pt>
                <c:pt idx="251">
                  <c:v>661014.80143274926</c:v>
                </c:pt>
                <c:pt idx="252">
                  <c:v>632981.49885480665</c:v>
                </c:pt>
                <c:pt idx="253">
                  <c:v>601724.47035735706</c:v>
                </c:pt>
                <c:pt idx="254">
                  <c:v>567846.76386099181</c:v>
                </c:pt>
                <c:pt idx="255">
                  <c:v>531975.29211186722</c:v>
                </c:pt>
                <c:pt idx="256">
                  <c:v>494741.78674567834</c:v>
                </c:pt>
                <c:pt idx="257">
                  <c:v>456764.71723380982</c:v>
                </c:pt>
                <c:pt idx="258">
                  <c:v>418632.87537415081</c:v>
                </c:pt>
                <c:pt idx="259">
                  <c:v>380891.19794376672</c:v>
                </c:pt>
                <c:pt idx="260">
                  <c:v>344029.2490461425</c:v>
                </c:pt>
                <c:pt idx="261">
                  <c:v>308472.62070200982</c:v>
                </c:pt>
                <c:pt idx="262">
                  <c:v>274577.34646494774</c:v>
                </c:pt>
                <c:pt idx="263">
                  <c:v>242627.26853772806</c:v>
                </c:pt>
                <c:pt idx="264">
                  <c:v>212834.16269950723</c:v>
                </c:pt>
                <c:pt idx="265">
                  <c:v>185340.31392474004</c:v>
                </c:pt>
                <c:pt idx="266">
                  <c:v>160223.15311032024</c:v>
                </c:pt>
                <c:pt idx="267">
                  <c:v>137501.51362100121</c:v>
                </c:pt>
                <c:pt idx="268">
                  <c:v>117143.04491235569</c:v>
                </c:pt>
                <c:pt idx="269">
                  <c:v>99072.326807921592</c:v>
                </c:pt>
                <c:pt idx="270">
                  <c:v>83179.258053209705</c:v>
                </c:pt>
                <c:pt idx="271">
                  <c:v>69327.341455023736</c:v>
                </c:pt>
                <c:pt idx="272">
                  <c:v>57361.549621339596</c:v>
                </c:pt>
                <c:pt idx="273">
                  <c:v>47115.524384964076</c:v>
                </c:pt>
                <c:pt idx="274">
                  <c:v>38417.934142557657</c:v>
                </c:pt>
                <c:pt idx="275">
                  <c:v>31097.881993246348</c:v>
                </c:pt>
                <c:pt idx="276">
                  <c:v>24989.320064372772</c:v>
                </c:pt>
                <c:pt idx="277">
                  <c:v>19934.479143843815</c:v>
                </c:pt>
                <c:pt idx="278">
                  <c:v>15786.366117437787</c:v>
                </c:pt>
                <c:pt idx="279">
                  <c:v>12410.414120128615</c:v>
                </c:pt>
                <c:pt idx="280">
                  <c:v>9685.3919679922819</c:v>
                </c:pt>
                <c:pt idx="281">
                  <c:v>7503.6912118253103</c:v>
                </c:pt>
                <c:pt idx="282">
                  <c:v>5771.1123789498051</c:v>
                </c:pt>
                <c:pt idx="283">
                  <c:v>4406.2682539542084</c:v>
                </c:pt>
                <c:pt idx="284">
                  <c:v>3339.7131037704157</c:v>
                </c:pt>
                <c:pt idx="285">
                  <c:v>2512.8942495656524</c:v>
                </c:pt>
                <c:pt idx="286">
                  <c:v>1877.0078515246878</c:v>
                </c:pt>
                <c:pt idx="287">
                  <c:v>1391.825505888316</c:v>
                </c:pt>
                <c:pt idx="288">
                  <c:v>1024.543299415649</c:v>
                </c:pt>
                <c:pt idx="289">
                  <c:v>748.6910967737557</c:v>
                </c:pt>
                <c:pt idx="290">
                  <c:v>543.12756497043904</c:v>
                </c:pt>
                <c:pt idx="291">
                  <c:v>391.13605016504948</c:v>
                </c:pt>
                <c:pt idx="292">
                  <c:v>279.62800974662758</c:v>
                </c:pt>
                <c:pt idx="293">
                  <c:v>198.45421266880331</c:v>
                </c:pt>
                <c:pt idx="294">
                  <c:v>139.81919513803049</c:v>
                </c:pt>
                <c:pt idx="295">
                  <c:v>97.791272677075099</c:v>
                </c:pt>
                <c:pt idx="296">
                  <c:v>67.898506775096394</c:v>
                </c:pt>
                <c:pt idx="297">
                  <c:v>46.800142282647862</c:v>
                </c:pt>
                <c:pt idx="298">
                  <c:v>32.022921321867777</c:v>
                </c:pt>
                <c:pt idx="299">
                  <c:v>21.752117876934694</c:v>
                </c:pt>
                <c:pt idx="300">
                  <c:v>14.667934862906456</c:v>
                </c:pt>
                <c:pt idx="301">
                  <c:v>9.8189087090401159</c:v>
                </c:pt>
                <c:pt idx="302">
                  <c:v>6.5250568036880408</c:v>
                </c:pt>
                <c:pt idx="303">
                  <c:v>4.3045940070621258</c:v>
                </c:pt>
                <c:pt idx="304">
                  <c:v>2.8190769014535424</c:v>
                </c:pt>
                <c:pt idx="305">
                  <c:v>1.8327721594027822</c:v>
                </c:pt>
                <c:pt idx="306">
                  <c:v>1.1828696089220838</c:v>
                </c:pt>
                <c:pt idx="307">
                  <c:v>0.75786549360129418</c:v>
                </c:pt>
                <c:pt idx="308">
                  <c:v>0.48203029790376112</c:v>
                </c:pt>
                <c:pt idx="309">
                  <c:v>0.30435729125958</c:v>
                </c:pt>
                <c:pt idx="310">
                  <c:v>0.19077476245837302</c:v>
                </c:pt>
                <c:pt idx="311">
                  <c:v>0.11871016885646687</c:v>
                </c:pt>
                <c:pt idx="312">
                  <c:v>7.3331477312448004E-2</c:v>
                </c:pt>
                <c:pt idx="313">
                  <c:v>4.4972312225435539E-2</c:v>
                </c:pt>
                <c:pt idx="314">
                  <c:v>2.7384283973875004E-2</c:v>
                </c:pt>
                <c:pt idx="315">
                  <c:v>1.656162128078174E-2</c:v>
                </c:pt>
                <c:pt idx="316">
                  <c:v>9.9579636628283671E-3</c:v>
                </c:pt>
                <c:pt idx="317">
                  <c:v>5.9693881877054111E-3</c:v>
                </c:pt>
                <c:pt idx="318">
                  <c:v>3.5966263804162266E-3</c:v>
                </c:pt>
                <c:pt idx="319">
                  <c:v>2.2270170183266635E-3</c:v>
                </c:pt>
                <c:pt idx="320">
                  <c:v>1.4961459884196351E-3</c:v>
                </c:pt>
                <c:pt idx="321">
                  <c:v>1.2026999112507973E-3</c:v>
                </c:pt>
                <c:pt idx="322">
                  <c:v>1.2595731645598657E-3</c:v>
                </c:pt>
                <c:pt idx="323">
                  <c:v>1.6710412124308069E-3</c:v>
                </c:pt>
                <c:pt idx="324">
                  <c:v>2.5308460125733246E-3</c:v>
                </c:pt>
                <c:pt idx="325">
                  <c:v>4.0401080265617794E-3</c:v>
                </c:pt>
                <c:pt idx="326">
                  <c:v>6.5477215907129398E-3</c:v>
                </c:pt>
                <c:pt idx="327">
                  <c:v>1.061987662264423E-2</c:v>
                </c:pt>
                <c:pt idx="328">
                  <c:v>1.7150145923628429E-2</c:v>
                </c:pt>
                <c:pt idx="329">
                  <c:v>2.7527802341268323E-2</c:v>
                </c:pt>
                <c:pt idx="330">
                  <c:v>4.3890408810852377E-2</c:v>
                </c:pt>
                <c:pt idx="331">
                  <c:v>6.9498140317062265E-2</c:v>
                </c:pt>
                <c:pt idx="332">
                  <c:v>0.10928284270156272</c:v>
                </c:pt>
                <c:pt idx="333">
                  <c:v>0.17064585821845146</c:v>
                </c:pt>
                <c:pt idx="334">
                  <c:v>0.26460679872421772</c:v>
                </c:pt>
                <c:pt idx="335">
                  <c:v>0.40744269752836809</c:v>
                </c:pt>
                <c:pt idx="336">
                  <c:v>0.6230056268319355</c:v>
                </c:pt>
                <c:pt idx="337">
                  <c:v>0.94596954333630889</c:v>
                </c:pt>
                <c:pt idx="338">
                  <c:v>1.4263366667609783</c:v>
                </c:pt>
                <c:pt idx="339">
                  <c:v>2.1356330427025929</c:v>
                </c:pt>
                <c:pt idx="340">
                  <c:v>3.175344892997888</c:v>
                </c:pt>
                <c:pt idx="341">
                  <c:v>4.6882942389881039</c:v>
                </c:pt>
                <c:pt idx="342">
                  <c:v>6.8738254803971346</c:v>
                </c:pt>
                <c:pt idx="343">
                  <c:v>10.007873959690267</c:v>
                </c:pt>
                <c:pt idx="344">
                  <c:v>14.469210566535327</c:v>
                </c:pt>
                <c:pt idx="345">
                  <c:v>20.773397464497087</c:v>
                </c:pt>
                <c:pt idx="346">
                  <c:v>29.61623917186753</c:v>
                </c:pt>
                <c:pt idx="347">
                  <c:v>41.928755362706909</c:v>
                </c:pt>
                <c:pt idx="348">
                  <c:v>58.945915469092903</c:v>
                </c:pt>
                <c:pt idx="349">
                  <c:v>82.291531956317513</c:v>
                </c:pt>
                <c:pt idx="350">
                  <c:v>114.0817729082143</c:v>
                </c:pt>
                <c:pt idx="351">
                  <c:v>157.0496816507146</c:v>
                </c:pt>
                <c:pt idx="352">
                  <c:v>214.6928311781522</c:v>
                </c:pt>
                <c:pt idx="353">
                  <c:v>291.445738838262</c:v>
                </c:pt>
                <c:pt idx="354">
                  <c:v>392.87786491356701</c:v>
                </c:pt>
                <c:pt idx="355">
                  <c:v>525.9168627836076</c:v>
                </c:pt>
                <c:pt idx="356">
                  <c:v>699.0951920338556</c:v>
                </c:pt>
                <c:pt idx="357">
                  <c:v>922.81621858379356</c:v>
                </c:pt>
                <c:pt idx="358">
                  <c:v>1209.6335009888805</c:v>
                </c:pt>
                <c:pt idx="359">
                  <c:v>1574.5341258190028</c:v>
                </c:pt>
                <c:pt idx="360">
                  <c:v>2035.213775561811</c:v>
                </c:pt>
                <c:pt idx="361">
                  <c:v>2612.3278076959486</c:v>
                </c:pt>
                <c:pt idx="362">
                  <c:v>3329.6991666898321</c:v>
                </c:pt>
                <c:pt idx="363">
                  <c:v>4214.4606725990843</c:v>
                </c:pt>
                <c:pt idx="364">
                  <c:v>5297.1064166046563</c:v>
                </c:pt>
                <c:pt idx="365">
                  <c:v>6611.4249776985962</c:v>
                </c:pt>
                <c:pt idx="366">
                  <c:v>8194.2863193026096</c:v>
                </c:pt>
                <c:pt idx="367">
                  <c:v>10085.254901805814</c:v>
                </c:pt>
                <c:pt idx="368">
                  <c:v>12326.004107484328</c:v>
                </c:pt>
                <c:pt idx="369">
                  <c:v>14959.511811929038</c:v>
                </c:pt>
                <c:pt idx="370">
                  <c:v>18029.024048879917</c:v>
                </c:pt>
                <c:pt idx="371">
                  <c:v>21576.783265148406</c:v>
                </c:pt>
                <c:pt idx="372">
                  <c:v>25642.529538007428</c:v>
                </c:pt>
                <c:pt idx="373">
                  <c:v>30261.797015401247</c:v>
                </c:pt>
                <c:pt idx="374">
                  <c:v>35464.043205892856</c:v>
                </c:pt>
                <c:pt idx="375">
                  <c:v>41270.664835577991</c:v>
                </c:pt>
                <c:pt idx="376">
                  <c:v>47692.969846009728</c:v>
                </c:pt>
                <c:pt idx="377">
                  <c:v>54730.189611637499</c:v>
                </c:pt>
                <c:pt idx="378">
                  <c:v>62367.62738989223</c:v>
                </c:pt>
                <c:pt idx="379">
                  <c:v>70575.047148896192</c:v>
                </c:pt>
                <c:pt idx="380">
                  <c:v>79305.410097122309</c:v>
                </c:pt>
                <c:pt idx="381">
                  <c:v>88494.063507011015</c:v>
                </c:pt>
                <c:pt idx="382">
                  <c:v>98058.477118878538</c:v>
                </c:pt>
                <c:pt idx="383">
                  <c:v>107898.60626439701</c:v>
                </c:pt>
                <c:pt idx="384">
                  <c:v>117897.93806084346</c:v>
                </c:pt>
                <c:pt idx="385">
                  <c:v>127925.24831014339</c:v>
                </c:pt>
                <c:pt idx="386">
                  <c:v>137837.06331761385</c:v>
                </c:pt>
                <c:pt idx="387">
                  <c:v>147480.78442552895</c:v>
                </c:pt>
                <c:pt idx="388">
                  <c:v>156698.3957248677</c:v>
                </c:pt>
                <c:pt idx="389">
                  <c:v>165330.63951185087</c:v>
                </c:pt>
                <c:pt idx="390">
                  <c:v>173221.51203615437</c:v>
                </c:pt>
                <c:pt idx="391">
                  <c:v>180222.90629677344</c:v>
                </c:pt>
                <c:pt idx="392">
                  <c:v>186199.21114915574</c:v>
                </c:pt>
                <c:pt idx="393">
                  <c:v>191031.66840021536</c:v>
                </c:pt>
                <c:pt idx="394">
                  <c:v>194622.2928773507</c:v>
                </c:pt>
                <c:pt idx="395">
                  <c:v>196897.17493051619</c:v>
                </c:pt>
                <c:pt idx="396">
                  <c:v>197809.00995292549</c:v>
                </c:pt>
                <c:pt idx="397">
                  <c:v>197338.73401063762</c:v>
                </c:pt>
                <c:pt idx="398">
                  <c:v>195496.18658884158</c:v>
                </c:pt>
                <c:pt idx="399">
                  <c:v>192319.76827370818</c:v>
                </c:pt>
                <c:pt idx="400">
                  <c:v>187875.11000416972</c:v>
                </c:pt>
                <c:pt idx="401">
                  <c:v>182252.81830662189</c:v>
                </c:pt>
                <c:pt idx="402">
                  <c:v>175565.40470483596</c:v>
                </c:pt>
                <c:pt idx="403">
                  <c:v>167943.54461762909</c:v>
                </c:pt>
                <c:pt idx="404">
                  <c:v>159531.83935813117</c:v>
                </c:pt>
                <c:pt idx="405">
                  <c:v>150484.27282334655</c:v>
                </c:pt>
                <c:pt idx="406">
                  <c:v>140959.56135199932</c:v>
                </c:pt>
                <c:pt idx="407">
                  <c:v>131116.59105348887</c:v>
                </c:pt>
                <c:pt idx="408">
                  <c:v>121110.12243991801</c:v>
                </c:pt>
                <c:pt idx="409">
                  <c:v>111086.91885118281</c:v>
                </c:pt>
                <c:pt idx="410">
                  <c:v>101182.42489031878</c:v>
                </c:pt>
                <c:pt idx="411">
                  <c:v>91518.086164914042</c:v>
                </c:pt>
                <c:pt idx="412">
                  <c:v>82199.364494375055</c:v>
                </c:pt>
                <c:pt idx="413">
                  <c:v>73314.465788665359</c:v>
                </c:pt>
                <c:pt idx="414">
                  <c:v>64933.763219049732</c:v>
                </c:pt>
                <c:pt idx="415">
                  <c:v>57109.867922193473</c:v>
                </c:pt>
                <c:pt idx="416">
                  <c:v>49878.274691219056</c:v>
                </c:pt>
                <c:pt idx="417">
                  <c:v>43258.491789485699</c:v>
                </c:pt>
                <c:pt idx="418">
                  <c:v>37255.552536036339</c:v>
                </c:pt>
                <c:pt idx="419">
                  <c:v>31861.801530893335</c:v>
                </c:pt>
                <c:pt idx="420">
                  <c:v>27058.849768301428</c:v>
                </c:pt>
                <c:pt idx="421">
                  <c:v>22819.599551300078</c:v>
                </c:pt>
                <c:pt idx="422">
                  <c:v>19110.250971061716</c:v>
                </c:pt>
                <c:pt idx="423">
                  <c:v>15892.215531626469</c:v>
                </c:pt>
                <c:pt idx="424">
                  <c:v>13123.878052663753</c:v>
                </c:pt>
                <c:pt idx="425">
                  <c:v>10762.164111400234</c:v>
                </c:pt>
                <c:pt idx="426">
                  <c:v>8763.8859753972138</c:v>
                </c:pt>
                <c:pt idx="427">
                  <c:v>7086.8544077601873</c:v>
                </c:pt>
                <c:pt idx="428">
                  <c:v>5690.7562903979597</c:v>
                </c:pt>
                <c:pt idx="429">
                  <c:v>4537.808326269711</c:v>
                </c:pt>
                <c:pt idx="430">
                  <c:v>3593.2049749886155</c:v>
                </c:pt>
                <c:pt idx="431">
                  <c:v>2825.3842579956176</c:v>
                </c:pt>
                <c:pt idx="432">
                  <c:v>2206.1382984664424</c:v>
                </c:pt>
                <c:pt idx="433">
                  <c:v>1710.5967047412523</c:v>
                </c:pt>
                <c:pt idx="434">
                  <c:v>1317.1105009580972</c:v>
                </c:pt>
                <c:pt idx="435">
                  <c:v>1007.0626233707635</c:v>
                </c:pt>
                <c:pt idx="436">
                  <c:v>764.6284045578941</c:v>
                </c:pt>
                <c:pt idx="437">
                  <c:v>576.50630479242602</c:v>
                </c:pt>
                <c:pt idx="438">
                  <c:v>431.63572230969334</c:v>
                </c:pt>
                <c:pt idx="439">
                  <c:v>320.9152711414971</c:v>
                </c:pt>
                <c:pt idx="440">
                  <c:v>236.93164823927631</c:v>
                </c:pt>
                <c:pt idx="441">
                  <c:v>173.70625589715067</c:v>
                </c:pt>
                <c:pt idx="442">
                  <c:v>126.46418427167052</c:v>
                </c:pt>
                <c:pt idx="443">
                  <c:v>91.428030820958654</c:v>
                </c:pt>
                <c:pt idx="444">
                  <c:v>65.637341656769436</c:v>
                </c:pt>
                <c:pt idx="445">
                  <c:v>46.793180233913006</c:v>
                </c:pt>
                <c:pt idx="446">
                  <c:v>33.126419425084578</c:v>
                </c:pt>
                <c:pt idx="447">
                  <c:v>23.287761217329017</c:v>
                </c:pt>
                <c:pt idx="448">
                  <c:v>16.257157142691288</c:v>
                </c:pt>
                <c:pt idx="449">
                  <c:v>11.270175872459276</c:v>
                </c:pt>
                <c:pt idx="450">
                  <c:v>7.7588900111318884</c:v>
                </c:pt>
                <c:pt idx="451">
                  <c:v>5.3049861637786764</c:v>
                </c:pt>
                <c:pt idx="452">
                  <c:v>3.6030023735682586</c:v>
                </c:pt>
                <c:pt idx="453">
                  <c:v>2.4318342843382283</c:v>
                </c:pt>
                <c:pt idx="454">
                  <c:v>1.6329024911334094</c:v>
                </c:pt>
                <c:pt idx="455">
                  <c:v>1.0936217534461798</c:v>
                </c:pt>
                <c:pt idx="456">
                  <c:v>0.73504700971593184</c:v>
                </c:pt>
                <c:pt idx="457">
                  <c:v>0.50278507063359967</c:v>
                </c:pt>
                <c:pt idx="458">
                  <c:v>0.36045178997412164</c:v>
                </c:pt>
                <c:pt idx="459">
                  <c:v>0.28512251187186655</c:v>
                </c:pt>
                <c:pt idx="460">
                  <c:v>0.26437079997808588</c:v>
                </c:pt>
                <c:pt idx="461">
                  <c:v>0.29462041333998501</c:v>
                </c:pt>
                <c:pt idx="462">
                  <c:v>0.38065270329470224</c:v>
                </c:pt>
                <c:pt idx="463">
                  <c:v>0.53622116832631539</c:v>
                </c:pt>
                <c:pt idx="464">
                  <c:v>0.78583228031767915</c:v>
                </c:pt>
                <c:pt idx="465">
                  <c:v>1.1678625183060489</c:v>
                </c:pt>
                <c:pt idx="466">
                  <c:v>1.7393014591916796</c:v>
                </c:pt>
                <c:pt idx="467">
                  <c:v>2.5825452638880466</c:v>
                </c:pt>
                <c:pt idx="468">
                  <c:v>3.8148190664149588</c:v>
                </c:pt>
                <c:pt idx="469">
                  <c:v>5.6009850386480755</c:v>
                </c:pt>
                <c:pt idx="470">
                  <c:v>8.170698567357018</c:v>
                </c:pt>
                <c:pt idx="471">
                  <c:v>11.841109661550046</c:v>
                </c:pt>
                <c:pt idx="472">
                  <c:v>17.046569611856633</c:v>
                </c:pt>
                <c:pt idx="473">
                  <c:v>24.377089949489193</c:v>
                </c:pt>
                <c:pt idx="474">
                  <c:v>34.627603462308421</c:v>
                </c:pt>
                <c:pt idx="475">
                  <c:v>48.860381516303612</c:v>
                </c:pt>
                <c:pt idx="476">
                  <c:v>68.483247689601825</c:v>
                </c:pt>
                <c:pt idx="477">
                  <c:v>95.346466587138949</c:v>
                </c:pt>
                <c:pt idx="478">
                  <c:v>131.86134206210221</c:v>
                </c:pt>
                <c:pt idx="479">
                  <c:v>181.14358554723694</c:v>
                </c:pt>
                <c:pt idx="480">
                  <c:v>247.18435899294451</c:v>
                </c:pt>
                <c:pt idx="481">
                  <c:v>335.05149707183034</c:v>
                </c:pt>
                <c:pt idx="482">
                  <c:v>451.12270420163185</c:v>
                </c:pt>
                <c:pt idx="483">
                  <c:v>603.3514370750928</c:v>
                </c:pt>
                <c:pt idx="484">
                  <c:v>801.56466081796793</c:v>
                </c:pt>
                <c:pt idx="485">
                  <c:v>1057.7896561675698</c:v>
                </c:pt>
                <c:pt idx="486">
                  <c:v>1386.6045256092943</c:v>
                </c:pt>
                <c:pt idx="487">
                  <c:v>1805.5039970792759</c:v>
                </c:pt>
                <c:pt idx="488">
                  <c:v>2335.2685929920131</c:v>
                </c:pt>
                <c:pt idx="489">
                  <c:v>3000.3213076734851</c:v>
                </c:pt>
                <c:pt idx="490">
                  <c:v>3829.0517633239874</c:v>
                </c:pt>
                <c:pt idx="491">
                  <c:v>4854.0836027614341</c:v>
                </c:pt>
                <c:pt idx="492">
                  <c:v>6112.456901559608</c:v>
                </c:pt>
                <c:pt idx="493">
                  <c:v>7645.693980363445</c:v>
                </c:pt>
                <c:pt idx="494">
                  <c:v>9499.7145601143802</c:v>
                </c:pt>
                <c:pt idx="495">
                  <c:v>11724.565153502625</c:v>
                </c:pt>
                <c:pt idx="496">
                  <c:v>14373.928359423926</c:v>
                </c:pt>
                <c:pt idx="497">
                  <c:v>17504.380734108516</c:v>
                </c:pt>
                <c:pt idx="498">
                  <c:v>21174.373500282327</c:v>
                </c:pt>
                <c:pt idx="499">
                  <c:v>25442.918764693033</c:v>
                </c:pt>
                <c:pt idx="500">
                  <c:v>30367.975233384059</c:v>
                </c:pt>
                <c:pt idx="501">
                  <c:v>36004.541538516904</c:v>
                </c:pt>
                <c:pt idx="502">
                  <c:v>42402.481887882474</c:v>
                </c:pt>
                <c:pt idx="503">
                  <c:v>49604.127236643144</c:v>
                </c:pt>
                <c:pt idx="504">
                  <c:v>57641.714724577156</c:v>
                </c:pt>
                <c:pt idx="505">
                  <c:v>66534.747648276898</c:v>
                </c:pt>
                <c:pt idx="506">
                  <c:v>76287.376476837206</c:v>
                </c:pt>
                <c:pt idx="507">
                  <c:v>86885.916970263919</c:v>
                </c:pt>
                <c:pt idx="508">
                  <c:v>98296.632876785487</c:v>
                </c:pt>
                <c:pt idx="509">
                  <c:v>110463.91658532846</c:v>
                </c:pt>
                <c:pt idx="510">
                  <c:v>123309.00028974423</c:v>
                </c:pt>
                <c:pt idx="511">
                  <c:v>136729.3217801076</c:v>
                </c:pt>
                <c:pt idx="512">
                  <c:v>150598.6524255499</c:v>
                </c:pt>
                <c:pt idx="513">
                  <c:v>164768.07027185202</c:v>
                </c:pt>
                <c:pt idx="514">
                  <c:v>179067.82903461982</c:v>
                </c:pt>
                <c:pt idx="515">
                  <c:v>193310.13530713707</c:v>
                </c:pt>
                <c:pt idx="516">
                  <c:v>207292.80327103485</c:v>
                </c:pt>
                <c:pt idx="517">
                  <c:v>220803.7108416601</c:v>
                </c:pt>
                <c:pt idx="518">
                  <c:v>233625.93611324581</c:v>
                </c:pt>
                <c:pt idx="519">
                  <c:v>245543.4110121066</c:v>
                </c:pt>
                <c:pt idx="520">
                  <c:v>256346.89304874025</c:v>
                </c:pt>
                <c:pt idx="521">
                  <c:v>265840.0286080637</c:v>
                </c:pt>
                <c:pt idx="522">
                  <c:v>273845.264542419</c:v>
                </c:pt>
                <c:pt idx="523">
                  <c:v>280209.36054000678</c:v>
                </c:pt>
                <c:pt idx="524">
                  <c:v>284808.26367906417</c:v>
                </c:pt>
                <c:pt idx="525">
                  <c:v>287551.12873506773</c:v>
                </c:pt>
                <c:pt idx="526">
                  <c:v>288383.3022830899</c:v>
                </c:pt>
                <c:pt idx="527">
                  <c:v>287288.13367452286</c:v>
                </c:pt>
                <c:pt idx="528">
                  <c:v>284287.52906357317</c:v>
                </c:pt>
                <c:pt idx="529">
                  <c:v>279441.22273261595</c:v>
                </c:pt>
                <c:pt idx="530">
                  <c:v>272844.79957462702</c:v>
                </c:pt>
                <c:pt idx="531">
                  <c:v>264626.56018179463</c:v>
                </c:pt>
                <c:pt idx="532">
                  <c:v>254943.37215505616</c:v>
                </c:pt>
                <c:pt idx="533">
                  <c:v>243975.69497523416</c:v>
                </c:pt>
                <c:pt idx="534">
                  <c:v>231921.99865299027</c:v>
                </c:pt>
                <c:pt idx="535">
                  <c:v>218992.81675830446</c:v>
                </c:pt>
                <c:pt idx="536">
                  <c:v>205404.68154041743</c:v>
                </c:pt>
                <c:pt idx="537">
                  <c:v>191374.18279652199</c:v>
                </c:pt>
                <c:pt idx="538">
                  <c:v>177112.37388983215</c:v>
                </c:pt>
                <c:pt idx="539">
                  <c:v>162819.71955339448</c:v>
                </c:pt>
                <c:pt idx="540">
                  <c:v>148681.74312511756</c:v>
                </c:pt>
                <c:pt idx="541">
                  <c:v>134865.48830863932</c:v>
                </c:pt>
                <c:pt idx="542">
                  <c:v>121516.86528456755</c:v>
                </c:pt>
                <c:pt idx="543">
                  <c:v>108758.90581066087</c:v>
                </c:pt>
                <c:pt idx="544">
                  <c:v>96690.909420656724</c:v>
                </c:pt>
                <c:pt idx="545">
                  <c:v>85388.425142343578</c:v>
                </c:pt>
                <c:pt idx="546">
                  <c:v>74903.981981810735</c:v>
                </c:pt>
                <c:pt idx="547">
                  <c:v>65268.457863768475</c:v>
                </c:pt>
                <c:pt idx="548">
                  <c:v>56492.961286403581</c:v>
                </c:pt>
                <c:pt idx="549">
                  <c:v>48571.092588806423</c:v>
                </c:pt>
                <c:pt idx="550">
                  <c:v>41481.451888954303</c:v>
                </c:pt>
                <c:pt idx="551">
                  <c:v>35190.26748062019</c:v>
                </c:pt>
                <c:pt idx="552">
                  <c:v>29654.03054371391</c:v>
                </c:pt>
                <c:pt idx="553">
                  <c:v>24822.038026029008</c:v>
                </c:pt>
                <c:pt idx="554">
                  <c:v>20638.764049921316</c:v>
                </c:pt>
                <c:pt idx="555">
                  <c:v>17045.99979709824</c:v>
                </c:pt>
                <c:pt idx="556">
                  <c:v>13984.721282497601</c:v>
                </c:pt>
                <c:pt idx="557">
                  <c:v>11396.662701874469</c:v>
                </c:pt>
                <c:pt idx="558">
                  <c:v>9225.5893256822055</c:v>
                </c:pt>
                <c:pt idx="559">
                  <c:v>7418.2776670525245</c:v>
                </c:pt>
                <c:pt idx="560">
                  <c:v>5925.2215744421446</c:v>
                </c:pt>
                <c:pt idx="561">
                  <c:v>4701.0909138012012</c:v>
                </c:pt>
                <c:pt idx="562">
                  <c:v>3704.9747230410753</c:v>
                </c:pt>
                <c:pt idx="563">
                  <c:v>2900.4434008868807</c:v>
                </c:pt>
                <c:pt idx="564">
                  <c:v>2255.4649914175338</c:v>
                </c:pt>
                <c:pt idx="565">
                  <c:v>1742.2093607275795</c:v>
                </c:pt>
                <c:pt idx="566">
                  <c:v>1336.7714679497019</c:v>
                </c:pt>
                <c:pt idx="567">
                  <c:v>1018.8414307789631</c:v>
                </c:pt>
                <c:pt idx="568">
                  <c:v>771.34505933406433</c:v>
                </c:pt>
                <c:pt idx="569">
                  <c:v>580.07431117233034</c:v>
                </c:pt>
                <c:pt idx="570">
                  <c:v>433.3229708083764</c:v>
                </c:pt>
                <c:pt idx="571">
                  <c:v>321.53897964170602</c:v>
                </c:pt>
                <c:pt idx="572">
                  <c:v>237.0013740638027</c:v>
                </c:pt>
                <c:pt idx="573">
                  <c:v>173.5268111831362</c:v>
                </c:pt>
                <c:pt idx="574">
                  <c:v>126.2082055517421</c:v>
                </c:pt>
                <c:pt idx="575">
                  <c:v>91.186060888240618</c:v>
                </c:pt>
                <c:pt idx="576">
                  <c:v>65.451624428174895</c:v>
                </c:pt>
                <c:pt idx="577">
                  <c:v>46.679965925712843</c:v>
                </c:pt>
                <c:pt idx="578">
                  <c:v>33.090425808463991</c:v>
                </c:pt>
                <c:pt idx="579">
                  <c:v>23.331521215582821</c:v>
                </c:pt>
                <c:pt idx="580">
                  <c:v>16.387279797809882</c:v>
                </c:pt>
                <c:pt idx="581">
                  <c:v>11.502029534698478</c:v>
                </c:pt>
                <c:pt idx="582">
                  <c:v>8.1208561374799544</c:v>
                </c:pt>
                <c:pt idx="583">
                  <c:v>5.8432040713066815</c:v>
                </c:pt>
                <c:pt idx="584">
                  <c:v>4.3874077662801199</c:v>
                </c:pt>
                <c:pt idx="585">
                  <c:v>3.5642693420747209</c:v>
                </c:pt>
                <c:pt idx="586">
                  <c:v>3.258128608636798</c:v>
                </c:pt>
                <c:pt idx="587">
                  <c:v>3.4141868253370564</c:v>
                </c:pt>
                <c:pt idx="588">
                  <c:v>4.0311391570107675</c:v>
                </c:pt>
                <c:pt idx="589">
                  <c:v>5.1584369862858974</c:v>
                </c:pt>
                <c:pt idx="590">
                  <c:v>6.8977376345284345</c:v>
                </c:pt>
                <c:pt idx="591">
                  <c:v>9.4083043305489564</c:v>
                </c:pt>
                <c:pt idx="592">
                  <c:v>12.916292583378381</c:v>
                </c:pt>
                <c:pt idx="593">
                  <c:v>17.727999293262425</c:v>
                </c:pt>
                <c:pt idx="594">
                  <c:v>24.247255965936024</c:v>
                </c:pt>
                <c:pt idx="595">
                  <c:v>32.997214097552259</c:v>
                </c:pt>
                <c:pt idx="596">
                  <c:v>44.646794682329563</c:v>
                </c:pt>
                <c:pt idx="597">
                  <c:v>60.042049144075989</c:v>
                </c:pt>
                <c:pt idx="598">
                  <c:v>80.242599158823353</c:v>
                </c:pt>
                <c:pt idx="599">
                  <c:v>106.56318077022632</c:v>
                </c:pt>
                <c:pt idx="600">
                  <c:v>140.62010721051539</c:v>
                </c:pt>
                <c:pt idx="601">
                  <c:v>184.38217957142226</c:v>
                </c:pt>
                <c:pt idx="602">
                  <c:v>240.22521207184695</c:v>
                </c:pt>
                <c:pt idx="603">
                  <c:v>310.98890011296527</c:v>
                </c:pt>
                <c:pt idx="604">
                  <c:v>400.03425076788295</c:v>
                </c:pt>
                <c:pt idx="605">
                  <c:v>511.29922953149401</c:v>
                </c:pt>
                <c:pt idx="606">
                  <c:v>649.34967446643407</c:v>
                </c:pt>
                <c:pt idx="607">
                  <c:v>819.42191825704185</c:v>
                </c:pt>
                <c:pt idx="608">
                  <c:v>1027.4529778949122</c:v>
                </c:pt>
                <c:pt idx="609">
                  <c:v>1280.0936669953476</c:v>
                </c:pt>
                <c:pt idx="610">
                  <c:v>1584.699610543666</c:v>
                </c:pt>
                <c:pt idx="611">
                  <c:v>1949.2949546890645</c:v>
                </c:pt>
                <c:pt idx="612">
                  <c:v>2382.5036253484636</c:v>
                </c:pt>
                <c:pt idx="613">
                  <c:v>2893.4433567494011</c:v>
                </c:pt>
                <c:pt idx="614">
                  <c:v>3491.5784350276631</c:v>
                </c:pt>
                <c:pt idx="615">
                  <c:v>4186.5282198035156</c:v>
                </c:pt>
                <c:pt idx="616">
                  <c:v>4987.8300363602511</c:v>
                </c:pt>
                <c:pt idx="617">
                  <c:v>5904.656965892872</c:v>
                </c:pt>
                <c:pt idx="618">
                  <c:v>6945.4933648550168</c:v>
                </c:pt>
                <c:pt idx="619">
                  <c:v>8117.7735471758406</c:v>
                </c:pt>
                <c:pt idx="620">
                  <c:v>9427.4918610353598</c:v>
                </c:pt>
                <c:pt idx="621">
                  <c:v>10878.795247702819</c:v>
                </c:pt>
                <c:pt idx="622">
                  <c:v>12473.572117312709</c:v>
                </c:pt>
                <c:pt idx="623">
                  <c:v>14211.053827313859</c:v>
                </c:pt>
                <c:pt idx="624">
                  <c:v>16087.447004319198</c:v>
                </c:pt>
                <c:pt idx="625">
                  <c:v>18095.616211647022</c:v>
                </c:pt>
                <c:pt idx="626">
                  <c:v>20224.836852260734</c:v>
                </c:pt>
                <c:pt idx="627">
                  <c:v>22460.637562188036</c:v>
                </c:pt>
                <c:pt idx="628">
                  <c:v>24784.749593396635</c:v>
                </c:pt>
                <c:pt idx="629">
                  <c:v>27175.177770444287</c:v>
                </c:pt>
                <c:pt idx="630">
                  <c:v>29606.403567975733</c:v>
                </c:pt>
                <c:pt idx="631">
                  <c:v>32049.725811483808</c:v>
                </c:pt>
                <c:pt idx="632">
                  <c:v>34473.738646608923</c:v>
                </c:pt>
                <c:pt idx="633">
                  <c:v>36844.940021530194</c:v>
                </c:pt>
                <c:pt idx="634">
                  <c:v>39128.457313368403</c:v>
                </c:pt>
                <c:pt idx="635">
                  <c:v>41288.870277103364</c:v>
                </c:pt>
                <c:pt idx="636">
                  <c:v>43291.105598539056</c:v>
                </c:pt>
                <c:pt idx="637">
                  <c:v>45101.372378820583</c:v>
                </c:pt>
                <c:pt idx="638">
                  <c:v>46688.104219323199</c:v>
                </c:pt>
                <c:pt idx="639">
                  <c:v>48022.871502188893</c:v>
                </c:pt>
                <c:pt idx="640">
                  <c:v>49081.227176211629</c:v>
                </c:pt>
                <c:pt idx="641">
                  <c:v>49843.450957118701</c:v>
                </c:pt>
                <c:pt idx="642">
                  <c:v>50295.160314994806</c:v>
                </c:pt>
                <c:pt idx="643">
                  <c:v>50427.76180852564</c:v>
                </c:pt>
                <c:pt idx="644">
                  <c:v>50238.722980347702</c:v>
                </c:pt>
                <c:pt idx="645">
                  <c:v>49731.652795190501</c:v>
                </c:pt>
                <c:pt idx="646">
                  <c:v>48916.187051465953</c:v>
                </c:pt>
                <c:pt idx="647">
                  <c:v>47807.683849135872</c:v>
                </c:pt>
                <c:pt idx="648">
                  <c:v>46426.742559599741</c:v>
                </c:pt>
                <c:pt idx="649">
                  <c:v>44798.567344598036</c:v>
                </c:pt>
                <c:pt idx="650">
                  <c:v>42952.202690948929</c:v>
                </c:pt>
                <c:pt idx="651">
                  <c:v>40919.67332743411</c:v>
                </c:pt>
                <c:pt idx="652">
                  <c:v>38735.064033036157</c:v>
                </c:pt>
                <c:pt idx="653">
                  <c:v>36433.576111884722</c:v>
                </c:pt>
                <c:pt idx="654">
                  <c:v>34050.596700255686</c:v>
                </c:pt>
                <c:pt idx="655">
                  <c:v>31620.81470141096</c:v>
                </c:pt>
                <c:pt idx="656">
                  <c:v>29177.413234635038</c:v>
                </c:pt>
                <c:pt idx="657">
                  <c:v>26751.363338196104</c:v>
                </c:pt>
                <c:pt idx="658">
                  <c:v>24370.837642755661</c:v>
                </c:pt>
                <c:pt idx="659">
                  <c:v>22060.75622268609</c:v>
                </c:pt>
                <c:pt idx="660">
                  <c:v>19842.470230398347</c:v>
                </c:pt>
                <c:pt idx="661">
                  <c:v>17733.582591188213</c:v>
                </c:pt>
                <c:pt idx="662">
                  <c:v>15747.899304253688</c:v>
                </c:pt>
                <c:pt idx="663">
                  <c:v>13895.500016030075</c:v>
                </c:pt>
                <c:pt idx="664">
                  <c:v>12182.912685973919</c:v>
                </c:pt>
                <c:pt idx="665">
                  <c:v>10613.374453447615</c:v>
                </c:pt>
                <c:pt idx="666">
                  <c:v>9187.1592599561172</c:v>
                </c:pt>
                <c:pt idx="667">
                  <c:v>7901.9523347444529</c:v>
                </c:pt>
                <c:pt idx="668">
                  <c:v>6753.2522046541653</c:v>
                </c:pt>
                <c:pt idx="669">
                  <c:v>5734.7822863337806</c:v>
                </c:pt>
                <c:pt idx="670">
                  <c:v>4838.8961755793471</c:v>
                </c:pt>
                <c:pt idx="671">
                  <c:v>4056.9632658235837</c:v>
                </c:pt>
                <c:pt idx="672">
                  <c:v>3379.7241073411697</c:v>
                </c:pt>
                <c:pt idx="673">
                  <c:v>2797.607775675418</c:v>
                </c:pt>
                <c:pt idx="674">
                  <c:v>2301.0062904384963</c:v>
                </c:pt>
                <c:pt idx="675">
                  <c:v>1880.5036823484356</c:v>
                </c:pt>
                <c:pt idx="676">
                  <c:v>1527.0595491801446</c:v>
                </c:pt>
                <c:pt idx="677">
                  <c:v>1232.1488066713584</c:v>
                </c:pt>
                <c:pt idx="678">
                  <c:v>987.86079741797607</c:v>
                </c:pt>
                <c:pt idx="679">
                  <c:v>786.96196740671098</c:v>
                </c:pt>
                <c:pt idx="680">
                  <c:v>622.92697791324849</c:v>
                </c:pt>
                <c:pt idx="681">
                  <c:v>489.94342997390908</c:v>
                </c:pt>
                <c:pt idx="682">
                  <c:v>382.89539160833669</c:v>
                </c:pt>
                <c:pt idx="683">
                  <c:v>297.33069305926711</c:v>
                </c:pt>
                <c:pt idx="684">
                  <c:v>229.41655273626867</c:v>
                </c:pt>
                <c:pt idx="685">
                  <c:v>175.88757404076733</c:v>
                </c:pt>
                <c:pt idx="686">
                  <c:v>133.98956301896825</c:v>
                </c:pt>
                <c:pt idx="687">
                  <c:v>101.42200348750205</c:v>
                </c:pt>
                <c:pt idx="688">
                  <c:v>76.281425911077022</c:v>
                </c:pt>
                <c:pt idx="689">
                  <c:v>57.007345982853735</c:v>
                </c:pt>
                <c:pt idx="690">
                  <c:v>42.33194715038659</c:v>
                </c:pt>
                <c:pt idx="691">
                  <c:v>31.234249175471252</c:v>
                </c:pt>
                <c:pt idx="692">
                  <c:v>22.899146664280426</c:v>
                </c:pt>
                <c:pt idx="693">
                  <c:v>16.681416634779278</c:v>
                </c:pt>
                <c:pt idx="694">
                  <c:v>12.074578042916954</c:v>
                </c:pt>
                <c:pt idx="695">
                  <c:v>8.6843316188262261</c:v>
                </c:pt>
                <c:pt idx="696">
                  <c:v>6.206206728923342</c:v>
                </c:pt>
                <c:pt idx="697">
                  <c:v>4.4069840570096668</c:v>
                </c:pt>
                <c:pt idx="698">
                  <c:v>3.1094395887166977</c:v>
                </c:pt>
                <c:pt idx="699">
                  <c:v>2.1799582215772721</c:v>
                </c:pt>
                <c:pt idx="700">
                  <c:v>1.5185867985874404</c:v>
                </c:pt>
                <c:pt idx="701">
                  <c:v>1.0511300994996207</c:v>
                </c:pt>
                <c:pt idx="702">
                  <c:v>0.72293412835357806</c:v>
                </c:pt>
                <c:pt idx="703">
                  <c:v>0.49404485983940016</c:v>
                </c:pt>
                <c:pt idx="704">
                  <c:v>0.33547444690330569</c:v>
                </c:pt>
                <c:pt idx="705">
                  <c:v>0.2263486500173448</c:v>
                </c:pt>
                <c:pt idx="706">
                  <c:v>0.15174758018796608</c:v>
                </c:pt>
                <c:pt idx="707">
                  <c:v>0.10108600725155134</c:v>
                </c:pt>
                <c:pt idx="708">
                  <c:v>6.6909181018472069E-2</c:v>
                </c:pt>
                <c:pt idx="709">
                  <c:v>4.4005381248105789E-2</c:v>
                </c:pt>
                <c:pt idx="710">
                  <c:v>2.8757509007178123E-2</c:v>
                </c:pt>
                <c:pt idx="711">
                  <c:v>1.8673345973452528E-2</c:v>
                </c:pt>
                <c:pt idx="712">
                  <c:v>1.2048096175844382E-2</c:v>
                </c:pt>
                <c:pt idx="713">
                  <c:v>7.7239616772007075E-3</c:v>
                </c:pt>
                <c:pt idx="714">
                  <c:v>4.9202503134141949E-3</c:v>
                </c:pt>
                <c:pt idx="715">
                  <c:v>3.1142945640858658E-3</c:v>
                </c:pt>
                <c:pt idx="716">
                  <c:v>1.9586533534022717E-3</c:v>
                </c:pt>
                <c:pt idx="717">
                  <c:v>1.2239984726084615E-3</c:v>
                </c:pt>
                <c:pt idx="718">
                  <c:v>7.6002796793215742E-4</c:v>
                </c:pt>
                <c:pt idx="719">
                  <c:v>4.6892531065574313E-4</c:v>
                </c:pt>
                <c:pt idx="720">
                  <c:v>2.8747704913460682E-4</c:v>
                </c:pt>
                <c:pt idx="721">
                  <c:v>1.7511690966146216E-4</c:v>
                </c:pt>
                <c:pt idx="722">
                  <c:v>1.0599329504473174E-4</c:v>
                </c:pt>
                <c:pt idx="723">
                  <c:v>6.3746171233734883E-5</c:v>
                </c:pt>
                <c:pt idx="724">
                  <c:v>3.8093880868261873E-5</c:v>
                </c:pt>
                <c:pt idx="725">
                  <c:v>2.2619434144363605E-5</c:v>
                </c:pt>
                <c:pt idx="726">
                  <c:v>1.3345463319128259E-5</c:v>
                </c:pt>
                <c:pt idx="727">
                  <c:v>7.8236781885961014E-6</c:v>
                </c:pt>
                <c:pt idx="728">
                  <c:v>4.557363852963447E-6</c:v>
                </c:pt>
                <c:pt idx="729">
                  <c:v>2.6377998008581652E-6</c:v>
                </c:pt>
                <c:pt idx="730">
                  <c:v>1.5170341649349076E-6</c:v>
                </c:pt>
                <c:pt idx="731">
                  <c:v>8.6691056305576759E-7</c:v>
                </c:pt>
                <c:pt idx="732">
                  <c:v>4.9224195912880891E-7</c:v>
                </c:pt>
                <c:pt idx="733">
                  <c:v>2.7772077538517037E-7</c:v>
                </c:pt>
                <c:pt idx="734">
                  <c:v>1.5569100080176022E-7</c:v>
                </c:pt>
                <c:pt idx="735">
                  <c:v>8.6724949231446225E-8</c:v>
                </c:pt>
                <c:pt idx="736">
                  <c:v>4.8000968590460597E-8</c:v>
                </c:pt>
                <c:pt idx="737">
                  <c:v>2.6398627640626414E-8</c:v>
                </c:pt>
                <c:pt idx="738">
                  <c:v>1.4425740057866796E-8</c:v>
                </c:pt>
                <c:pt idx="739">
                  <c:v>7.8328580638945663E-9</c:v>
                </c:pt>
                <c:pt idx="740">
                  <c:v>4.2259836681873358E-9</c:v>
                </c:pt>
                <c:pt idx="741">
                  <c:v>2.2654828268959091E-9</c:v>
                </c:pt>
                <c:pt idx="742">
                  <c:v>1.2067550841865533E-9</c:v>
                </c:pt>
                <c:pt idx="743">
                  <c:v>6.3870880424688743E-10</c:v>
                </c:pt>
                <c:pt idx="744">
                  <c:v>3.3590159873633969E-10</c:v>
                </c:pt>
                <c:pt idx="745">
                  <c:v>1.7552809592473347E-10</c:v>
                </c:pt>
                <c:pt idx="746">
                  <c:v>9.113949447211928E-11</c:v>
                </c:pt>
                <c:pt idx="747">
                  <c:v>4.702101413201462E-11</c:v>
                </c:pt>
                <c:pt idx="748">
                  <c:v>2.4104757712279311E-11</c:v>
                </c:pt>
                <c:pt idx="749">
                  <c:v>1.2278320122844799E-11</c:v>
                </c:pt>
                <c:pt idx="750">
                  <c:v>6.2144190693233652E-12</c:v>
                </c:pt>
                <c:pt idx="751">
                  <c:v>3.1252698596223307E-12</c:v>
                </c:pt>
                <c:pt idx="752">
                  <c:v>1.5617082816106431E-12</c:v>
                </c:pt>
                <c:pt idx="753">
                  <c:v>7.7542126307685938E-13</c:v>
                </c:pt>
                <c:pt idx="754">
                  <c:v>3.8256118224285262E-13</c:v>
                </c:pt>
                <c:pt idx="755">
                  <c:v>1.8753809437474374E-13</c:v>
                </c:pt>
                <c:pt idx="756">
                  <c:v>9.1348937265489792E-14</c:v>
                </c:pt>
                <c:pt idx="757">
                  <c:v>4.4212279048633769E-14</c:v>
                </c:pt>
                <c:pt idx="758">
                  <c:v>2.1262175980024955E-14</c:v>
                </c:pt>
                <c:pt idx="759">
                  <c:v>1.0160098466777046E-14</c:v>
                </c:pt>
                <c:pt idx="760">
                  <c:v>4.8240691913221487E-15</c:v>
                </c:pt>
                <c:pt idx="761">
                  <c:v>2.2759071605680639E-15</c:v>
                </c:pt>
                <c:pt idx="762">
                  <c:v>1.0668932290115059E-15</c:v>
                </c:pt>
                <c:pt idx="763">
                  <c:v>4.9695009537298103E-16</c:v>
                </c:pt>
                <c:pt idx="764">
                  <c:v>2.3000114622624575E-16</c:v>
                </c:pt>
                <c:pt idx="765">
                  <c:v>1.0577246488659835E-16</c:v>
                </c:pt>
                <c:pt idx="766">
                  <c:v>4.8332655023873905E-17</c:v>
                </c:pt>
                <c:pt idx="767">
                  <c:v>2.1944924081721761E-17</c:v>
                </c:pt>
                <c:pt idx="768">
                  <c:v>9.900403968924211E-18</c:v>
                </c:pt>
                <c:pt idx="769">
                  <c:v>4.4381006902215399E-18</c:v>
                </c:pt>
                <c:pt idx="770">
                  <c:v>1.9768184664920387E-18</c:v>
                </c:pt>
                <c:pt idx="771">
                  <c:v>8.7490687721298689E-19</c:v>
                </c:pt>
                <c:pt idx="772">
                  <c:v>3.8475322958603903E-19</c:v>
                </c:pt>
                <c:pt idx="773">
                  <c:v>1.6812338297094096E-19</c:v>
                </c:pt>
                <c:pt idx="774">
                  <c:v>7.2996051564088077E-20</c:v>
                </c:pt>
                <c:pt idx="775">
                  <c:v>3.1491693868861146E-20</c:v>
                </c:pt>
                <c:pt idx="776">
                  <c:v>1.3499512191086182E-20</c:v>
                </c:pt>
                <c:pt idx="777">
                  <c:v>5.7499693872823689E-21</c:v>
                </c:pt>
                <c:pt idx="778">
                  <c:v>2.4335394575871905E-21</c:v>
                </c:pt>
                <c:pt idx="779">
                  <c:v>1.0233793626971399E-21</c:v>
                </c:pt>
                <c:pt idx="780">
                  <c:v>4.2762227531108517E-22</c:v>
                </c:pt>
                <c:pt idx="781">
                  <c:v>1.7754538494585538E-22</c:v>
                </c:pt>
                <c:pt idx="782">
                  <c:v>7.3245990862213817E-23</c:v>
                </c:pt>
                <c:pt idx="783">
                  <c:v>3.0025049476951054E-23</c:v>
                </c:pt>
                <c:pt idx="784">
                  <c:v>1.2229508625716997E-23</c:v>
                </c:pt>
                <c:pt idx="785">
                  <c:v>4.9494812841106504E-24</c:v>
                </c:pt>
                <c:pt idx="786">
                  <c:v>1.990378939560625E-24</c:v>
                </c:pt>
                <c:pt idx="787">
                  <c:v>7.9531148073170101E-25</c:v>
                </c:pt>
                <c:pt idx="788">
                  <c:v>3.1576510775534006E-25</c:v>
                </c:pt>
                <c:pt idx="789">
                  <c:v>1.245708500322639E-25</c:v>
                </c:pt>
                <c:pt idx="790">
                  <c:v>4.8830831555269688E-26</c:v>
                </c:pt>
                <c:pt idx="791">
                  <c:v>1.901941763430007E-26</c:v>
                </c:pt>
                <c:pt idx="792">
                  <c:v>7.36081177506395E-27</c:v>
                </c:pt>
                <c:pt idx="793">
                  <c:v>2.8306072367302074E-27</c:v>
                </c:pt>
                <c:pt idx="794">
                  <c:v>1.0815806665262405E-27</c:v>
                </c:pt>
                <c:pt idx="795">
                  <c:v>4.1064224084480694E-28</c:v>
                </c:pt>
                <c:pt idx="796">
                  <c:v>1.549150920729745E-28</c:v>
                </c:pt>
                <c:pt idx="797">
                  <c:v>5.8069654282679922E-29</c:v>
                </c:pt>
                <c:pt idx="798">
                  <c:v>2.1628686919512933E-29</c:v>
                </c:pt>
                <c:pt idx="799">
                  <c:v>8.0045416836110005E-30</c:v>
                </c:pt>
                <c:pt idx="800">
                  <c:v>2.943528123908802E-30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'Fatores de forma'!$AI$1:$AI$2</c:f>
              <c:strCache>
                <c:ptCount val="1"/>
                <c:pt idx="0">
                  <c:v>(Ba(1−x)Cax)TiO3, t = 10nm , x = 1</c:v>
                </c:pt>
              </c:strCache>
            </c:strRef>
          </c:tx>
          <c:marker>
            <c:symbol val="none"/>
          </c:marker>
          <c:cat>
            <c:numRef>
              <c:f>'Fatores de forma'!$W$3:$W$803</c:f>
              <c:numCache>
                <c:formatCode>0.00000</c:formatCode>
                <c:ptCount val="801"/>
                <c:pt idx="0">
                  <c:v>20</c:v>
                </c:pt>
                <c:pt idx="1">
                  <c:v>20.05</c:v>
                </c:pt>
                <c:pt idx="2">
                  <c:v>20.100000000000001</c:v>
                </c:pt>
                <c:pt idx="3">
                  <c:v>20.150000000000002</c:v>
                </c:pt>
                <c:pt idx="4">
                  <c:v>20.200000000000003</c:v>
                </c:pt>
                <c:pt idx="5">
                  <c:v>20.250000000000004</c:v>
                </c:pt>
                <c:pt idx="6">
                  <c:v>20.300000000000004</c:v>
                </c:pt>
                <c:pt idx="7">
                  <c:v>20.350000000000005</c:v>
                </c:pt>
                <c:pt idx="8">
                  <c:v>20.400000000000006</c:v>
                </c:pt>
                <c:pt idx="9">
                  <c:v>20.450000000000006</c:v>
                </c:pt>
                <c:pt idx="10">
                  <c:v>20.500000000000007</c:v>
                </c:pt>
                <c:pt idx="11">
                  <c:v>20.550000000000008</c:v>
                </c:pt>
                <c:pt idx="12">
                  <c:v>20.600000000000009</c:v>
                </c:pt>
                <c:pt idx="13">
                  <c:v>20.650000000000009</c:v>
                </c:pt>
                <c:pt idx="14">
                  <c:v>20.70000000000001</c:v>
                </c:pt>
                <c:pt idx="15">
                  <c:v>20.750000000000011</c:v>
                </c:pt>
                <c:pt idx="16">
                  <c:v>20.800000000000011</c:v>
                </c:pt>
                <c:pt idx="17">
                  <c:v>20.850000000000012</c:v>
                </c:pt>
                <c:pt idx="18">
                  <c:v>20.900000000000013</c:v>
                </c:pt>
                <c:pt idx="19">
                  <c:v>20.950000000000014</c:v>
                </c:pt>
                <c:pt idx="20">
                  <c:v>21.000000000000014</c:v>
                </c:pt>
                <c:pt idx="21">
                  <c:v>21.050000000000015</c:v>
                </c:pt>
                <c:pt idx="22">
                  <c:v>21.100000000000016</c:v>
                </c:pt>
                <c:pt idx="23">
                  <c:v>21.150000000000016</c:v>
                </c:pt>
                <c:pt idx="24">
                  <c:v>21.200000000000017</c:v>
                </c:pt>
                <c:pt idx="25">
                  <c:v>21.250000000000018</c:v>
                </c:pt>
                <c:pt idx="26">
                  <c:v>21.300000000000018</c:v>
                </c:pt>
                <c:pt idx="27">
                  <c:v>21.350000000000019</c:v>
                </c:pt>
                <c:pt idx="28">
                  <c:v>21.40000000000002</c:v>
                </c:pt>
                <c:pt idx="29">
                  <c:v>21.450000000000021</c:v>
                </c:pt>
                <c:pt idx="30">
                  <c:v>21.500000000000021</c:v>
                </c:pt>
                <c:pt idx="31">
                  <c:v>21.550000000000022</c:v>
                </c:pt>
                <c:pt idx="32">
                  <c:v>21.600000000000023</c:v>
                </c:pt>
                <c:pt idx="33">
                  <c:v>21.650000000000023</c:v>
                </c:pt>
                <c:pt idx="34">
                  <c:v>21.700000000000024</c:v>
                </c:pt>
                <c:pt idx="35">
                  <c:v>21.750000000000025</c:v>
                </c:pt>
                <c:pt idx="36">
                  <c:v>21.800000000000026</c:v>
                </c:pt>
                <c:pt idx="37">
                  <c:v>21.850000000000026</c:v>
                </c:pt>
                <c:pt idx="38">
                  <c:v>21.900000000000027</c:v>
                </c:pt>
                <c:pt idx="39">
                  <c:v>21.950000000000028</c:v>
                </c:pt>
                <c:pt idx="40">
                  <c:v>22.000000000000028</c:v>
                </c:pt>
                <c:pt idx="41">
                  <c:v>22.050000000000029</c:v>
                </c:pt>
                <c:pt idx="42">
                  <c:v>22.10000000000003</c:v>
                </c:pt>
                <c:pt idx="43">
                  <c:v>22.150000000000031</c:v>
                </c:pt>
                <c:pt idx="44">
                  <c:v>22.200000000000031</c:v>
                </c:pt>
                <c:pt idx="45">
                  <c:v>22.250000000000032</c:v>
                </c:pt>
                <c:pt idx="46">
                  <c:v>22.300000000000033</c:v>
                </c:pt>
                <c:pt idx="47">
                  <c:v>22.350000000000033</c:v>
                </c:pt>
                <c:pt idx="48">
                  <c:v>22.400000000000034</c:v>
                </c:pt>
                <c:pt idx="49">
                  <c:v>22.450000000000035</c:v>
                </c:pt>
                <c:pt idx="50">
                  <c:v>22.500000000000036</c:v>
                </c:pt>
                <c:pt idx="51">
                  <c:v>22.550000000000036</c:v>
                </c:pt>
                <c:pt idx="52">
                  <c:v>22.600000000000037</c:v>
                </c:pt>
                <c:pt idx="53">
                  <c:v>22.650000000000038</c:v>
                </c:pt>
                <c:pt idx="54">
                  <c:v>22.700000000000038</c:v>
                </c:pt>
                <c:pt idx="55">
                  <c:v>22.750000000000039</c:v>
                </c:pt>
                <c:pt idx="56">
                  <c:v>22.80000000000004</c:v>
                </c:pt>
                <c:pt idx="57">
                  <c:v>22.850000000000041</c:v>
                </c:pt>
                <c:pt idx="58">
                  <c:v>22.900000000000041</c:v>
                </c:pt>
                <c:pt idx="59">
                  <c:v>22.950000000000042</c:v>
                </c:pt>
                <c:pt idx="60">
                  <c:v>23.000000000000043</c:v>
                </c:pt>
                <c:pt idx="61">
                  <c:v>23.050000000000043</c:v>
                </c:pt>
                <c:pt idx="62">
                  <c:v>23.100000000000044</c:v>
                </c:pt>
                <c:pt idx="63">
                  <c:v>23.150000000000045</c:v>
                </c:pt>
                <c:pt idx="64">
                  <c:v>23.200000000000045</c:v>
                </c:pt>
                <c:pt idx="65">
                  <c:v>23.250000000000046</c:v>
                </c:pt>
                <c:pt idx="66">
                  <c:v>23.300000000000047</c:v>
                </c:pt>
                <c:pt idx="67">
                  <c:v>23.350000000000048</c:v>
                </c:pt>
                <c:pt idx="68">
                  <c:v>23.400000000000048</c:v>
                </c:pt>
                <c:pt idx="69">
                  <c:v>23.450000000000049</c:v>
                </c:pt>
                <c:pt idx="70">
                  <c:v>23.50000000000005</c:v>
                </c:pt>
                <c:pt idx="71">
                  <c:v>23.55000000000005</c:v>
                </c:pt>
                <c:pt idx="72">
                  <c:v>23.600000000000051</c:v>
                </c:pt>
                <c:pt idx="73">
                  <c:v>23.650000000000052</c:v>
                </c:pt>
                <c:pt idx="74">
                  <c:v>23.700000000000053</c:v>
                </c:pt>
                <c:pt idx="75">
                  <c:v>23.750000000000053</c:v>
                </c:pt>
                <c:pt idx="76">
                  <c:v>23.800000000000054</c:v>
                </c:pt>
                <c:pt idx="77">
                  <c:v>23.850000000000055</c:v>
                </c:pt>
                <c:pt idx="78">
                  <c:v>23.900000000000055</c:v>
                </c:pt>
                <c:pt idx="79">
                  <c:v>23.950000000000056</c:v>
                </c:pt>
                <c:pt idx="80">
                  <c:v>24.000000000000057</c:v>
                </c:pt>
                <c:pt idx="81">
                  <c:v>24.050000000000058</c:v>
                </c:pt>
                <c:pt idx="82">
                  <c:v>24.100000000000058</c:v>
                </c:pt>
                <c:pt idx="83">
                  <c:v>24.150000000000059</c:v>
                </c:pt>
                <c:pt idx="84">
                  <c:v>24.20000000000006</c:v>
                </c:pt>
                <c:pt idx="85">
                  <c:v>24.25000000000006</c:v>
                </c:pt>
                <c:pt idx="86">
                  <c:v>24.300000000000061</c:v>
                </c:pt>
                <c:pt idx="87">
                  <c:v>24.350000000000062</c:v>
                </c:pt>
                <c:pt idx="88">
                  <c:v>24.400000000000063</c:v>
                </c:pt>
                <c:pt idx="89">
                  <c:v>24.450000000000063</c:v>
                </c:pt>
                <c:pt idx="90">
                  <c:v>24.500000000000064</c:v>
                </c:pt>
                <c:pt idx="91">
                  <c:v>24.550000000000065</c:v>
                </c:pt>
                <c:pt idx="92">
                  <c:v>24.600000000000065</c:v>
                </c:pt>
                <c:pt idx="93">
                  <c:v>24.650000000000066</c:v>
                </c:pt>
                <c:pt idx="94">
                  <c:v>24.700000000000067</c:v>
                </c:pt>
                <c:pt idx="95">
                  <c:v>24.750000000000068</c:v>
                </c:pt>
                <c:pt idx="96">
                  <c:v>24.800000000000068</c:v>
                </c:pt>
                <c:pt idx="97">
                  <c:v>24.850000000000069</c:v>
                </c:pt>
                <c:pt idx="98">
                  <c:v>24.90000000000007</c:v>
                </c:pt>
                <c:pt idx="99">
                  <c:v>24.95000000000007</c:v>
                </c:pt>
                <c:pt idx="100">
                  <c:v>25.000000000000071</c:v>
                </c:pt>
                <c:pt idx="101">
                  <c:v>25.050000000000072</c:v>
                </c:pt>
                <c:pt idx="102">
                  <c:v>25.100000000000072</c:v>
                </c:pt>
                <c:pt idx="103">
                  <c:v>25.150000000000073</c:v>
                </c:pt>
                <c:pt idx="104">
                  <c:v>25.200000000000074</c:v>
                </c:pt>
                <c:pt idx="105">
                  <c:v>25.250000000000075</c:v>
                </c:pt>
                <c:pt idx="106">
                  <c:v>25.300000000000075</c:v>
                </c:pt>
                <c:pt idx="107">
                  <c:v>25.350000000000076</c:v>
                </c:pt>
                <c:pt idx="108">
                  <c:v>25.400000000000077</c:v>
                </c:pt>
                <c:pt idx="109">
                  <c:v>25.450000000000077</c:v>
                </c:pt>
                <c:pt idx="110">
                  <c:v>25.500000000000078</c:v>
                </c:pt>
                <c:pt idx="111">
                  <c:v>25.550000000000079</c:v>
                </c:pt>
                <c:pt idx="112">
                  <c:v>25.60000000000008</c:v>
                </c:pt>
                <c:pt idx="113">
                  <c:v>25.65000000000008</c:v>
                </c:pt>
                <c:pt idx="114">
                  <c:v>25.700000000000081</c:v>
                </c:pt>
                <c:pt idx="115">
                  <c:v>25.750000000000082</c:v>
                </c:pt>
                <c:pt idx="116">
                  <c:v>25.800000000000082</c:v>
                </c:pt>
                <c:pt idx="117">
                  <c:v>25.850000000000083</c:v>
                </c:pt>
                <c:pt idx="118">
                  <c:v>25.900000000000084</c:v>
                </c:pt>
                <c:pt idx="119">
                  <c:v>25.950000000000085</c:v>
                </c:pt>
                <c:pt idx="120">
                  <c:v>26.000000000000085</c:v>
                </c:pt>
                <c:pt idx="121">
                  <c:v>26.050000000000086</c:v>
                </c:pt>
                <c:pt idx="122">
                  <c:v>26.100000000000087</c:v>
                </c:pt>
                <c:pt idx="123">
                  <c:v>26.150000000000087</c:v>
                </c:pt>
                <c:pt idx="124">
                  <c:v>26.200000000000088</c:v>
                </c:pt>
                <c:pt idx="125">
                  <c:v>26.250000000000089</c:v>
                </c:pt>
                <c:pt idx="126">
                  <c:v>26.30000000000009</c:v>
                </c:pt>
                <c:pt idx="127">
                  <c:v>26.35000000000009</c:v>
                </c:pt>
                <c:pt idx="128">
                  <c:v>26.400000000000091</c:v>
                </c:pt>
                <c:pt idx="129">
                  <c:v>26.450000000000092</c:v>
                </c:pt>
                <c:pt idx="130">
                  <c:v>26.500000000000092</c:v>
                </c:pt>
                <c:pt idx="131">
                  <c:v>26.550000000000093</c:v>
                </c:pt>
                <c:pt idx="132">
                  <c:v>26.600000000000094</c:v>
                </c:pt>
                <c:pt idx="133">
                  <c:v>26.650000000000095</c:v>
                </c:pt>
                <c:pt idx="134">
                  <c:v>26.700000000000095</c:v>
                </c:pt>
                <c:pt idx="135">
                  <c:v>26.750000000000096</c:v>
                </c:pt>
                <c:pt idx="136">
                  <c:v>26.800000000000097</c:v>
                </c:pt>
                <c:pt idx="137">
                  <c:v>26.850000000000097</c:v>
                </c:pt>
                <c:pt idx="138">
                  <c:v>26.900000000000098</c:v>
                </c:pt>
                <c:pt idx="139">
                  <c:v>26.950000000000099</c:v>
                </c:pt>
                <c:pt idx="140">
                  <c:v>27.000000000000099</c:v>
                </c:pt>
                <c:pt idx="141">
                  <c:v>27.0500000000001</c:v>
                </c:pt>
                <c:pt idx="142">
                  <c:v>27.100000000000101</c:v>
                </c:pt>
                <c:pt idx="143">
                  <c:v>27.150000000000102</c:v>
                </c:pt>
                <c:pt idx="144">
                  <c:v>27.200000000000102</c:v>
                </c:pt>
                <c:pt idx="145">
                  <c:v>27.250000000000103</c:v>
                </c:pt>
                <c:pt idx="146">
                  <c:v>27.300000000000104</c:v>
                </c:pt>
                <c:pt idx="147">
                  <c:v>27.350000000000104</c:v>
                </c:pt>
                <c:pt idx="148">
                  <c:v>27.400000000000105</c:v>
                </c:pt>
                <c:pt idx="149">
                  <c:v>27.450000000000106</c:v>
                </c:pt>
                <c:pt idx="150">
                  <c:v>27.500000000000107</c:v>
                </c:pt>
                <c:pt idx="151">
                  <c:v>27.550000000000107</c:v>
                </c:pt>
                <c:pt idx="152">
                  <c:v>27.600000000000108</c:v>
                </c:pt>
                <c:pt idx="153">
                  <c:v>27.650000000000109</c:v>
                </c:pt>
                <c:pt idx="154">
                  <c:v>27.700000000000109</c:v>
                </c:pt>
                <c:pt idx="155">
                  <c:v>27.75000000000011</c:v>
                </c:pt>
                <c:pt idx="156">
                  <c:v>27.800000000000111</c:v>
                </c:pt>
                <c:pt idx="157">
                  <c:v>27.850000000000112</c:v>
                </c:pt>
                <c:pt idx="158">
                  <c:v>27.900000000000112</c:v>
                </c:pt>
                <c:pt idx="159">
                  <c:v>27.950000000000113</c:v>
                </c:pt>
                <c:pt idx="160">
                  <c:v>28.000000000000114</c:v>
                </c:pt>
                <c:pt idx="161">
                  <c:v>28.050000000000114</c:v>
                </c:pt>
                <c:pt idx="162">
                  <c:v>28.100000000000115</c:v>
                </c:pt>
                <c:pt idx="163">
                  <c:v>28.150000000000116</c:v>
                </c:pt>
                <c:pt idx="164">
                  <c:v>28.200000000000117</c:v>
                </c:pt>
                <c:pt idx="165">
                  <c:v>28.250000000000117</c:v>
                </c:pt>
                <c:pt idx="166">
                  <c:v>28.300000000000118</c:v>
                </c:pt>
                <c:pt idx="167">
                  <c:v>28.350000000000119</c:v>
                </c:pt>
                <c:pt idx="168">
                  <c:v>28.400000000000119</c:v>
                </c:pt>
                <c:pt idx="169">
                  <c:v>28.45000000000012</c:v>
                </c:pt>
                <c:pt idx="170">
                  <c:v>28.500000000000121</c:v>
                </c:pt>
                <c:pt idx="171">
                  <c:v>28.550000000000122</c:v>
                </c:pt>
                <c:pt idx="172">
                  <c:v>28.600000000000122</c:v>
                </c:pt>
                <c:pt idx="173">
                  <c:v>28.650000000000123</c:v>
                </c:pt>
                <c:pt idx="174">
                  <c:v>28.700000000000124</c:v>
                </c:pt>
                <c:pt idx="175">
                  <c:v>28.750000000000124</c:v>
                </c:pt>
                <c:pt idx="176">
                  <c:v>28.800000000000125</c:v>
                </c:pt>
                <c:pt idx="177">
                  <c:v>28.850000000000126</c:v>
                </c:pt>
                <c:pt idx="178">
                  <c:v>28.900000000000126</c:v>
                </c:pt>
                <c:pt idx="179">
                  <c:v>28.950000000000127</c:v>
                </c:pt>
                <c:pt idx="180">
                  <c:v>29.000000000000128</c:v>
                </c:pt>
                <c:pt idx="181">
                  <c:v>29.050000000000129</c:v>
                </c:pt>
                <c:pt idx="182">
                  <c:v>29.100000000000129</c:v>
                </c:pt>
                <c:pt idx="183">
                  <c:v>29.15000000000013</c:v>
                </c:pt>
                <c:pt idx="184">
                  <c:v>29.200000000000131</c:v>
                </c:pt>
                <c:pt idx="185">
                  <c:v>29.250000000000131</c:v>
                </c:pt>
                <c:pt idx="186">
                  <c:v>29.300000000000132</c:v>
                </c:pt>
                <c:pt idx="187">
                  <c:v>29.350000000000133</c:v>
                </c:pt>
                <c:pt idx="188">
                  <c:v>29.400000000000134</c:v>
                </c:pt>
                <c:pt idx="189">
                  <c:v>29.450000000000134</c:v>
                </c:pt>
                <c:pt idx="190">
                  <c:v>29.500000000000135</c:v>
                </c:pt>
                <c:pt idx="191">
                  <c:v>29.550000000000136</c:v>
                </c:pt>
                <c:pt idx="192">
                  <c:v>29.600000000000136</c:v>
                </c:pt>
                <c:pt idx="193">
                  <c:v>29.650000000000137</c:v>
                </c:pt>
                <c:pt idx="194">
                  <c:v>29.700000000000138</c:v>
                </c:pt>
                <c:pt idx="195">
                  <c:v>29.750000000000139</c:v>
                </c:pt>
                <c:pt idx="196">
                  <c:v>29.800000000000139</c:v>
                </c:pt>
                <c:pt idx="197">
                  <c:v>29.85000000000014</c:v>
                </c:pt>
                <c:pt idx="198">
                  <c:v>29.900000000000141</c:v>
                </c:pt>
                <c:pt idx="199">
                  <c:v>29.950000000000141</c:v>
                </c:pt>
                <c:pt idx="200">
                  <c:v>30.000000000000142</c:v>
                </c:pt>
                <c:pt idx="201">
                  <c:v>30.050000000000143</c:v>
                </c:pt>
                <c:pt idx="202">
                  <c:v>30.100000000000144</c:v>
                </c:pt>
                <c:pt idx="203">
                  <c:v>30.150000000000144</c:v>
                </c:pt>
                <c:pt idx="204">
                  <c:v>30.200000000000145</c:v>
                </c:pt>
                <c:pt idx="205">
                  <c:v>30.250000000000146</c:v>
                </c:pt>
                <c:pt idx="206">
                  <c:v>30.300000000000146</c:v>
                </c:pt>
                <c:pt idx="207">
                  <c:v>30.350000000000147</c:v>
                </c:pt>
                <c:pt idx="208">
                  <c:v>30.400000000000148</c:v>
                </c:pt>
                <c:pt idx="209">
                  <c:v>30.450000000000149</c:v>
                </c:pt>
                <c:pt idx="210">
                  <c:v>30.500000000000149</c:v>
                </c:pt>
                <c:pt idx="211">
                  <c:v>30.55000000000015</c:v>
                </c:pt>
                <c:pt idx="212">
                  <c:v>30.600000000000151</c:v>
                </c:pt>
                <c:pt idx="213">
                  <c:v>30.650000000000151</c:v>
                </c:pt>
                <c:pt idx="214">
                  <c:v>30.700000000000152</c:v>
                </c:pt>
                <c:pt idx="215">
                  <c:v>30.750000000000153</c:v>
                </c:pt>
                <c:pt idx="216">
                  <c:v>30.800000000000153</c:v>
                </c:pt>
                <c:pt idx="217">
                  <c:v>30.850000000000154</c:v>
                </c:pt>
                <c:pt idx="218">
                  <c:v>30.900000000000155</c:v>
                </c:pt>
                <c:pt idx="219">
                  <c:v>30.950000000000156</c:v>
                </c:pt>
                <c:pt idx="220">
                  <c:v>31.000000000000156</c:v>
                </c:pt>
                <c:pt idx="221">
                  <c:v>31.050000000000157</c:v>
                </c:pt>
                <c:pt idx="222">
                  <c:v>31.100000000000158</c:v>
                </c:pt>
                <c:pt idx="223">
                  <c:v>31.150000000000158</c:v>
                </c:pt>
                <c:pt idx="224">
                  <c:v>31.200000000000159</c:v>
                </c:pt>
                <c:pt idx="225">
                  <c:v>31.25000000000016</c:v>
                </c:pt>
                <c:pt idx="226">
                  <c:v>31.300000000000161</c:v>
                </c:pt>
                <c:pt idx="227">
                  <c:v>31.350000000000161</c:v>
                </c:pt>
                <c:pt idx="228">
                  <c:v>31.400000000000162</c:v>
                </c:pt>
                <c:pt idx="229">
                  <c:v>31.450000000000163</c:v>
                </c:pt>
                <c:pt idx="230">
                  <c:v>31.500000000000163</c:v>
                </c:pt>
                <c:pt idx="231">
                  <c:v>31.550000000000164</c:v>
                </c:pt>
                <c:pt idx="232">
                  <c:v>31.600000000000165</c:v>
                </c:pt>
                <c:pt idx="233">
                  <c:v>31.650000000000166</c:v>
                </c:pt>
                <c:pt idx="234">
                  <c:v>31.700000000000166</c:v>
                </c:pt>
                <c:pt idx="235">
                  <c:v>31.750000000000167</c:v>
                </c:pt>
                <c:pt idx="236">
                  <c:v>31.800000000000168</c:v>
                </c:pt>
                <c:pt idx="237">
                  <c:v>31.850000000000168</c:v>
                </c:pt>
                <c:pt idx="238">
                  <c:v>31.900000000000169</c:v>
                </c:pt>
                <c:pt idx="239">
                  <c:v>31.95000000000017</c:v>
                </c:pt>
                <c:pt idx="240">
                  <c:v>32.000000000000171</c:v>
                </c:pt>
                <c:pt idx="241">
                  <c:v>32.050000000000168</c:v>
                </c:pt>
                <c:pt idx="242">
                  <c:v>32.100000000000165</c:v>
                </c:pt>
                <c:pt idx="243">
                  <c:v>32.150000000000162</c:v>
                </c:pt>
                <c:pt idx="244">
                  <c:v>32.200000000000159</c:v>
                </c:pt>
                <c:pt idx="245">
                  <c:v>32.250000000000156</c:v>
                </c:pt>
                <c:pt idx="246">
                  <c:v>32.300000000000153</c:v>
                </c:pt>
                <c:pt idx="247">
                  <c:v>32.350000000000151</c:v>
                </c:pt>
                <c:pt idx="248">
                  <c:v>32.400000000000148</c:v>
                </c:pt>
                <c:pt idx="249">
                  <c:v>32.450000000000145</c:v>
                </c:pt>
                <c:pt idx="250">
                  <c:v>32.500000000000142</c:v>
                </c:pt>
                <c:pt idx="251">
                  <c:v>32.550000000000139</c:v>
                </c:pt>
                <c:pt idx="252">
                  <c:v>32.600000000000136</c:v>
                </c:pt>
                <c:pt idx="253">
                  <c:v>32.650000000000134</c:v>
                </c:pt>
                <c:pt idx="254">
                  <c:v>32.700000000000131</c:v>
                </c:pt>
                <c:pt idx="255">
                  <c:v>32.750000000000128</c:v>
                </c:pt>
                <c:pt idx="256">
                  <c:v>32.800000000000125</c:v>
                </c:pt>
                <c:pt idx="257">
                  <c:v>32.850000000000122</c:v>
                </c:pt>
                <c:pt idx="258">
                  <c:v>32.900000000000119</c:v>
                </c:pt>
                <c:pt idx="259">
                  <c:v>32.950000000000117</c:v>
                </c:pt>
                <c:pt idx="260">
                  <c:v>33.000000000000114</c:v>
                </c:pt>
                <c:pt idx="261">
                  <c:v>33.050000000000111</c:v>
                </c:pt>
                <c:pt idx="262">
                  <c:v>33.100000000000108</c:v>
                </c:pt>
                <c:pt idx="263">
                  <c:v>33.150000000000105</c:v>
                </c:pt>
                <c:pt idx="264">
                  <c:v>33.200000000000102</c:v>
                </c:pt>
                <c:pt idx="265">
                  <c:v>33.250000000000099</c:v>
                </c:pt>
                <c:pt idx="266">
                  <c:v>33.300000000000097</c:v>
                </c:pt>
                <c:pt idx="267">
                  <c:v>33.350000000000094</c:v>
                </c:pt>
                <c:pt idx="268">
                  <c:v>33.400000000000091</c:v>
                </c:pt>
                <c:pt idx="269">
                  <c:v>33.450000000000088</c:v>
                </c:pt>
                <c:pt idx="270">
                  <c:v>33.500000000000085</c:v>
                </c:pt>
                <c:pt idx="271">
                  <c:v>33.550000000000082</c:v>
                </c:pt>
                <c:pt idx="272">
                  <c:v>33.60000000000008</c:v>
                </c:pt>
                <c:pt idx="273">
                  <c:v>33.650000000000077</c:v>
                </c:pt>
                <c:pt idx="274">
                  <c:v>33.700000000000074</c:v>
                </c:pt>
                <c:pt idx="275">
                  <c:v>33.750000000000071</c:v>
                </c:pt>
                <c:pt idx="276">
                  <c:v>33.800000000000068</c:v>
                </c:pt>
                <c:pt idx="277">
                  <c:v>33.850000000000065</c:v>
                </c:pt>
                <c:pt idx="278">
                  <c:v>33.900000000000063</c:v>
                </c:pt>
                <c:pt idx="279">
                  <c:v>33.95000000000006</c:v>
                </c:pt>
                <c:pt idx="280">
                  <c:v>34.000000000000057</c:v>
                </c:pt>
                <c:pt idx="281">
                  <c:v>34.050000000000054</c:v>
                </c:pt>
                <c:pt idx="282">
                  <c:v>34.100000000000051</c:v>
                </c:pt>
                <c:pt idx="283">
                  <c:v>34.150000000000048</c:v>
                </c:pt>
                <c:pt idx="284">
                  <c:v>34.200000000000045</c:v>
                </c:pt>
                <c:pt idx="285">
                  <c:v>34.250000000000043</c:v>
                </c:pt>
                <c:pt idx="286">
                  <c:v>34.30000000000004</c:v>
                </c:pt>
                <c:pt idx="287">
                  <c:v>34.350000000000037</c:v>
                </c:pt>
                <c:pt idx="288">
                  <c:v>34.400000000000034</c:v>
                </c:pt>
                <c:pt idx="289">
                  <c:v>34.450000000000031</c:v>
                </c:pt>
                <c:pt idx="290">
                  <c:v>34.500000000000028</c:v>
                </c:pt>
                <c:pt idx="291">
                  <c:v>34.550000000000026</c:v>
                </c:pt>
                <c:pt idx="292">
                  <c:v>34.600000000000023</c:v>
                </c:pt>
                <c:pt idx="293">
                  <c:v>34.65000000000002</c:v>
                </c:pt>
                <c:pt idx="294">
                  <c:v>34.700000000000017</c:v>
                </c:pt>
                <c:pt idx="295">
                  <c:v>34.750000000000014</c:v>
                </c:pt>
                <c:pt idx="296">
                  <c:v>34.800000000000011</c:v>
                </c:pt>
                <c:pt idx="297">
                  <c:v>34.850000000000009</c:v>
                </c:pt>
                <c:pt idx="298">
                  <c:v>34.900000000000006</c:v>
                </c:pt>
                <c:pt idx="299">
                  <c:v>34.950000000000003</c:v>
                </c:pt>
                <c:pt idx="300">
                  <c:v>35</c:v>
                </c:pt>
                <c:pt idx="301">
                  <c:v>35.049999999999997</c:v>
                </c:pt>
                <c:pt idx="302">
                  <c:v>35.099999999999994</c:v>
                </c:pt>
                <c:pt idx="303">
                  <c:v>35.149999999999991</c:v>
                </c:pt>
                <c:pt idx="304">
                  <c:v>35.199999999999989</c:v>
                </c:pt>
                <c:pt idx="305">
                  <c:v>35.249999999999986</c:v>
                </c:pt>
                <c:pt idx="306">
                  <c:v>35.299999999999983</c:v>
                </c:pt>
                <c:pt idx="307">
                  <c:v>35.34999999999998</c:v>
                </c:pt>
                <c:pt idx="308">
                  <c:v>35.399999999999977</c:v>
                </c:pt>
                <c:pt idx="309">
                  <c:v>35.449999999999974</c:v>
                </c:pt>
                <c:pt idx="310">
                  <c:v>35.499999999999972</c:v>
                </c:pt>
                <c:pt idx="311">
                  <c:v>35.549999999999969</c:v>
                </c:pt>
                <c:pt idx="312">
                  <c:v>35.599999999999966</c:v>
                </c:pt>
                <c:pt idx="313">
                  <c:v>35.649999999999963</c:v>
                </c:pt>
                <c:pt idx="314">
                  <c:v>35.69999999999996</c:v>
                </c:pt>
                <c:pt idx="315">
                  <c:v>35.749999999999957</c:v>
                </c:pt>
                <c:pt idx="316">
                  <c:v>35.799999999999955</c:v>
                </c:pt>
                <c:pt idx="317">
                  <c:v>35.849999999999952</c:v>
                </c:pt>
                <c:pt idx="318">
                  <c:v>35.899999999999949</c:v>
                </c:pt>
                <c:pt idx="319">
                  <c:v>35.949999999999946</c:v>
                </c:pt>
                <c:pt idx="320">
                  <c:v>35.999999999999943</c:v>
                </c:pt>
                <c:pt idx="321">
                  <c:v>36.04999999999994</c:v>
                </c:pt>
                <c:pt idx="322">
                  <c:v>36.099999999999937</c:v>
                </c:pt>
                <c:pt idx="323">
                  <c:v>36.149999999999935</c:v>
                </c:pt>
                <c:pt idx="324">
                  <c:v>36.199999999999932</c:v>
                </c:pt>
                <c:pt idx="325">
                  <c:v>36.249999999999929</c:v>
                </c:pt>
                <c:pt idx="326">
                  <c:v>36.299999999999926</c:v>
                </c:pt>
                <c:pt idx="327">
                  <c:v>36.349999999999923</c:v>
                </c:pt>
                <c:pt idx="328">
                  <c:v>36.39999999999992</c:v>
                </c:pt>
                <c:pt idx="329">
                  <c:v>36.449999999999918</c:v>
                </c:pt>
                <c:pt idx="330">
                  <c:v>36.499999999999915</c:v>
                </c:pt>
                <c:pt idx="331">
                  <c:v>36.549999999999912</c:v>
                </c:pt>
                <c:pt idx="332">
                  <c:v>36.599999999999909</c:v>
                </c:pt>
                <c:pt idx="333">
                  <c:v>36.649999999999906</c:v>
                </c:pt>
                <c:pt idx="334">
                  <c:v>36.699999999999903</c:v>
                </c:pt>
                <c:pt idx="335">
                  <c:v>36.749999999999901</c:v>
                </c:pt>
                <c:pt idx="336">
                  <c:v>36.799999999999898</c:v>
                </c:pt>
                <c:pt idx="337">
                  <c:v>36.849999999999895</c:v>
                </c:pt>
                <c:pt idx="338">
                  <c:v>36.899999999999892</c:v>
                </c:pt>
                <c:pt idx="339">
                  <c:v>36.949999999999889</c:v>
                </c:pt>
                <c:pt idx="340">
                  <c:v>36.999999999999886</c:v>
                </c:pt>
                <c:pt idx="341">
                  <c:v>37.049999999999883</c:v>
                </c:pt>
                <c:pt idx="342">
                  <c:v>37.099999999999881</c:v>
                </c:pt>
                <c:pt idx="343">
                  <c:v>37.149999999999878</c:v>
                </c:pt>
                <c:pt idx="344">
                  <c:v>37.199999999999875</c:v>
                </c:pt>
                <c:pt idx="345">
                  <c:v>37.249999999999872</c:v>
                </c:pt>
                <c:pt idx="346">
                  <c:v>37.299999999999869</c:v>
                </c:pt>
                <c:pt idx="347">
                  <c:v>37.349999999999866</c:v>
                </c:pt>
                <c:pt idx="348">
                  <c:v>37.399999999999864</c:v>
                </c:pt>
                <c:pt idx="349">
                  <c:v>37.449999999999861</c:v>
                </c:pt>
                <c:pt idx="350">
                  <c:v>37.499999999999858</c:v>
                </c:pt>
                <c:pt idx="351">
                  <c:v>37.549999999999855</c:v>
                </c:pt>
                <c:pt idx="352">
                  <c:v>37.599999999999852</c:v>
                </c:pt>
                <c:pt idx="353">
                  <c:v>37.649999999999849</c:v>
                </c:pt>
                <c:pt idx="354">
                  <c:v>37.699999999999847</c:v>
                </c:pt>
                <c:pt idx="355">
                  <c:v>37.749999999999844</c:v>
                </c:pt>
                <c:pt idx="356">
                  <c:v>37.799999999999841</c:v>
                </c:pt>
                <c:pt idx="357">
                  <c:v>37.849999999999838</c:v>
                </c:pt>
                <c:pt idx="358">
                  <c:v>37.899999999999835</c:v>
                </c:pt>
                <c:pt idx="359">
                  <c:v>37.949999999999832</c:v>
                </c:pt>
                <c:pt idx="360">
                  <c:v>37.999999999999829</c:v>
                </c:pt>
                <c:pt idx="361">
                  <c:v>38.049999999999827</c:v>
                </c:pt>
                <c:pt idx="362">
                  <c:v>38.099999999999824</c:v>
                </c:pt>
                <c:pt idx="363">
                  <c:v>38.149999999999821</c:v>
                </c:pt>
                <c:pt idx="364">
                  <c:v>38.199999999999818</c:v>
                </c:pt>
                <c:pt idx="365">
                  <c:v>38.249999999999815</c:v>
                </c:pt>
                <c:pt idx="366">
                  <c:v>38.299999999999812</c:v>
                </c:pt>
                <c:pt idx="367">
                  <c:v>38.34999999999981</c:v>
                </c:pt>
                <c:pt idx="368">
                  <c:v>38.399999999999807</c:v>
                </c:pt>
                <c:pt idx="369">
                  <c:v>38.449999999999804</c:v>
                </c:pt>
                <c:pt idx="370">
                  <c:v>38.499999999999801</c:v>
                </c:pt>
                <c:pt idx="371">
                  <c:v>38.549999999999798</c:v>
                </c:pt>
                <c:pt idx="372">
                  <c:v>38.599999999999795</c:v>
                </c:pt>
                <c:pt idx="373">
                  <c:v>38.649999999999793</c:v>
                </c:pt>
                <c:pt idx="374">
                  <c:v>38.69999999999979</c:v>
                </c:pt>
                <c:pt idx="375">
                  <c:v>38.749999999999787</c:v>
                </c:pt>
                <c:pt idx="376">
                  <c:v>38.799999999999784</c:v>
                </c:pt>
                <c:pt idx="377">
                  <c:v>38.849999999999781</c:v>
                </c:pt>
                <c:pt idx="378">
                  <c:v>38.899999999999778</c:v>
                </c:pt>
                <c:pt idx="379">
                  <c:v>38.949999999999775</c:v>
                </c:pt>
                <c:pt idx="380">
                  <c:v>38.999999999999773</c:v>
                </c:pt>
                <c:pt idx="381">
                  <c:v>39.04999999999977</c:v>
                </c:pt>
                <c:pt idx="382">
                  <c:v>39.099999999999767</c:v>
                </c:pt>
                <c:pt idx="383">
                  <c:v>39.149999999999764</c:v>
                </c:pt>
                <c:pt idx="384">
                  <c:v>39.199999999999761</c:v>
                </c:pt>
                <c:pt idx="385">
                  <c:v>39.249999999999758</c:v>
                </c:pt>
                <c:pt idx="386">
                  <c:v>39.299999999999756</c:v>
                </c:pt>
                <c:pt idx="387">
                  <c:v>39.349999999999753</c:v>
                </c:pt>
                <c:pt idx="388">
                  <c:v>39.39999999999975</c:v>
                </c:pt>
                <c:pt idx="389">
                  <c:v>39.449999999999747</c:v>
                </c:pt>
                <c:pt idx="390">
                  <c:v>39.499999999999744</c:v>
                </c:pt>
                <c:pt idx="391">
                  <c:v>39.549999999999741</c:v>
                </c:pt>
                <c:pt idx="392">
                  <c:v>39.599999999999739</c:v>
                </c:pt>
                <c:pt idx="393">
                  <c:v>39.649999999999736</c:v>
                </c:pt>
                <c:pt idx="394">
                  <c:v>39.699999999999733</c:v>
                </c:pt>
                <c:pt idx="395">
                  <c:v>39.74999999999973</c:v>
                </c:pt>
                <c:pt idx="396">
                  <c:v>39.799999999999727</c:v>
                </c:pt>
                <c:pt idx="397">
                  <c:v>39.849999999999724</c:v>
                </c:pt>
                <c:pt idx="398">
                  <c:v>39.899999999999721</c:v>
                </c:pt>
                <c:pt idx="399">
                  <c:v>39.949999999999719</c:v>
                </c:pt>
                <c:pt idx="400">
                  <c:v>39.999999999999716</c:v>
                </c:pt>
                <c:pt idx="401">
                  <c:v>40.049999999999713</c:v>
                </c:pt>
                <c:pt idx="402">
                  <c:v>40.09999999999971</c:v>
                </c:pt>
                <c:pt idx="403">
                  <c:v>40.149999999999707</c:v>
                </c:pt>
                <c:pt idx="404">
                  <c:v>40.199999999999704</c:v>
                </c:pt>
                <c:pt idx="405">
                  <c:v>40.249999999999702</c:v>
                </c:pt>
                <c:pt idx="406">
                  <c:v>40.299999999999699</c:v>
                </c:pt>
                <c:pt idx="407">
                  <c:v>40.349999999999696</c:v>
                </c:pt>
                <c:pt idx="408">
                  <c:v>40.399999999999693</c:v>
                </c:pt>
                <c:pt idx="409">
                  <c:v>40.44999999999969</c:v>
                </c:pt>
                <c:pt idx="410">
                  <c:v>40.499999999999687</c:v>
                </c:pt>
                <c:pt idx="411">
                  <c:v>40.549999999999685</c:v>
                </c:pt>
                <c:pt idx="412">
                  <c:v>40.599999999999682</c:v>
                </c:pt>
                <c:pt idx="413">
                  <c:v>40.649999999999679</c:v>
                </c:pt>
                <c:pt idx="414">
                  <c:v>40.699999999999676</c:v>
                </c:pt>
                <c:pt idx="415">
                  <c:v>40.749999999999673</c:v>
                </c:pt>
                <c:pt idx="416">
                  <c:v>40.79999999999967</c:v>
                </c:pt>
                <c:pt idx="417">
                  <c:v>40.849999999999667</c:v>
                </c:pt>
                <c:pt idx="418">
                  <c:v>40.899999999999665</c:v>
                </c:pt>
                <c:pt idx="419">
                  <c:v>40.949999999999662</c:v>
                </c:pt>
                <c:pt idx="420">
                  <c:v>40.999999999999659</c:v>
                </c:pt>
                <c:pt idx="421">
                  <c:v>41.049999999999656</c:v>
                </c:pt>
                <c:pt idx="422">
                  <c:v>41.099999999999653</c:v>
                </c:pt>
                <c:pt idx="423">
                  <c:v>41.14999999999965</c:v>
                </c:pt>
                <c:pt idx="424">
                  <c:v>41.199999999999648</c:v>
                </c:pt>
                <c:pt idx="425">
                  <c:v>41.249999999999645</c:v>
                </c:pt>
                <c:pt idx="426">
                  <c:v>41.299999999999642</c:v>
                </c:pt>
                <c:pt idx="427">
                  <c:v>41.349999999999639</c:v>
                </c:pt>
                <c:pt idx="428">
                  <c:v>41.399999999999636</c:v>
                </c:pt>
                <c:pt idx="429">
                  <c:v>41.449999999999633</c:v>
                </c:pt>
                <c:pt idx="430">
                  <c:v>41.499999999999631</c:v>
                </c:pt>
                <c:pt idx="431">
                  <c:v>41.549999999999628</c:v>
                </c:pt>
                <c:pt idx="432">
                  <c:v>41.599999999999625</c:v>
                </c:pt>
                <c:pt idx="433">
                  <c:v>41.649999999999622</c:v>
                </c:pt>
                <c:pt idx="434">
                  <c:v>41.699999999999619</c:v>
                </c:pt>
                <c:pt idx="435">
                  <c:v>41.749999999999616</c:v>
                </c:pt>
                <c:pt idx="436">
                  <c:v>41.799999999999613</c:v>
                </c:pt>
                <c:pt idx="437">
                  <c:v>41.849999999999611</c:v>
                </c:pt>
                <c:pt idx="438">
                  <c:v>41.899999999999608</c:v>
                </c:pt>
                <c:pt idx="439">
                  <c:v>41.949999999999605</c:v>
                </c:pt>
                <c:pt idx="440">
                  <c:v>41.999999999999602</c:v>
                </c:pt>
                <c:pt idx="441">
                  <c:v>42.049999999999599</c:v>
                </c:pt>
                <c:pt idx="442">
                  <c:v>42.099999999999596</c:v>
                </c:pt>
                <c:pt idx="443">
                  <c:v>42.149999999999594</c:v>
                </c:pt>
                <c:pt idx="444">
                  <c:v>42.199999999999591</c:v>
                </c:pt>
                <c:pt idx="445">
                  <c:v>42.249999999999588</c:v>
                </c:pt>
                <c:pt idx="446">
                  <c:v>42.299999999999585</c:v>
                </c:pt>
                <c:pt idx="447">
                  <c:v>42.349999999999582</c:v>
                </c:pt>
                <c:pt idx="448">
                  <c:v>42.399999999999579</c:v>
                </c:pt>
                <c:pt idx="449">
                  <c:v>42.449999999999577</c:v>
                </c:pt>
                <c:pt idx="450">
                  <c:v>42.499999999999574</c:v>
                </c:pt>
                <c:pt idx="451">
                  <c:v>42.549999999999571</c:v>
                </c:pt>
                <c:pt idx="452">
                  <c:v>42.599999999999568</c:v>
                </c:pt>
                <c:pt idx="453">
                  <c:v>42.649999999999565</c:v>
                </c:pt>
                <c:pt idx="454">
                  <c:v>42.699999999999562</c:v>
                </c:pt>
                <c:pt idx="455">
                  <c:v>42.749999999999559</c:v>
                </c:pt>
                <c:pt idx="456">
                  <c:v>42.799999999999557</c:v>
                </c:pt>
                <c:pt idx="457">
                  <c:v>42.849999999999554</c:v>
                </c:pt>
                <c:pt idx="458">
                  <c:v>42.899999999999551</c:v>
                </c:pt>
                <c:pt idx="459">
                  <c:v>42.949999999999548</c:v>
                </c:pt>
                <c:pt idx="460">
                  <c:v>42.999999999999545</c:v>
                </c:pt>
                <c:pt idx="461">
                  <c:v>43.049999999999542</c:v>
                </c:pt>
                <c:pt idx="462">
                  <c:v>43.09999999999954</c:v>
                </c:pt>
                <c:pt idx="463">
                  <c:v>43.149999999999537</c:v>
                </c:pt>
                <c:pt idx="464">
                  <c:v>43.199999999999534</c:v>
                </c:pt>
                <c:pt idx="465">
                  <c:v>43.249999999999531</c:v>
                </c:pt>
                <c:pt idx="466">
                  <c:v>43.299999999999528</c:v>
                </c:pt>
                <c:pt idx="467">
                  <c:v>43.349999999999525</c:v>
                </c:pt>
                <c:pt idx="468">
                  <c:v>43.399999999999523</c:v>
                </c:pt>
                <c:pt idx="469">
                  <c:v>43.44999999999952</c:v>
                </c:pt>
                <c:pt idx="470">
                  <c:v>43.499999999999517</c:v>
                </c:pt>
                <c:pt idx="471">
                  <c:v>43.549999999999514</c:v>
                </c:pt>
                <c:pt idx="472">
                  <c:v>43.599999999999511</c:v>
                </c:pt>
                <c:pt idx="473">
                  <c:v>43.649999999999508</c:v>
                </c:pt>
                <c:pt idx="474">
                  <c:v>43.699999999999505</c:v>
                </c:pt>
                <c:pt idx="475">
                  <c:v>43.749999999999503</c:v>
                </c:pt>
                <c:pt idx="476">
                  <c:v>43.7999999999995</c:v>
                </c:pt>
                <c:pt idx="477">
                  <c:v>43.849999999999497</c:v>
                </c:pt>
                <c:pt idx="478">
                  <c:v>43.899999999999494</c:v>
                </c:pt>
                <c:pt idx="479">
                  <c:v>43.949999999999491</c:v>
                </c:pt>
                <c:pt idx="480">
                  <c:v>43.999999999999488</c:v>
                </c:pt>
                <c:pt idx="481">
                  <c:v>44.049999999999486</c:v>
                </c:pt>
                <c:pt idx="482">
                  <c:v>44.099999999999483</c:v>
                </c:pt>
                <c:pt idx="483">
                  <c:v>44.14999999999948</c:v>
                </c:pt>
                <c:pt idx="484">
                  <c:v>44.199999999999477</c:v>
                </c:pt>
                <c:pt idx="485">
                  <c:v>44.249999999999474</c:v>
                </c:pt>
                <c:pt idx="486">
                  <c:v>44.299999999999471</c:v>
                </c:pt>
                <c:pt idx="487">
                  <c:v>44.349999999999469</c:v>
                </c:pt>
                <c:pt idx="488">
                  <c:v>44.399999999999466</c:v>
                </c:pt>
                <c:pt idx="489">
                  <c:v>44.449999999999463</c:v>
                </c:pt>
                <c:pt idx="490">
                  <c:v>44.49999999999946</c:v>
                </c:pt>
                <c:pt idx="491">
                  <c:v>44.549999999999457</c:v>
                </c:pt>
                <c:pt idx="492">
                  <c:v>44.599999999999454</c:v>
                </c:pt>
                <c:pt idx="493">
                  <c:v>44.649999999999451</c:v>
                </c:pt>
                <c:pt idx="494">
                  <c:v>44.699999999999449</c:v>
                </c:pt>
                <c:pt idx="495">
                  <c:v>44.749999999999446</c:v>
                </c:pt>
                <c:pt idx="496">
                  <c:v>44.799999999999443</c:v>
                </c:pt>
                <c:pt idx="497">
                  <c:v>44.84999999999944</c:v>
                </c:pt>
                <c:pt idx="498">
                  <c:v>44.899999999999437</c:v>
                </c:pt>
                <c:pt idx="499">
                  <c:v>44.949999999999434</c:v>
                </c:pt>
                <c:pt idx="500">
                  <c:v>44.999999999999432</c:v>
                </c:pt>
                <c:pt idx="501">
                  <c:v>45.049999999999429</c:v>
                </c:pt>
                <c:pt idx="502">
                  <c:v>45.099999999999426</c:v>
                </c:pt>
                <c:pt idx="503">
                  <c:v>45.149999999999423</c:v>
                </c:pt>
                <c:pt idx="504">
                  <c:v>45.19999999999942</c:v>
                </c:pt>
                <c:pt idx="505">
                  <c:v>45.249999999999417</c:v>
                </c:pt>
                <c:pt idx="506">
                  <c:v>45.299999999999415</c:v>
                </c:pt>
                <c:pt idx="507">
                  <c:v>45.349999999999412</c:v>
                </c:pt>
                <c:pt idx="508">
                  <c:v>45.399999999999409</c:v>
                </c:pt>
                <c:pt idx="509">
                  <c:v>45.449999999999406</c:v>
                </c:pt>
                <c:pt idx="510">
                  <c:v>45.499999999999403</c:v>
                </c:pt>
                <c:pt idx="511">
                  <c:v>45.5499999999994</c:v>
                </c:pt>
                <c:pt idx="512">
                  <c:v>45.599999999999397</c:v>
                </c:pt>
                <c:pt idx="513">
                  <c:v>45.649999999999395</c:v>
                </c:pt>
                <c:pt idx="514">
                  <c:v>45.699999999999392</c:v>
                </c:pt>
                <c:pt idx="515">
                  <c:v>45.749999999999389</c:v>
                </c:pt>
                <c:pt idx="516">
                  <c:v>45.799999999999386</c:v>
                </c:pt>
                <c:pt idx="517">
                  <c:v>45.849999999999383</c:v>
                </c:pt>
                <c:pt idx="518">
                  <c:v>45.89999999999938</c:v>
                </c:pt>
                <c:pt idx="519">
                  <c:v>45.949999999999378</c:v>
                </c:pt>
                <c:pt idx="520">
                  <c:v>45.999999999999375</c:v>
                </c:pt>
                <c:pt idx="521">
                  <c:v>46.049999999999372</c:v>
                </c:pt>
                <c:pt idx="522">
                  <c:v>46.099999999999369</c:v>
                </c:pt>
                <c:pt idx="523">
                  <c:v>46.149999999999366</c:v>
                </c:pt>
                <c:pt idx="524">
                  <c:v>46.199999999999363</c:v>
                </c:pt>
                <c:pt idx="525">
                  <c:v>46.249999999999361</c:v>
                </c:pt>
                <c:pt idx="526">
                  <c:v>46.299999999999358</c:v>
                </c:pt>
                <c:pt idx="527">
                  <c:v>46.349999999999355</c:v>
                </c:pt>
                <c:pt idx="528">
                  <c:v>46.399999999999352</c:v>
                </c:pt>
                <c:pt idx="529">
                  <c:v>46.449999999999349</c:v>
                </c:pt>
                <c:pt idx="530">
                  <c:v>46.499999999999346</c:v>
                </c:pt>
                <c:pt idx="531">
                  <c:v>46.549999999999343</c:v>
                </c:pt>
                <c:pt idx="532">
                  <c:v>46.599999999999341</c:v>
                </c:pt>
                <c:pt idx="533">
                  <c:v>46.649999999999338</c:v>
                </c:pt>
                <c:pt idx="534">
                  <c:v>46.699999999999335</c:v>
                </c:pt>
                <c:pt idx="535">
                  <c:v>46.749999999999332</c:v>
                </c:pt>
                <c:pt idx="536">
                  <c:v>46.799999999999329</c:v>
                </c:pt>
                <c:pt idx="537">
                  <c:v>46.849999999999326</c:v>
                </c:pt>
                <c:pt idx="538">
                  <c:v>46.899999999999324</c:v>
                </c:pt>
                <c:pt idx="539">
                  <c:v>46.949999999999321</c:v>
                </c:pt>
                <c:pt idx="540">
                  <c:v>46.999999999999318</c:v>
                </c:pt>
                <c:pt idx="541">
                  <c:v>47.049999999999315</c:v>
                </c:pt>
                <c:pt idx="542">
                  <c:v>47.099999999999312</c:v>
                </c:pt>
                <c:pt idx="543">
                  <c:v>47.149999999999309</c:v>
                </c:pt>
                <c:pt idx="544">
                  <c:v>47.199999999999307</c:v>
                </c:pt>
                <c:pt idx="545">
                  <c:v>47.249999999999304</c:v>
                </c:pt>
                <c:pt idx="546">
                  <c:v>47.299999999999301</c:v>
                </c:pt>
                <c:pt idx="547">
                  <c:v>47.349999999999298</c:v>
                </c:pt>
                <c:pt idx="548">
                  <c:v>47.399999999999295</c:v>
                </c:pt>
                <c:pt idx="549">
                  <c:v>47.449999999999292</c:v>
                </c:pt>
                <c:pt idx="550">
                  <c:v>47.499999999999289</c:v>
                </c:pt>
                <c:pt idx="551">
                  <c:v>47.549999999999287</c:v>
                </c:pt>
                <c:pt idx="552">
                  <c:v>47.599999999999284</c:v>
                </c:pt>
                <c:pt idx="553">
                  <c:v>47.649999999999281</c:v>
                </c:pt>
                <c:pt idx="554">
                  <c:v>47.699999999999278</c:v>
                </c:pt>
                <c:pt idx="555">
                  <c:v>47.749999999999275</c:v>
                </c:pt>
                <c:pt idx="556">
                  <c:v>47.799999999999272</c:v>
                </c:pt>
                <c:pt idx="557">
                  <c:v>47.84999999999927</c:v>
                </c:pt>
                <c:pt idx="558">
                  <c:v>47.899999999999267</c:v>
                </c:pt>
                <c:pt idx="559">
                  <c:v>47.949999999999264</c:v>
                </c:pt>
                <c:pt idx="560">
                  <c:v>47.999999999999261</c:v>
                </c:pt>
                <c:pt idx="561">
                  <c:v>48.049999999999258</c:v>
                </c:pt>
                <c:pt idx="562">
                  <c:v>48.099999999999255</c:v>
                </c:pt>
                <c:pt idx="563">
                  <c:v>48.149999999999253</c:v>
                </c:pt>
                <c:pt idx="564">
                  <c:v>48.19999999999925</c:v>
                </c:pt>
                <c:pt idx="565">
                  <c:v>48.249999999999247</c:v>
                </c:pt>
                <c:pt idx="566">
                  <c:v>48.299999999999244</c:v>
                </c:pt>
                <c:pt idx="567">
                  <c:v>48.349999999999241</c:v>
                </c:pt>
                <c:pt idx="568">
                  <c:v>48.399999999999238</c:v>
                </c:pt>
                <c:pt idx="569">
                  <c:v>48.449999999999235</c:v>
                </c:pt>
                <c:pt idx="570">
                  <c:v>48.499999999999233</c:v>
                </c:pt>
                <c:pt idx="571">
                  <c:v>48.54999999999923</c:v>
                </c:pt>
                <c:pt idx="572">
                  <c:v>48.599999999999227</c:v>
                </c:pt>
                <c:pt idx="573">
                  <c:v>48.649999999999224</c:v>
                </c:pt>
                <c:pt idx="574">
                  <c:v>48.699999999999221</c:v>
                </c:pt>
                <c:pt idx="575">
                  <c:v>48.749999999999218</c:v>
                </c:pt>
                <c:pt idx="576">
                  <c:v>48.799999999999216</c:v>
                </c:pt>
                <c:pt idx="577">
                  <c:v>48.849999999999213</c:v>
                </c:pt>
                <c:pt idx="578">
                  <c:v>48.89999999999921</c:v>
                </c:pt>
                <c:pt idx="579">
                  <c:v>48.949999999999207</c:v>
                </c:pt>
                <c:pt idx="580">
                  <c:v>48.999999999999204</c:v>
                </c:pt>
                <c:pt idx="581">
                  <c:v>49.049999999999201</c:v>
                </c:pt>
                <c:pt idx="582">
                  <c:v>49.099999999999199</c:v>
                </c:pt>
                <c:pt idx="583">
                  <c:v>49.149999999999196</c:v>
                </c:pt>
                <c:pt idx="584">
                  <c:v>49.199999999999193</c:v>
                </c:pt>
                <c:pt idx="585">
                  <c:v>49.24999999999919</c:v>
                </c:pt>
                <c:pt idx="586">
                  <c:v>49.299999999999187</c:v>
                </c:pt>
                <c:pt idx="587">
                  <c:v>49.349999999999184</c:v>
                </c:pt>
                <c:pt idx="588">
                  <c:v>49.399999999999181</c:v>
                </c:pt>
                <c:pt idx="589">
                  <c:v>49.449999999999179</c:v>
                </c:pt>
                <c:pt idx="590">
                  <c:v>49.499999999999176</c:v>
                </c:pt>
                <c:pt idx="591">
                  <c:v>49.549999999999173</c:v>
                </c:pt>
                <c:pt idx="592">
                  <c:v>49.59999999999917</c:v>
                </c:pt>
                <c:pt idx="593">
                  <c:v>49.649999999999167</c:v>
                </c:pt>
                <c:pt idx="594">
                  <c:v>49.699999999999164</c:v>
                </c:pt>
                <c:pt idx="595">
                  <c:v>49.749999999999162</c:v>
                </c:pt>
                <c:pt idx="596">
                  <c:v>49.799999999999159</c:v>
                </c:pt>
                <c:pt idx="597">
                  <c:v>49.849999999999156</c:v>
                </c:pt>
                <c:pt idx="598">
                  <c:v>49.899999999999153</c:v>
                </c:pt>
                <c:pt idx="599">
                  <c:v>49.94999999999915</c:v>
                </c:pt>
                <c:pt idx="600">
                  <c:v>49.999999999999147</c:v>
                </c:pt>
                <c:pt idx="601">
                  <c:v>50.049999999999145</c:v>
                </c:pt>
                <c:pt idx="602">
                  <c:v>50.099999999999142</c:v>
                </c:pt>
                <c:pt idx="603">
                  <c:v>50.149999999999139</c:v>
                </c:pt>
                <c:pt idx="604">
                  <c:v>50.199999999999136</c:v>
                </c:pt>
                <c:pt idx="605">
                  <c:v>50.249999999999133</c:v>
                </c:pt>
                <c:pt idx="606">
                  <c:v>50.29999999999913</c:v>
                </c:pt>
                <c:pt idx="607">
                  <c:v>50.349999999999127</c:v>
                </c:pt>
                <c:pt idx="608">
                  <c:v>50.399999999999125</c:v>
                </c:pt>
                <c:pt idx="609">
                  <c:v>50.449999999999122</c:v>
                </c:pt>
                <c:pt idx="610">
                  <c:v>50.499999999999119</c:v>
                </c:pt>
                <c:pt idx="611">
                  <c:v>50.549999999999116</c:v>
                </c:pt>
                <c:pt idx="612">
                  <c:v>50.599999999999113</c:v>
                </c:pt>
                <c:pt idx="613">
                  <c:v>50.64999999999911</c:v>
                </c:pt>
                <c:pt idx="614">
                  <c:v>50.699999999999108</c:v>
                </c:pt>
                <c:pt idx="615">
                  <c:v>50.749999999999105</c:v>
                </c:pt>
                <c:pt idx="616">
                  <c:v>50.799999999999102</c:v>
                </c:pt>
                <c:pt idx="617">
                  <c:v>50.849999999999099</c:v>
                </c:pt>
                <c:pt idx="618">
                  <c:v>50.899999999999096</c:v>
                </c:pt>
                <c:pt idx="619">
                  <c:v>50.949999999999093</c:v>
                </c:pt>
                <c:pt idx="620">
                  <c:v>50.999999999999091</c:v>
                </c:pt>
                <c:pt idx="621">
                  <c:v>51.049999999999088</c:v>
                </c:pt>
                <c:pt idx="622">
                  <c:v>51.099999999999085</c:v>
                </c:pt>
                <c:pt idx="623">
                  <c:v>51.149999999999082</c:v>
                </c:pt>
                <c:pt idx="624">
                  <c:v>51.199999999999079</c:v>
                </c:pt>
                <c:pt idx="625">
                  <c:v>51.249999999999076</c:v>
                </c:pt>
                <c:pt idx="626">
                  <c:v>51.299999999999073</c:v>
                </c:pt>
                <c:pt idx="627">
                  <c:v>51.349999999999071</c:v>
                </c:pt>
                <c:pt idx="628">
                  <c:v>51.399999999999068</c:v>
                </c:pt>
                <c:pt idx="629">
                  <c:v>51.449999999999065</c:v>
                </c:pt>
                <c:pt idx="630">
                  <c:v>51.499999999999062</c:v>
                </c:pt>
                <c:pt idx="631">
                  <c:v>51.549999999999059</c:v>
                </c:pt>
                <c:pt idx="632">
                  <c:v>51.599999999999056</c:v>
                </c:pt>
                <c:pt idx="633">
                  <c:v>51.649999999999054</c:v>
                </c:pt>
                <c:pt idx="634">
                  <c:v>51.699999999999051</c:v>
                </c:pt>
                <c:pt idx="635">
                  <c:v>51.749999999999048</c:v>
                </c:pt>
                <c:pt idx="636">
                  <c:v>51.799999999999045</c:v>
                </c:pt>
                <c:pt idx="637">
                  <c:v>51.849999999999042</c:v>
                </c:pt>
                <c:pt idx="638">
                  <c:v>51.899999999999039</c:v>
                </c:pt>
                <c:pt idx="639">
                  <c:v>51.949999999999037</c:v>
                </c:pt>
                <c:pt idx="640">
                  <c:v>51.999999999999034</c:v>
                </c:pt>
                <c:pt idx="641">
                  <c:v>52.049999999999031</c:v>
                </c:pt>
                <c:pt idx="642">
                  <c:v>52.099999999999028</c:v>
                </c:pt>
                <c:pt idx="643">
                  <c:v>52.149999999999025</c:v>
                </c:pt>
                <c:pt idx="644">
                  <c:v>52.199999999999022</c:v>
                </c:pt>
                <c:pt idx="645">
                  <c:v>52.249999999999019</c:v>
                </c:pt>
                <c:pt idx="646">
                  <c:v>52.299999999999017</c:v>
                </c:pt>
                <c:pt idx="647">
                  <c:v>52.349999999999014</c:v>
                </c:pt>
                <c:pt idx="648">
                  <c:v>52.399999999999011</c:v>
                </c:pt>
                <c:pt idx="649">
                  <c:v>52.449999999999008</c:v>
                </c:pt>
                <c:pt idx="650">
                  <c:v>52.499999999999005</c:v>
                </c:pt>
                <c:pt idx="651">
                  <c:v>52.549999999999002</c:v>
                </c:pt>
                <c:pt idx="652">
                  <c:v>52.599999999999</c:v>
                </c:pt>
                <c:pt idx="653">
                  <c:v>52.649999999998997</c:v>
                </c:pt>
                <c:pt idx="654">
                  <c:v>52.699999999998994</c:v>
                </c:pt>
                <c:pt idx="655">
                  <c:v>52.749999999998991</c:v>
                </c:pt>
                <c:pt idx="656">
                  <c:v>52.799999999998988</c:v>
                </c:pt>
                <c:pt idx="657">
                  <c:v>52.849999999998985</c:v>
                </c:pt>
                <c:pt idx="658">
                  <c:v>52.899999999998983</c:v>
                </c:pt>
                <c:pt idx="659">
                  <c:v>52.94999999999898</c:v>
                </c:pt>
                <c:pt idx="660">
                  <c:v>52.999999999998977</c:v>
                </c:pt>
                <c:pt idx="661">
                  <c:v>53.049999999998974</c:v>
                </c:pt>
                <c:pt idx="662">
                  <c:v>53.099999999998971</c:v>
                </c:pt>
                <c:pt idx="663">
                  <c:v>53.149999999998968</c:v>
                </c:pt>
                <c:pt idx="664">
                  <c:v>53.199999999998965</c:v>
                </c:pt>
                <c:pt idx="665">
                  <c:v>53.249999999998963</c:v>
                </c:pt>
                <c:pt idx="666">
                  <c:v>53.29999999999896</c:v>
                </c:pt>
                <c:pt idx="667">
                  <c:v>53.349999999998957</c:v>
                </c:pt>
                <c:pt idx="668">
                  <c:v>53.399999999998954</c:v>
                </c:pt>
                <c:pt idx="669">
                  <c:v>53.449999999998951</c:v>
                </c:pt>
                <c:pt idx="670">
                  <c:v>53.499999999998948</c:v>
                </c:pt>
                <c:pt idx="671">
                  <c:v>53.549999999998946</c:v>
                </c:pt>
                <c:pt idx="672">
                  <c:v>53.599999999998943</c:v>
                </c:pt>
                <c:pt idx="673">
                  <c:v>53.64999999999894</c:v>
                </c:pt>
                <c:pt idx="674">
                  <c:v>53.699999999998937</c:v>
                </c:pt>
                <c:pt idx="675">
                  <c:v>53.749999999998934</c:v>
                </c:pt>
                <c:pt idx="676">
                  <c:v>53.799999999998931</c:v>
                </c:pt>
                <c:pt idx="677">
                  <c:v>53.849999999998929</c:v>
                </c:pt>
                <c:pt idx="678">
                  <c:v>53.899999999998926</c:v>
                </c:pt>
                <c:pt idx="679">
                  <c:v>53.949999999998923</c:v>
                </c:pt>
                <c:pt idx="680">
                  <c:v>53.99999999999892</c:v>
                </c:pt>
                <c:pt idx="681">
                  <c:v>54.049999999998917</c:v>
                </c:pt>
                <c:pt idx="682">
                  <c:v>54.099999999998914</c:v>
                </c:pt>
                <c:pt idx="683">
                  <c:v>54.149999999998911</c:v>
                </c:pt>
                <c:pt idx="684">
                  <c:v>54.199999999998909</c:v>
                </c:pt>
                <c:pt idx="685">
                  <c:v>54.249999999998906</c:v>
                </c:pt>
                <c:pt idx="686">
                  <c:v>54.299999999998903</c:v>
                </c:pt>
                <c:pt idx="687">
                  <c:v>54.3499999999989</c:v>
                </c:pt>
                <c:pt idx="688">
                  <c:v>54.399999999998897</c:v>
                </c:pt>
                <c:pt idx="689">
                  <c:v>54.449999999998894</c:v>
                </c:pt>
                <c:pt idx="690">
                  <c:v>54.499999999998892</c:v>
                </c:pt>
                <c:pt idx="691">
                  <c:v>54.549999999998889</c:v>
                </c:pt>
                <c:pt idx="692">
                  <c:v>54.599999999998886</c:v>
                </c:pt>
                <c:pt idx="693">
                  <c:v>54.649999999998883</c:v>
                </c:pt>
                <c:pt idx="694">
                  <c:v>54.69999999999888</c:v>
                </c:pt>
                <c:pt idx="695">
                  <c:v>54.749999999998877</c:v>
                </c:pt>
                <c:pt idx="696">
                  <c:v>54.799999999998875</c:v>
                </c:pt>
                <c:pt idx="697">
                  <c:v>54.849999999998872</c:v>
                </c:pt>
                <c:pt idx="698">
                  <c:v>54.899999999998869</c:v>
                </c:pt>
                <c:pt idx="699">
                  <c:v>54.949999999998866</c:v>
                </c:pt>
                <c:pt idx="700">
                  <c:v>54.999999999998863</c:v>
                </c:pt>
                <c:pt idx="701">
                  <c:v>55.04999999999886</c:v>
                </c:pt>
                <c:pt idx="702">
                  <c:v>55.099999999998857</c:v>
                </c:pt>
                <c:pt idx="703">
                  <c:v>55.149999999998855</c:v>
                </c:pt>
                <c:pt idx="704">
                  <c:v>55.199999999998852</c:v>
                </c:pt>
                <c:pt idx="705">
                  <c:v>55.249999999998849</c:v>
                </c:pt>
                <c:pt idx="706">
                  <c:v>55.299999999998846</c:v>
                </c:pt>
                <c:pt idx="707">
                  <c:v>55.349999999998843</c:v>
                </c:pt>
                <c:pt idx="708">
                  <c:v>55.39999999999884</c:v>
                </c:pt>
                <c:pt idx="709">
                  <c:v>55.449999999998838</c:v>
                </c:pt>
                <c:pt idx="710">
                  <c:v>55.499999999998835</c:v>
                </c:pt>
                <c:pt idx="711">
                  <c:v>55.549999999998832</c:v>
                </c:pt>
                <c:pt idx="712">
                  <c:v>55.599999999998829</c:v>
                </c:pt>
                <c:pt idx="713">
                  <c:v>55.649999999998826</c:v>
                </c:pt>
                <c:pt idx="714">
                  <c:v>55.699999999998823</c:v>
                </c:pt>
                <c:pt idx="715">
                  <c:v>55.74999999999882</c:v>
                </c:pt>
                <c:pt idx="716">
                  <c:v>55.799999999998818</c:v>
                </c:pt>
                <c:pt idx="717">
                  <c:v>55.849999999998815</c:v>
                </c:pt>
                <c:pt idx="718">
                  <c:v>55.899999999998812</c:v>
                </c:pt>
                <c:pt idx="719">
                  <c:v>55.949999999998809</c:v>
                </c:pt>
                <c:pt idx="720">
                  <c:v>55.999999999998806</c:v>
                </c:pt>
                <c:pt idx="721">
                  <c:v>56.049999999998803</c:v>
                </c:pt>
                <c:pt idx="722">
                  <c:v>56.099999999998801</c:v>
                </c:pt>
                <c:pt idx="723">
                  <c:v>56.149999999998798</c:v>
                </c:pt>
                <c:pt idx="724">
                  <c:v>56.199999999998795</c:v>
                </c:pt>
                <c:pt idx="725">
                  <c:v>56.249999999998792</c:v>
                </c:pt>
                <c:pt idx="726">
                  <c:v>56.299999999998789</c:v>
                </c:pt>
                <c:pt idx="727">
                  <c:v>56.349999999998786</c:v>
                </c:pt>
                <c:pt idx="728">
                  <c:v>56.399999999998784</c:v>
                </c:pt>
                <c:pt idx="729">
                  <c:v>56.449999999998781</c:v>
                </c:pt>
                <c:pt idx="730">
                  <c:v>56.499999999998778</c:v>
                </c:pt>
                <c:pt idx="731">
                  <c:v>56.549999999998775</c:v>
                </c:pt>
                <c:pt idx="732">
                  <c:v>56.599999999998772</c:v>
                </c:pt>
                <c:pt idx="733">
                  <c:v>56.649999999998769</c:v>
                </c:pt>
                <c:pt idx="734">
                  <c:v>56.699999999998766</c:v>
                </c:pt>
                <c:pt idx="735">
                  <c:v>56.749999999998764</c:v>
                </c:pt>
                <c:pt idx="736">
                  <c:v>56.799999999998761</c:v>
                </c:pt>
                <c:pt idx="737">
                  <c:v>56.849999999998758</c:v>
                </c:pt>
                <c:pt idx="738">
                  <c:v>56.899999999998755</c:v>
                </c:pt>
                <c:pt idx="739">
                  <c:v>56.949999999998752</c:v>
                </c:pt>
                <c:pt idx="740">
                  <c:v>56.999999999998749</c:v>
                </c:pt>
                <c:pt idx="741">
                  <c:v>57.049999999998747</c:v>
                </c:pt>
                <c:pt idx="742">
                  <c:v>57.099999999998744</c:v>
                </c:pt>
                <c:pt idx="743">
                  <c:v>57.149999999998741</c:v>
                </c:pt>
                <c:pt idx="744">
                  <c:v>57.199999999998738</c:v>
                </c:pt>
                <c:pt idx="745">
                  <c:v>57.249999999998735</c:v>
                </c:pt>
                <c:pt idx="746">
                  <c:v>57.299999999998732</c:v>
                </c:pt>
                <c:pt idx="747">
                  <c:v>57.34999999999873</c:v>
                </c:pt>
                <c:pt idx="748">
                  <c:v>57.399999999998727</c:v>
                </c:pt>
                <c:pt idx="749">
                  <c:v>57.449999999998724</c:v>
                </c:pt>
                <c:pt idx="750">
                  <c:v>57.499999999998721</c:v>
                </c:pt>
                <c:pt idx="751">
                  <c:v>57.549999999998718</c:v>
                </c:pt>
                <c:pt idx="752">
                  <c:v>57.599999999998715</c:v>
                </c:pt>
                <c:pt idx="753">
                  <c:v>57.649999999998712</c:v>
                </c:pt>
                <c:pt idx="754">
                  <c:v>57.69999999999871</c:v>
                </c:pt>
                <c:pt idx="755">
                  <c:v>57.749999999998707</c:v>
                </c:pt>
                <c:pt idx="756">
                  <c:v>57.799999999998704</c:v>
                </c:pt>
                <c:pt idx="757">
                  <c:v>57.849999999998701</c:v>
                </c:pt>
                <c:pt idx="758">
                  <c:v>57.899999999998698</c:v>
                </c:pt>
                <c:pt idx="759">
                  <c:v>57.949999999998695</c:v>
                </c:pt>
                <c:pt idx="760">
                  <c:v>57.999999999998693</c:v>
                </c:pt>
                <c:pt idx="761">
                  <c:v>58.04999999999869</c:v>
                </c:pt>
                <c:pt idx="762">
                  <c:v>58.099999999998687</c:v>
                </c:pt>
                <c:pt idx="763">
                  <c:v>58.149999999998684</c:v>
                </c:pt>
                <c:pt idx="764">
                  <c:v>58.199999999998681</c:v>
                </c:pt>
                <c:pt idx="765">
                  <c:v>58.249999999998678</c:v>
                </c:pt>
                <c:pt idx="766">
                  <c:v>58.299999999998676</c:v>
                </c:pt>
                <c:pt idx="767">
                  <c:v>58.349999999998673</c:v>
                </c:pt>
                <c:pt idx="768">
                  <c:v>58.39999999999867</c:v>
                </c:pt>
                <c:pt idx="769">
                  <c:v>58.449999999998667</c:v>
                </c:pt>
                <c:pt idx="770">
                  <c:v>58.499999999998664</c:v>
                </c:pt>
                <c:pt idx="771">
                  <c:v>58.549999999998661</c:v>
                </c:pt>
                <c:pt idx="772">
                  <c:v>58.599999999998658</c:v>
                </c:pt>
                <c:pt idx="773">
                  <c:v>58.649999999998656</c:v>
                </c:pt>
                <c:pt idx="774">
                  <c:v>58.699999999998653</c:v>
                </c:pt>
                <c:pt idx="775">
                  <c:v>58.74999999999865</c:v>
                </c:pt>
                <c:pt idx="776">
                  <c:v>58.799999999998647</c:v>
                </c:pt>
                <c:pt idx="777">
                  <c:v>58.849999999998644</c:v>
                </c:pt>
                <c:pt idx="778">
                  <c:v>58.899999999998641</c:v>
                </c:pt>
                <c:pt idx="779">
                  <c:v>58.949999999998639</c:v>
                </c:pt>
                <c:pt idx="780">
                  <c:v>58.999999999998636</c:v>
                </c:pt>
                <c:pt idx="781">
                  <c:v>59.049999999998633</c:v>
                </c:pt>
                <c:pt idx="782">
                  <c:v>59.09999999999863</c:v>
                </c:pt>
                <c:pt idx="783">
                  <c:v>59.149999999998627</c:v>
                </c:pt>
                <c:pt idx="784">
                  <c:v>59.199999999998624</c:v>
                </c:pt>
                <c:pt idx="785">
                  <c:v>59.249999999998622</c:v>
                </c:pt>
                <c:pt idx="786">
                  <c:v>59.299999999998619</c:v>
                </c:pt>
                <c:pt idx="787">
                  <c:v>59.349999999998616</c:v>
                </c:pt>
                <c:pt idx="788">
                  <c:v>59.399999999998613</c:v>
                </c:pt>
                <c:pt idx="789">
                  <c:v>59.44999999999861</c:v>
                </c:pt>
                <c:pt idx="790">
                  <c:v>59.499999999998607</c:v>
                </c:pt>
                <c:pt idx="791">
                  <c:v>59.549999999998604</c:v>
                </c:pt>
                <c:pt idx="792">
                  <c:v>59.599999999998602</c:v>
                </c:pt>
                <c:pt idx="793">
                  <c:v>59.649999999998599</c:v>
                </c:pt>
                <c:pt idx="794">
                  <c:v>59.699999999998596</c:v>
                </c:pt>
                <c:pt idx="795">
                  <c:v>59.749999999998593</c:v>
                </c:pt>
                <c:pt idx="796">
                  <c:v>59.79999999999859</c:v>
                </c:pt>
                <c:pt idx="797">
                  <c:v>59.849999999998587</c:v>
                </c:pt>
                <c:pt idx="798">
                  <c:v>59.899999999998585</c:v>
                </c:pt>
                <c:pt idx="799">
                  <c:v>59.949999999998582</c:v>
                </c:pt>
                <c:pt idx="800">
                  <c:v>59.999999999998579</c:v>
                </c:pt>
              </c:numCache>
            </c:numRef>
          </c:cat>
          <c:val>
            <c:numRef>
              <c:f>'Fatores de forma'!$AI$3:$AI$803</c:f>
              <c:numCache>
                <c:formatCode>0.00000</c:formatCode>
                <c:ptCount val="801"/>
                <c:pt idx="0">
                  <c:v>7.3117062828476714E-2</c:v>
                </c:pt>
                <c:pt idx="1">
                  <c:v>0.11235502887116698</c:v>
                </c:pt>
                <c:pt idx="2">
                  <c:v>0.1713414022915227</c:v>
                </c:pt>
                <c:pt idx="3">
                  <c:v>0.25931529960024369</c:v>
                </c:pt>
                <c:pt idx="4">
                  <c:v>0.38948432824130474</c:v>
                </c:pt>
                <c:pt idx="5">
                  <c:v>0.58056099840691255</c:v>
                </c:pt>
                <c:pt idx="6">
                  <c:v>0.85881920779807941</c:v>
                </c:pt>
                <c:pt idx="7">
                  <c:v>1.2608158616625456</c:v>
                </c:pt>
                <c:pt idx="8">
                  <c:v>1.8369511247352019</c:v>
                </c:pt>
                <c:pt idx="9">
                  <c:v>2.6560702748528389</c:v>
                </c:pt>
                <c:pt idx="10">
                  <c:v>3.8113386975737646</c:v>
                </c:pt>
                <c:pt idx="11">
                  <c:v>5.4276464436783662</c:v>
                </c:pt>
                <c:pt idx="12">
                  <c:v>7.6708162275699321</c:v>
                </c:pt>
                <c:pt idx="13">
                  <c:v>10.758894015241237</c:v>
                </c:pt>
                <c:pt idx="14">
                  <c:v>14.975788675316416</c:v>
                </c:pt>
                <c:pt idx="15">
                  <c:v>20.68748991951021</c:v>
                </c:pt>
                <c:pt idx="16">
                  <c:v>28.361024734776112</c:v>
                </c:pt>
                <c:pt idx="17">
                  <c:v>38.586204395091002</c:v>
                </c:pt>
                <c:pt idx="18">
                  <c:v>52.100060188894972</c:v>
                </c:pt>
                <c:pt idx="19">
                  <c:v>69.813660910425995</c:v>
                </c:pt>
                <c:pt idx="20">
                  <c:v>92.840746162465848</c:v>
                </c:pt>
                <c:pt idx="21">
                  <c:v>122.52729755857077</c:v>
                </c:pt>
                <c:pt idx="22">
                  <c:v>160.48081094164746</c:v>
                </c:pt>
                <c:pt idx="23">
                  <c:v>208.59763887977005</c:v>
                </c:pt>
                <c:pt idx="24">
                  <c:v>269.08636321915486</c:v>
                </c:pt>
                <c:pt idx="25">
                  <c:v>344.48475929052785</c:v>
                </c:pt>
                <c:pt idx="26">
                  <c:v>437.66756097091809</c:v>
                </c:pt>
                <c:pt idx="27">
                  <c:v>551.84197035491968</c:v>
                </c:pt>
                <c:pt idx="28">
                  <c:v>690.52772323909301</c:v>
                </c:pt>
                <c:pt idx="29">
                  <c:v>857.51856979822662</c:v>
                </c:pt>
                <c:pt idx="30">
                  <c:v>1056.8223044884157</c:v>
                </c:pt>
                <c:pt idx="31">
                  <c:v>1292.5770191978627</c:v>
                </c:pt>
                <c:pt idx="32">
                  <c:v>1568.9420854929776</c:v>
                </c:pt>
                <c:pt idx="33">
                  <c:v>1889.9635040587291</c:v>
                </c:pt>
                <c:pt idx="34">
                  <c:v>2259.4146775884283</c:v>
                </c:pt>
                <c:pt idx="35">
                  <c:v>2680.615325712462</c:v>
                </c:pt>
                <c:pt idx="36">
                  <c:v>3156.2330958033508</c:v>
                </c:pt>
                <c:pt idx="37">
                  <c:v>3688.0743309445957</c:v>
                </c:pt>
                <c:pt idx="38">
                  <c:v>4276.8723088732204</c:v>
                </c:pt>
                <c:pt idx="39">
                  <c:v>4922.0829160035546</c:v>
                </c:pt>
                <c:pt idx="40">
                  <c:v>5621.6990106914482</c:v>
                </c:pt>
                <c:pt idx="41">
                  <c:v>6372.0955032020493</c:v>
                </c:pt>
                <c:pt idx="42">
                  <c:v>7167.9172956635612</c:v>
                </c:pt>
                <c:pt idx="43">
                  <c:v>8002.021573749932</c:v>
                </c:pt>
                <c:pt idx="44">
                  <c:v>8865.4844584240491</c:v>
                </c:pt>
                <c:pt idx="45">
                  <c:v>9747.6797039330395</c:v>
                </c:pt>
                <c:pt idx="46">
                  <c:v>10636.43402666769</c:v>
                </c:pt>
                <c:pt idx="47">
                  <c:v>11518.259897198008</c:v>
                </c:pt>
                <c:pt idx="48">
                  <c:v>12378.662419999038</c:v>
                </c:pt>
                <c:pt idx="49">
                  <c:v>13202.512514231294</c:v>
                </c:pt>
                <c:pt idx="50">
                  <c:v>13974.474287518413</c:v>
                </c:pt>
                <c:pt idx="51">
                  <c:v>14679.470575559531</c:v>
                </c:pt>
                <c:pt idx="52">
                  <c:v>15303.167410528025</c:v>
                </c:pt>
                <c:pt idx="53">
                  <c:v>15832.455955023106</c:v>
                </c:pt>
                <c:pt idx="54">
                  <c:v>16255.909412220246</c:v>
                </c:pt>
                <c:pt idx="55">
                  <c:v>16564.192733056643</c:v>
                </c:pt>
                <c:pt idx="56">
                  <c:v>16750.40462804769</c:v>
                </c:pt>
                <c:pt idx="57">
                  <c:v>16810.334391106098</c:v>
                </c:pt>
                <c:pt idx="58">
                  <c:v>16742.620189531706</c:v>
                </c:pt>
                <c:pt idx="59">
                  <c:v>16548.800510499004</c:v>
                </c:pt>
                <c:pt idx="60">
                  <c:v>16233.256049982423</c:v>
                </c:pt>
                <c:pt idx="61">
                  <c:v>15803.045109298175</c:v>
                </c:pt>
                <c:pt idx="62">
                  <c:v>15267.64113633046</c:v>
                </c:pt>
                <c:pt idx="63">
                  <c:v>14638.586039175596</c:v>
                </c:pt>
                <c:pt idx="64">
                  <c:v>13929.076983189343</c:v>
                </c:pt>
                <c:pt idx="65">
                  <c:v>13153.507305727951</c:v>
                </c:pt>
                <c:pt idx="66">
                  <c:v>12326.983786280218</c:v>
                </c:pt>
                <c:pt idx="67">
                  <c:v>11464.842736042867</c:v>
                </c:pt>
                <c:pt idx="68">
                  <c:v>10582.186266732011</c:v>
                </c:pt>
                <c:pt idx="69">
                  <c:v>9693.4578052189427</c:v>
                </c:pt>
                <c:pt idx="70">
                  <c:v>8812.0726590250488</c:v>
                </c:pt>
                <c:pt idx="71">
                  <c:v>7950.1154850318899</c:v>
                </c:pt>
                <c:pt idx="72">
                  <c:v>7118.112177971615</c:v>
                </c:pt>
                <c:pt idx="73">
                  <c:v>6324.8792884510231</c:v>
                </c:pt>
                <c:pt idx="74">
                  <c:v>5577.4498935749052</c:v>
                </c:pt>
                <c:pt idx="75">
                  <c:v>4881.0711257355088</c:v>
                </c:pt>
                <c:pt idx="76">
                  <c:v>4239.2655081913372</c:v>
                </c:pt>
                <c:pt idx="77">
                  <c:v>3653.9459741641685</c:v>
                </c:pt>
                <c:pt idx="78">
                  <c:v>3125.5730144329227</c:v>
                </c:pt>
                <c:pt idx="79">
                  <c:v>2653.3417961273071</c:v>
                </c:pt>
                <c:pt idx="80">
                  <c:v>2235.3872549555376</c:v>
                </c:pt>
                <c:pt idx="81">
                  <c:v>1868.9959722488195</c:v>
                </c:pt>
                <c:pt idx="82">
                  <c:v>1550.8149648401309</c:v>
                </c:pt>
                <c:pt idx="83">
                  <c:v>1277.0491829274702</c:v>
                </c:pt>
                <c:pt idx="84">
                  <c:v>1043.6413710111399</c:v>
                </c:pt>
                <c:pt idx="85">
                  <c:v>846.42985343564453</c:v>
                </c:pt>
                <c:pt idx="86">
                  <c:v>681.28163334800172</c:v>
                </c:pt>
                <c:pt idx="87">
                  <c:v>544.19984303843398</c:v>
                </c:pt>
                <c:pt idx="88">
                  <c:v>431.40598522159496</c:v>
                </c:pt>
                <c:pt idx="89">
                  <c:v>339.39851887060655</c:v>
                </c:pt>
                <c:pt idx="90">
                  <c:v>264.99015675593893</c:v>
                </c:pt>
                <c:pt idx="91">
                  <c:v>205.32676470189233</c:v>
                </c:pt>
                <c:pt idx="92">
                  <c:v>157.89101218107763</c:v>
                </c:pt>
                <c:pt idx="93">
                  <c:v>120.49395964413667</c:v>
                </c:pt>
                <c:pt idx="94">
                  <c:v>91.257625941066991</c:v>
                </c:pt>
                <c:pt idx="95">
                  <c:v>68.591307148406926</c:v>
                </c:pt>
                <c:pt idx="96">
                  <c:v>51.164061804485783</c:v>
                </c:pt>
                <c:pt idx="97">
                  <c:v>37.875377765783767</c:v>
                </c:pt>
                <c:pt idx="98">
                  <c:v>27.825626677681875</c:v>
                </c:pt>
                <c:pt idx="99">
                  <c:v>20.287519852000386</c:v>
                </c:pt>
                <c:pt idx="100">
                  <c:v>14.679422965176446</c:v>
                </c:pt>
                <c:pt idx="101">
                  <c:v>10.541078153540235</c:v>
                </c:pt>
                <c:pt idx="102">
                  <c:v>7.5120263922667325</c:v>
                </c:pt>
                <c:pt idx="103">
                  <c:v>5.312821192244094</c:v>
                </c:pt>
                <c:pt idx="104">
                  <c:v>3.7289736695072637</c:v>
                </c:pt>
                <c:pt idx="105">
                  <c:v>2.5974635192359612</c:v>
                </c:pt>
                <c:pt idx="106">
                  <c:v>1.7955835554193489</c:v>
                </c:pt>
                <c:pt idx="107">
                  <c:v>1.2318499342118412</c:v>
                </c:pt>
                <c:pt idx="108">
                  <c:v>0.83869878271087772</c:v>
                </c:pt>
                <c:pt idx="109">
                  <c:v>0.56669612554700133</c:v>
                </c:pt>
                <c:pt idx="110">
                  <c:v>0.38000603763720692</c:v>
                </c:pt>
                <c:pt idx="111">
                  <c:v>0.25288715639497095</c:v>
                </c:pt>
                <c:pt idx="112">
                  <c:v>0.16701638212662426</c:v>
                </c:pt>
                <c:pt idx="113">
                  <c:v>0.10946805290573322</c:v>
                </c:pt>
                <c:pt idx="114">
                  <c:v>7.1205204436620761E-2</c:v>
                </c:pt>
                <c:pt idx="115">
                  <c:v>4.5965512280419056E-2</c:v>
                </c:pt>
                <c:pt idx="116">
                  <c:v>2.944750433011474E-2</c:v>
                </c:pt>
                <c:pt idx="117">
                  <c:v>1.8722373577122503E-2</c:v>
                </c:pt>
                <c:pt idx="118">
                  <c:v>1.1813248555156858E-2</c:v>
                </c:pt>
                <c:pt idx="119">
                  <c:v>7.3973096670053706E-3</c:v>
                </c:pt>
                <c:pt idx="120">
                  <c:v>4.5969976322548303E-3</c:v>
                </c:pt>
                <c:pt idx="121">
                  <c:v>2.8351156756949185E-3</c:v>
                </c:pt>
                <c:pt idx="122">
                  <c:v>1.7352550187989073E-3</c:v>
                </c:pt>
                <c:pt idx="123">
                  <c:v>1.0540272957337653E-3</c:v>
                </c:pt>
                <c:pt idx="124">
                  <c:v>6.3538422633573012E-4</c:v>
                </c:pt>
                <c:pt idx="125">
                  <c:v>3.8011676376393849E-4</c:v>
                </c:pt>
                <c:pt idx="126">
                  <c:v>2.2568029448117303E-4</c:v>
                </c:pt>
                <c:pt idx="127">
                  <c:v>1.3297386107795616E-4</c:v>
                </c:pt>
                <c:pt idx="128">
                  <c:v>7.7756184468216465E-5</c:v>
                </c:pt>
                <c:pt idx="129">
                  <c:v>4.5123172502201388E-5</c:v>
                </c:pt>
                <c:pt idx="130">
                  <c:v>2.5987250562460341E-5</c:v>
                </c:pt>
                <c:pt idx="131">
                  <c:v>1.4853098599946391E-5</c:v>
                </c:pt>
                <c:pt idx="132">
                  <c:v>8.424998205034863E-6</c:v>
                </c:pt>
                <c:pt idx="133">
                  <c:v>4.7426228858130305E-6</c:v>
                </c:pt>
                <c:pt idx="134">
                  <c:v>2.6494967496760604E-6</c:v>
                </c:pt>
                <c:pt idx="135">
                  <c:v>1.4689405248132472E-6</c:v>
                </c:pt>
                <c:pt idx="136">
                  <c:v>8.0824133309697136E-7</c:v>
                </c:pt>
                <c:pt idx="137">
                  <c:v>4.4134064365096283E-7</c:v>
                </c:pt>
                <c:pt idx="138">
                  <c:v>2.3916786052843851E-7</c:v>
                </c:pt>
                <c:pt idx="139">
                  <c:v>1.2862570049837775E-7</c:v>
                </c:pt>
                <c:pt idx="140">
                  <c:v>6.8651302658277168E-8</c:v>
                </c:pt>
                <c:pt idx="141">
                  <c:v>3.6363538702157457E-8</c:v>
                </c:pt>
                <c:pt idx="142">
                  <c:v>1.9115286354636139E-8</c:v>
                </c:pt>
                <c:pt idx="143">
                  <c:v>9.972336834359749E-9</c:v>
                </c:pt>
                <c:pt idx="144">
                  <c:v>5.1633559462373363E-9</c:v>
                </c:pt>
                <c:pt idx="145">
                  <c:v>2.6537514321014592E-9</c:v>
                </c:pt>
                <c:pt idx="146">
                  <c:v>1.3548589652286632E-9</c:v>
                </c:pt>
                <c:pt idx="147">
                  <c:v>6.8920555079544859E-10</c:v>
                </c:pt>
                <c:pt idx="148">
                  <c:v>3.5373023858736366E-10</c:v>
                </c:pt>
                <c:pt idx="149">
                  <c:v>1.923257205328133E-10</c:v>
                </c:pt>
                <c:pt idx="150">
                  <c:v>1.2866277731084309E-10</c:v>
                </c:pt>
                <c:pt idx="151">
                  <c:v>1.328211775140217E-10</c:v>
                </c:pt>
                <c:pt idx="152">
                  <c:v>2.0837594551409778E-10</c:v>
                </c:pt>
                <c:pt idx="153">
                  <c:v>3.9489063099542763E-10</c:v>
                </c:pt>
                <c:pt idx="154">
                  <c:v>7.8732117297120357E-10</c:v>
                </c:pt>
                <c:pt idx="155">
                  <c:v>1.5811870760342362E-9</c:v>
                </c:pt>
                <c:pt idx="156">
                  <c:v>3.1634520314929733E-9</c:v>
                </c:pt>
                <c:pt idx="157">
                  <c:v>6.2882420701626648E-9</c:v>
                </c:pt>
                <c:pt idx="158">
                  <c:v>1.2411177710195512E-8</c:v>
                </c:pt>
                <c:pt idx="159">
                  <c:v>2.4319110514522649E-8</c:v>
                </c:pt>
                <c:pt idx="160">
                  <c:v>4.7306197134508826E-8</c:v>
                </c:pt>
                <c:pt idx="161">
                  <c:v>9.1352500649130909E-8</c:v>
                </c:pt>
                <c:pt idx="162">
                  <c:v>1.7512737751809434E-7</c:v>
                </c:pt>
                <c:pt idx="163">
                  <c:v>3.3328721126410565E-7</c:v>
                </c:pt>
                <c:pt idx="164">
                  <c:v>6.2967174857344087E-7</c:v>
                </c:pt>
                <c:pt idx="165">
                  <c:v>1.1809750150685858E-6</c:v>
                </c:pt>
                <c:pt idx="166">
                  <c:v>2.198862896335303E-6</c:v>
                </c:pt>
                <c:pt idx="167">
                  <c:v>4.0643072479263744E-6</c:v>
                </c:pt>
                <c:pt idx="168">
                  <c:v>7.4577161846651106E-6</c:v>
                </c:pt>
                <c:pt idx="169">
                  <c:v>1.3584889511383312E-5</c:v>
                </c:pt>
                <c:pt idx="170">
                  <c:v>2.4566161844430966E-5</c:v>
                </c:pt>
                <c:pt idx="171">
                  <c:v>4.4101102426208232E-5</c:v>
                </c:pt>
                <c:pt idx="172">
                  <c:v>7.859456640859906E-5</c:v>
                </c:pt>
                <c:pt idx="173">
                  <c:v>1.3904857353692877E-4</c:v>
                </c:pt>
                <c:pt idx="174">
                  <c:v>2.442145260873766E-4</c:v>
                </c:pt>
                <c:pt idx="175">
                  <c:v>4.2580169546622943E-4</c:v>
                </c:pt>
                <c:pt idx="176">
                  <c:v>7.370114234302173E-4</c:v>
                </c:pt>
                <c:pt idx="177">
                  <c:v>1.2664031771305413E-3</c:v>
                </c:pt>
                <c:pt idx="178">
                  <c:v>2.1602335296724948E-3</c:v>
                </c:pt>
                <c:pt idx="179">
                  <c:v>3.6581402585851557E-3</c:v>
                </c:pt>
                <c:pt idx="180">
                  <c:v>6.149657693395069E-3</c:v>
                </c:pt>
                <c:pt idx="181">
                  <c:v>1.0262956096441863E-2</c:v>
                </c:pt>
                <c:pt idx="182">
                  <c:v>1.7002975882453874E-2</c:v>
                </c:pt>
                <c:pt idx="183">
                  <c:v>2.7964582874475528E-2</c:v>
                </c:pt>
                <c:pt idx="184">
                  <c:v>4.5658610601012548E-2</c:v>
                </c:pt>
                <c:pt idx="185">
                  <c:v>7.4006178156258179E-2</c:v>
                </c:pt>
                <c:pt idx="186">
                  <c:v>0.11908147383585853</c:v>
                </c:pt>
                <c:pt idx="187">
                  <c:v>0.19021789202637904</c:v>
                </c:pt>
                <c:pt idx="188">
                  <c:v>0.30164037158596074</c:v>
                </c:pt>
                <c:pt idx="189">
                  <c:v>0.47485225944397086</c:v>
                </c:pt>
                <c:pt idx="190">
                  <c:v>0.74209326421571853</c:v>
                </c:pt>
                <c:pt idx="191">
                  <c:v>1.1513023989338158</c:v>
                </c:pt>
                <c:pt idx="192">
                  <c:v>1.7731736491003531</c:v>
                </c:pt>
                <c:pt idx="193">
                  <c:v>2.7110908229185773</c:v>
                </c:pt>
                <c:pt idx="194">
                  <c:v>4.1149807155196632</c:v>
                </c:pt>
                <c:pt idx="195">
                  <c:v>6.2004395926018274</c:v>
                </c:pt>
                <c:pt idx="196">
                  <c:v>9.2748756658179694</c:v>
                </c:pt>
                <c:pt idx="197">
                  <c:v>13.772876434554309</c:v>
                </c:pt>
                <c:pt idx="198">
                  <c:v>20.303557748516944</c:v>
                </c:pt>
                <c:pt idx="199">
                  <c:v>29.713278809316989</c:v>
                </c:pt>
                <c:pt idx="200">
                  <c:v>43.167803418615982</c:v>
                </c:pt>
                <c:pt idx="201">
                  <c:v>62.258730601603268</c:v>
                </c:pt>
                <c:pt idx="202">
                  <c:v>89.139770581091824</c:v>
                </c:pt>
                <c:pt idx="203">
                  <c:v>126.69915008309495</c:v>
                </c:pt>
                <c:pt idx="204">
                  <c:v>178.77501793719159</c:v>
                </c:pt>
                <c:pt idx="205">
                  <c:v>250.42108802431207</c:v>
                </c:pt>
                <c:pt idx="206">
                  <c:v>348.22977729968261</c:v>
                </c:pt>
                <c:pt idx="207">
                  <c:v>480.71962388597944</c:v>
                </c:pt>
                <c:pt idx="208">
                  <c:v>658.7926367404915</c:v>
                </c:pt>
                <c:pt idx="209">
                  <c:v>896.26525527453373</c:v>
                </c:pt>
                <c:pt idx="210">
                  <c:v>1210.4736063519276</c:v>
                </c:pt>
                <c:pt idx="211">
                  <c:v>1622.949576799075</c:v>
                </c:pt>
                <c:pt idx="212">
                  <c:v>2160.1587508450962</c:v>
                </c:pt>
                <c:pt idx="213">
                  <c:v>2854.2844381087484</c:v>
                </c:pt>
                <c:pt idx="214">
                  <c:v>3744.0338774818492</c:v>
                </c:pt>
                <c:pt idx="215">
                  <c:v>4875.4334081333536</c:v>
                </c:pt>
                <c:pt idx="216">
                  <c:v>6302.5692650211704</c:v>
                </c:pt>
                <c:pt idx="217">
                  <c:v>8088.2201701322974</c:v>
                </c:pt>
                <c:pt idx="218">
                  <c:v>10304.317724330951</c:v>
                </c:pt>
                <c:pt idx="219">
                  <c:v>13032.161611966507</c:v>
                </c:pt>
                <c:pt idx="220">
                  <c:v>16362.309824598689</c:v>
                </c:pt>
                <c:pt idx="221">
                  <c:v>20394.060619748027</c:v>
                </c:pt>
                <c:pt idx="222">
                  <c:v>25234.44393031696</c:v>
                </c:pt>
                <c:pt idx="223">
                  <c:v>30996.646559030185</c:v>
                </c:pt>
                <c:pt idx="224">
                  <c:v>37797.808699489651</c:v>
                </c:pt>
                <c:pt idx="225">
                  <c:v>45756.149804227018</c:v>
                </c:pt>
                <c:pt idx="226">
                  <c:v>54987.409834940183</c:v>
                </c:pt>
                <c:pt idx="227">
                  <c:v>65600.627203048673</c:v>
                </c:pt>
                <c:pt idx="228">
                  <c:v>77693.316318667377</c:v>
                </c:pt>
                <c:pt idx="229">
                  <c:v>91346.153986509118</c:v>
                </c:pt>
                <c:pt idx="230">
                  <c:v>106617.33257755225</c:v>
                </c:pt>
                <c:pt idx="231">
                  <c:v>123536.78596863142</c:v>
                </c:pt>
                <c:pt idx="232">
                  <c:v>142100.53815625285</c:v>
                </c:pt>
                <c:pt idx="233">
                  <c:v>162265.46037428189</c:v>
                </c:pt>
                <c:pt idx="234">
                  <c:v>183944.74659005745</c:v>
                </c:pt>
                <c:pt idx="235">
                  <c:v>207004.42581170041</c:v>
                </c:pt>
                <c:pt idx="236">
                  <c:v>231261.2197353676</c:v>
                </c:pt>
                <c:pt idx="237">
                  <c:v>256482.0239023446</c:v>
                </c:pt>
                <c:pt idx="238">
                  <c:v>282385.23902397783</c:v>
                </c:pt>
                <c:pt idx="239">
                  <c:v>308644.10729970044</c:v>
                </c:pt>
                <c:pt idx="240">
                  <c:v>334892.11888914771</c:v>
                </c:pt>
                <c:pt idx="241">
                  <c:v>360730.4503408575</c:v>
                </c:pt>
                <c:pt idx="242">
                  <c:v>385737.2853521544</c:v>
                </c:pt>
                <c:pt idx="243">
                  <c:v>409478.75553679577</c:v>
                </c:pt>
                <c:pt idx="244">
                  <c:v>431521.13243223209</c:v>
                </c:pt>
                <c:pt idx="245">
                  <c:v>451443.80947650381</c:v>
                </c:pt>
                <c:pt idx="246">
                  <c:v>468852.5413626908</c:v>
                </c:pt>
                <c:pt idx="247">
                  <c:v>483392.3641937098</c:v>
                </c:pt>
                <c:pt idx="248">
                  <c:v>494759.60771685542</c:v>
                </c:pt>
                <c:pt idx="249">
                  <c:v>502712.43300654384</c:v>
                </c:pt>
                <c:pt idx="250">
                  <c:v>507079.38526315766</c:v>
                </c:pt>
                <c:pt idx="251">
                  <c:v>507765.53937105526</c:v>
                </c:pt>
                <c:pt idx="252">
                  <c:v>504755.93057977915</c:v>
                </c:pt>
                <c:pt idx="253">
                  <c:v>498116.09714472684</c:v>
                </c:pt>
                <c:pt idx="254">
                  <c:v>487989.70744637505</c:v>
                </c:pt>
                <c:pt idx="255">
                  <c:v>474593.39157500246</c:v>
                </c:pt>
                <c:pt idx="256">
                  <c:v>458209.03705377993</c:v>
                </c:pt>
                <c:pt idx="257">
                  <c:v>439173.93132552953</c:v>
                </c:pt>
                <c:pt idx="258">
                  <c:v>417869.23221057659</c:v>
                </c:pt>
                <c:pt idx="259">
                  <c:v>394707.31601046253</c:v>
                </c:pt>
                <c:pt idx="260">
                  <c:v>370118.58783709496</c:v>
                </c:pt>
                <c:pt idx="261">
                  <c:v>344538.33913611807</c:v>
                </c:pt>
                <c:pt idx="262">
                  <c:v>318394.20476824103</c:v>
                </c:pt>
                <c:pt idx="263">
                  <c:v>292094.71018032823</c:v>
                </c:pt>
                <c:pt idx="264">
                  <c:v>266019.31374615605</c:v>
                </c:pt>
                <c:pt idx="265">
                  <c:v>240510.24719309693</c:v>
                </c:pt>
                <c:pt idx="266">
                  <c:v>215866.34575131949</c:v>
                </c:pt>
                <c:pt idx="267">
                  <c:v>192338.94692081251</c:v>
                </c:pt>
                <c:pt idx="268">
                  <c:v>170129.82967538576</c:v>
                </c:pt>
                <c:pt idx="269">
                  <c:v>149391.07061621809</c:v>
                </c:pt>
                <c:pt idx="270">
                  <c:v>130226.614766099</c:v>
                </c:pt>
                <c:pt idx="271">
                  <c:v>112695.2994682674</c:v>
                </c:pt>
                <c:pt idx="272">
                  <c:v>96815.031659058353</c:v>
                </c:pt>
                <c:pt idx="273">
                  <c:v>82567.801468029618</c:v>
                </c:pt>
                <c:pt idx="274">
                  <c:v>69905.217116905682</c:v>
                </c:pt>
                <c:pt idx="275">
                  <c:v>58754.264788726126</c:v>
                </c:pt>
                <c:pt idx="276">
                  <c:v>49023.029105480528</c:v>
                </c:pt>
                <c:pt idx="277">
                  <c:v>40606.151262125743</c:v>
                </c:pt>
                <c:pt idx="278">
                  <c:v>33389.84882343858</c:v>
                </c:pt>
                <c:pt idx="279">
                  <c:v>27256.370029249138</c:v>
                </c:pt>
                <c:pt idx="280">
                  <c:v>22087.802962303798</c:v>
                </c:pt>
                <c:pt idx="281">
                  <c:v>17769.203516983875</c:v>
                </c:pt>
                <c:pt idx="282">
                  <c:v>14191.043872879476</c:v>
                </c:pt>
                <c:pt idx="283">
                  <c:v>11251.013946899355</c:v>
                </c:pt>
                <c:pt idx="284">
                  <c:v>8855.2315649587017</c:v>
                </c:pt>
                <c:pt idx="285">
                  <c:v>6918.9329363550651</c:v>
                </c:pt>
                <c:pt idx="286">
                  <c:v>5366.7239738554936</c:v>
                </c:pt>
                <c:pt idx="287">
                  <c:v>4132.4759589836822</c:v>
                </c:pt>
                <c:pt idx="288">
                  <c:v>3158.9470889162135</c:v>
                </c:pt>
                <c:pt idx="289">
                  <c:v>2397.2057285305914</c:v>
                </c:pt>
                <c:pt idx="290">
                  <c:v>1805.9228834265271</c:v>
                </c:pt>
                <c:pt idx="291">
                  <c:v>1350.5915695966892</c:v>
                </c:pt>
                <c:pt idx="292">
                  <c:v>1002.7202994743774</c:v>
                </c:pt>
                <c:pt idx="293">
                  <c:v>739.03757309591288</c:v>
                </c:pt>
                <c:pt idx="294">
                  <c:v>540.73461228763063</c:v>
                </c:pt>
                <c:pt idx="295">
                  <c:v>392.76498138659662</c:v>
                </c:pt>
                <c:pt idx="296">
                  <c:v>283.21241581267373</c:v>
                </c:pt>
                <c:pt idx="297">
                  <c:v>202.73221097979973</c:v>
                </c:pt>
                <c:pt idx="298">
                  <c:v>144.06688437852736</c:v>
                </c:pt>
                <c:pt idx="299">
                  <c:v>101.63341312544428</c:v>
                </c:pt>
                <c:pt idx="300">
                  <c:v>71.177019176818519</c:v>
                </c:pt>
                <c:pt idx="301">
                  <c:v>49.485050861488524</c:v>
                </c:pt>
                <c:pt idx="302">
                  <c:v>34.153812106007969</c:v>
                </c:pt>
                <c:pt idx="303">
                  <c:v>23.401046946778056</c:v>
                </c:pt>
                <c:pt idx="304">
                  <c:v>15.917040819726381</c:v>
                </c:pt>
                <c:pt idx="305">
                  <c:v>10.747818190966592</c:v>
                </c:pt>
                <c:pt idx="306">
                  <c:v>7.2045893505186429</c:v>
                </c:pt>
                <c:pt idx="307">
                  <c:v>4.7943428904713459</c:v>
                </c:pt>
                <c:pt idx="308">
                  <c:v>3.1672321008729001</c:v>
                </c:pt>
                <c:pt idx="309">
                  <c:v>2.0771201998471041</c:v>
                </c:pt>
                <c:pt idx="310">
                  <c:v>1.3523039262235315</c:v>
                </c:pt>
                <c:pt idx="311">
                  <c:v>0.87401308211525564</c:v>
                </c:pt>
                <c:pt idx="312">
                  <c:v>0.56077999476867846</c:v>
                </c:pt>
                <c:pt idx="313">
                  <c:v>0.35718900084307509</c:v>
                </c:pt>
                <c:pt idx="314">
                  <c:v>0.22585760448756678</c:v>
                </c:pt>
                <c:pt idx="315">
                  <c:v>0.1417759940214551</c:v>
                </c:pt>
                <c:pt idx="316">
                  <c:v>8.8349239075838401E-2</c:v>
                </c:pt>
                <c:pt idx="317">
                  <c:v>5.4655940994579287E-2</c:v>
                </c:pt>
                <c:pt idx="318">
                  <c:v>3.3567054776893805E-2</c:v>
                </c:pt>
                <c:pt idx="319">
                  <c:v>2.0466831623269718E-2</c:v>
                </c:pt>
                <c:pt idx="320">
                  <c:v>1.2391081243411851E-2</c:v>
                </c:pt>
                <c:pt idx="321">
                  <c:v>7.4518678320895171E-3</c:v>
                </c:pt>
                <c:pt idx="322">
                  <c:v>4.4569448083258377E-3</c:v>
                </c:pt>
                <c:pt idx="323">
                  <c:v>2.6603847322125185E-3</c:v>
                </c:pt>
                <c:pt idx="324">
                  <c:v>1.6008567184578259E-3</c:v>
                </c:pt>
                <c:pt idx="325">
                  <c:v>9.9806333894736777E-4</c:v>
                </c:pt>
                <c:pt idx="326">
                  <c:v>6.8765383240278709E-4</c:v>
                </c:pt>
                <c:pt idx="327">
                  <c:v>5.8173859724655543E-4</c:v>
                </c:pt>
                <c:pt idx="328">
                  <c:v>6.4687541458300333E-4</c:v>
                </c:pt>
                <c:pt idx="329">
                  <c:v>8.9477361890427003E-4</c:v>
                </c:pt>
                <c:pt idx="330">
                  <c:v>1.3834892413898765E-3</c:v>
                </c:pt>
                <c:pt idx="331">
                  <c:v>2.2289669513478076E-3</c:v>
                </c:pt>
                <c:pt idx="332">
                  <c:v>3.6287593416790614E-3</c:v>
                </c:pt>
                <c:pt idx="333">
                  <c:v>5.9019272457003424E-3</c:v>
                </c:pt>
                <c:pt idx="334">
                  <c:v>9.5518082571275399E-3</c:v>
                </c:pt>
                <c:pt idx="335">
                  <c:v>1.536188391063123E-2</c:v>
                </c:pt>
                <c:pt idx="336">
                  <c:v>2.4539797000213318E-2</c:v>
                </c:pt>
                <c:pt idx="337">
                  <c:v>3.8931186380276483E-2</c:v>
                </c:pt>
                <c:pt idx="338">
                  <c:v>6.1334064256599222E-2</c:v>
                </c:pt>
                <c:pt idx="339">
                  <c:v>9.5956767037113699E-2</c:v>
                </c:pt>
                <c:pt idx="340">
                  <c:v>0.14907905857223902</c:v>
                </c:pt>
                <c:pt idx="341">
                  <c:v>0.229997954880276</c:v>
                </c:pt>
                <c:pt idx="342">
                  <c:v>0.35236869001064824</c:v>
                </c:pt>
                <c:pt idx="343">
                  <c:v>0.5360885793211001</c:v>
                </c:pt>
                <c:pt idx="344">
                  <c:v>0.80991915627870614</c:v>
                </c:pt>
                <c:pt idx="345">
                  <c:v>1.2151017550109731</c:v>
                </c:pt>
                <c:pt idx="346">
                  <c:v>1.8102955451256957</c:v>
                </c:pt>
                <c:pt idx="347">
                  <c:v>2.6782565360136945</c:v>
                </c:pt>
                <c:pt idx="348">
                  <c:v>3.934782398374248</c:v>
                </c:pt>
                <c:pt idx="349">
                  <c:v>5.740571389036969</c:v>
                </c:pt>
                <c:pt idx="350">
                  <c:v>8.3167831878397358</c:v>
                </c:pt>
                <c:pt idx="351">
                  <c:v>11.965242178716728</c:v>
                </c:pt>
                <c:pt idx="352">
                  <c:v>17.094384260697229</c:v>
                </c:pt>
                <c:pt idx="353">
                  <c:v>24.252208127237751</c:v>
                </c:pt>
                <c:pt idx="354">
                  <c:v>34.167638744006084</c:v>
                </c:pt>
                <c:pt idx="355">
                  <c:v>47.801827707211395</c:v>
                </c:pt>
                <c:pt idx="356">
                  <c:v>66.410980669520455</c:v>
                </c:pt>
                <c:pt idx="357">
                  <c:v>91.622289534625125</c:v>
                </c:pt>
                <c:pt idx="358">
                  <c:v>125.52442549978069</c:v>
                </c:pt>
                <c:pt idx="359">
                  <c:v>170.77378345192975</c:v>
                </c:pt>
                <c:pt idx="360">
                  <c:v>230.71722187779989</c:v>
                </c:pt>
                <c:pt idx="361">
                  <c:v>309.53137903316184</c:v>
                </c:pt>
                <c:pt idx="362">
                  <c:v>412.37773330252145</c:v>
                </c:pt>
                <c:pt idx="363">
                  <c:v>545.57138946912244</c:v>
                </c:pt>
                <c:pt idx="364">
                  <c:v>716.76010249037859</c:v>
                </c:pt>
                <c:pt idx="365">
                  <c:v>935.10830499483723</c:v>
                </c:pt>
                <c:pt idx="366">
                  <c:v>1211.4789177448529</c:v>
                </c:pt>
                <c:pt idx="367">
                  <c:v>1558.6035578112876</c:v>
                </c:pt>
                <c:pt idx="368">
                  <c:v>1991.2295159324972</c:v>
                </c:pt>
                <c:pt idx="369">
                  <c:v>2526.2296882554497</c:v>
                </c:pt>
                <c:pt idx="370">
                  <c:v>3182.659690744511</c:v>
                </c:pt>
                <c:pt idx="371">
                  <c:v>3981.7448619063566</c:v>
                </c:pt>
                <c:pt idx="372">
                  <c:v>4946.7790002999973</c:v>
                </c:pt>
                <c:pt idx="373">
                  <c:v>6102.9167281108512</c:v>
                </c:pt>
                <c:pt idx="374">
                  <c:v>7476.8425552134713</c:v>
                </c:pt>
                <c:pt idx="375">
                  <c:v>9096.3022461544369</c:v>
                </c:pt>
                <c:pt idx="376">
                  <c:v>10989.486119429797</c:v>
                </c:pt>
                <c:pt idx="377">
                  <c:v>13184.259510025731</c:v>
                </c:pt>
                <c:pt idx="378">
                  <c:v>15707.242774872544</c:v>
                </c:pt>
                <c:pt idx="379">
                  <c:v>18582.751764586352</c:v>
                </c:pt>
                <c:pt idx="380">
                  <c:v>21831.619332561873</c:v>
                </c:pt>
                <c:pt idx="381">
                  <c:v>25469.928769038554</c:v>
                </c:pt>
                <c:pt idx="382">
                  <c:v>29507.700461141019</c:v>
                </c:pt>
                <c:pt idx="383">
                  <c:v>33947.582901971444</c:v>
                </c:pt>
                <c:pt idx="384">
                  <c:v>38783.607633718464</c:v>
                </c:pt>
                <c:pt idx="385">
                  <c:v>44000.074010794029</c:v>
                </c:pt>
                <c:pt idx="386">
                  <c:v>49570.633037136009</c:v>
                </c:pt>
                <c:pt idx="387">
                  <c:v>55457.639291290856</c:v>
                </c:pt>
                <c:pt idx="388">
                  <c:v>61611.835594190925</c:v>
                </c:pt>
                <c:pt idx="389">
                  <c:v>67972.426319910708</c:v>
                </c:pt>
                <c:pt idx="390">
                  <c:v>74467.582107494251</c:v>
                </c:pt>
                <c:pt idx="391">
                  <c:v>81015.40153310688</c:v>
                </c:pt>
                <c:pt idx="392">
                  <c:v>87525.334712451338</c:v>
                </c:pt>
                <c:pt idx="393">
                  <c:v>93900.050809928245</c:v>
                </c:pt>
                <c:pt idx="394">
                  <c:v>100037.70729525077</c:v>
                </c:pt>
                <c:pt idx="395">
                  <c:v>105834.55497434824</c:v>
                </c:pt>
                <c:pt idx="396">
                  <c:v>111187.79089841405</c:v>
                </c:pt>
                <c:pt idx="397">
                  <c:v>115998.55278153285</c:v>
                </c:pt>
                <c:pt idx="398">
                  <c:v>120174.9349583666</c:v>
                </c:pt>
                <c:pt idx="399">
                  <c:v>123634.89835913562</c:v>
                </c:pt>
                <c:pt idx="400">
                  <c:v>126308.94627815635</c:v>
                </c:pt>
                <c:pt idx="401">
                  <c:v>128142.44422891557</c:v>
                </c:pt>
                <c:pt idx="402">
                  <c:v>129097.47578438009</c:v>
                </c:pt>
                <c:pt idx="403">
                  <c:v>129154.14636469625</c:v>
                </c:pt>
                <c:pt idx="404">
                  <c:v>128311.27235424351</c:v>
                </c:pt>
                <c:pt idx="405">
                  <c:v>126586.42220746685</c:v>
                </c:pt>
                <c:pt idx="406">
                  <c:v>124015.30754952708</c:v>
                </c:pt>
                <c:pt idx="407">
                  <c:v>120650.55374849291</c:v>
                </c:pt>
                <c:pt idx="408">
                  <c:v>116559.90907605678</c:v>
                </c:pt>
                <c:pt idx="409">
                  <c:v>111823.97756769056</c:v>
                </c:pt>
                <c:pt idx="410">
                  <c:v>106533.58149912157</c:v>
                </c:pt>
                <c:pt idx="411">
                  <c:v>100786.87385791594</c:v>
                </c:pt>
                <c:pt idx="412">
                  <c:v>94686.328613831312</c:v>
                </c:pt>
                <c:pt idx="413">
                  <c:v>88335.736787273519</c:v>
                </c:pt>
                <c:pt idx="414">
                  <c:v>81837.329586049207</c:v>
                </c:pt>
                <c:pt idx="415">
                  <c:v>75289.136983323813</c:v>
                </c:pt>
                <c:pt idx="416">
                  <c:v>68782.672174544656</c:v>
                </c:pt>
                <c:pt idx="417">
                  <c:v>62401.010777445859</c:v>
                </c:pt>
                <c:pt idx="418">
                  <c:v>56217.309975815231</c:v>
                </c:pt>
                <c:pt idx="419">
                  <c:v>50293.788628759561</c:v>
                </c:pt>
                <c:pt idx="420">
                  <c:v>44681.16615593138</c:v>
                </c:pt>
                <c:pt idx="421">
                  <c:v>39418.537057406596</c:v>
                </c:pt>
                <c:pt idx="422">
                  <c:v>34533.640258634914</c:v>
                </c:pt>
                <c:pt idx="423">
                  <c:v>30043.468793950571</c:v>
                </c:pt>
                <c:pt idx="424">
                  <c:v>25955.156029412385</c:v>
                </c:pt>
                <c:pt idx="425">
                  <c:v>22267.069724567427</c:v>
                </c:pt>
                <c:pt idx="426">
                  <c:v>18970.044498618237</c:v>
                </c:pt>
                <c:pt idx="427">
                  <c:v>16048.686215575697</c:v>
                </c:pt>
                <c:pt idx="428">
                  <c:v>13482.68777663553</c:v>
                </c:pt>
                <c:pt idx="429">
                  <c:v>11248.104042429262</c:v>
                </c:pt>
                <c:pt idx="430">
                  <c:v>9318.5433023976893</c:v>
                </c:pt>
                <c:pt idx="431">
                  <c:v>7666.2430874844194</c:v>
                </c:pt>
                <c:pt idx="432">
                  <c:v>6263.0084851436795</c:v>
                </c:pt>
                <c:pt idx="433">
                  <c:v>5081.0008742249393</c:v>
                </c:pt>
                <c:pt idx="434">
                  <c:v>4093.3736986741324</c:v>
                </c:pt>
                <c:pt idx="435">
                  <c:v>3274.7592340540805</c:v>
                </c:pt>
                <c:pt idx="436">
                  <c:v>2601.6161007505571</c:v>
                </c:pt>
                <c:pt idx="437">
                  <c:v>2052.4515002488852</c:v>
                </c:pt>
                <c:pt idx="438">
                  <c:v>1607.9348600979163</c:v>
                </c:pt>
                <c:pt idx="439">
                  <c:v>1250.9209147804372</c:v>
                </c:pt>
                <c:pt idx="440">
                  <c:v>966.40042501555797</c:v>
                </c:pt>
                <c:pt idx="441">
                  <c:v>741.39597914302408</c:v>
                </c:pt>
                <c:pt idx="442">
                  <c:v>564.81886799240965</c:v>
                </c:pt>
                <c:pt idx="443">
                  <c:v>427.30111043576346</c:v>
                </c:pt>
                <c:pt idx="444">
                  <c:v>321.01453917191606</c:v>
                </c:pt>
                <c:pt idx="445">
                  <c:v>239.48661194990297</c:v>
                </c:pt>
                <c:pt idx="446">
                  <c:v>177.42043287150094</c:v>
                </c:pt>
                <c:pt idx="447">
                  <c:v>130.52445494144297</c:v>
                </c:pt>
                <c:pt idx="448">
                  <c:v>95.355556880325423</c:v>
                </c:pt>
                <c:pt idx="449">
                  <c:v>69.177681581516524</c:v>
                </c:pt>
                <c:pt idx="450">
                  <c:v>49.837001964455226</c:v>
                </c:pt>
                <c:pt idx="451">
                  <c:v>35.65363392886411</c:v>
                </c:pt>
                <c:pt idx="452">
                  <c:v>25.329223050366203</c:v>
                </c:pt>
                <c:pt idx="453">
                  <c:v>17.869260045271901</c:v>
                </c:pt>
                <c:pt idx="454">
                  <c:v>12.518693873275781</c:v>
                </c:pt>
                <c:pt idx="455">
                  <c:v>8.7092737462010028</c:v>
                </c:pt>
                <c:pt idx="456">
                  <c:v>6.0170271163760214</c:v>
                </c:pt>
                <c:pt idx="457">
                  <c:v>4.1283382935156139</c:v>
                </c:pt>
                <c:pt idx="458">
                  <c:v>2.8132045833169408</c:v>
                </c:pt>
                <c:pt idx="459">
                  <c:v>1.9043915971320733</c:v>
                </c:pt>
                <c:pt idx="460">
                  <c:v>1.2813693842480107</c:v>
                </c:pt>
                <c:pt idx="461">
                  <c:v>0.85807354349337694</c:v>
                </c:pt>
                <c:pt idx="462">
                  <c:v>0.57369169995194702</c:v>
                </c:pt>
                <c:pt idx="463">
                  <c:v>0.38582022414431472</c:v>
                </c:pt>
                <c:pt idx="464">
                  <c:v>0.26546602674289987</c:v>
                </c:pt>
                <c:pt idx="465">
                  <c:v>0.19348293718440415</c:v>
                </c:pt>
                <c:pt idx="466">
                  <c:v>0.15813234882182745</c:v>
                </c:pt>
                <c:pt idx="467">
                  <c:v>0.15354535493268406</c:v>
                </c:pt>
                <c:pt idx="468">
                  <c:v>0.17894112895713163</c:v>
                </c:pt>
                <c:pt idx="469">
                  <c:v>0.2385269426245894</c:v>
                </c:pt>
                <c:pt idx="470">
                  <c:v>0.34207242227314433</c:v>
                </c:pt>
                <c:pt idx="471">
                  <c:v>0.50621808644480926</c:v>
                </c:pt>
                <c:pt idx="472">
                  <c:v>0.75664968831153512</c:v>
                </c:pt>
                <c:pt idx="473">
                  <c:v>1.1313492650567445</c:v>
                </c:pt>
                <c:pt idx="474">
                  <c:v>1.6852249043362799</c:v>
                </c:pt>
                <c:pt idx="475">
                  <c:v>2.4965277495054661</c:v>
                </c:pt>
                <c:pt idx="476">
                  <c:v>3.6755900042258829</c:v>
                </c:pt>
                <c:pt idx="477">
                  <c:v>5.3765643554160159</c:v>
                </c:pt>
                <c:pt idx="478">
                  <c:v>7.8130149819635406</c:v>
                </c:pt>
                <c:pt idx="479">
                  <c:v>11.278403292394088</c:v>
                </c:pt>
                <c:pt idx="480">
                  <c:v>16.172725701944859</c:v>
                </c:pt>
                <c:pt idx="481">
                  <c:v>23.036791150251702</c:v>
                </c:pt>
                <c:pt idx="482">
                  <c:v>32.595863922534399</c:v>
                </c:pt>
                <c:pt idx="483">
                  <c:v>45.814629235343347</c:v>
                </c:pt>
                <c:pt idx="484">
                  <c:v>63.965646000376452</c:v>
                </c:pt>
                <c:pt idx="485">
                  <c:v>88.713607927907901</c:v>
                </c:pt>
                <c:pt idx="486">
                  <c:v>122.21780868577861</c:v>
                </c:pt>
                <c:pt idx="487">
                  <c:v>167.25516045676184</c:v>
                </c:pt>
                <c:pt idx="488">
                  <c:v>227.36590306956398</c:v>
                </c:pt>
                <c:pt idx="489">
                  <c:v>307.02371334813319</c:v>
                </c:pt>
                <c:pt idx="490">
                  <c:v>411.83122959183163</c:v>
                </c:pt>
                <c:pt idx="491">
                  <c:v>548.74099363270818</c:v>
                </c:pt>
                <c:pt idx="492">
                  <c:v>726.30043828168311</c:v>
                </c:pt>
                <c:pt idx="493">
                  <c:v>954.91777881719418</c:v>
                </c:pt>
                <c:pt idx="494">
                  <c:v>1247.1434902055612</c:v>
                </c:pt>
                <c:pt idx="495">
                  <c:v>1617.959480434499</c:v>
                </c:pt>
                <c:pt idx="496">
                  <c:v>2085.0651527129999</c:v>
                </c:pt>
                <c:pt idx="497">
                  <c:v>2669.1463751607325</c:v>
                </c:pt>
                <c:pt idx="498">
                  <c:v>3394.1100833417827</c:v>
                </c:pt>
                <c:pt idx="499">
                  <c:v>4287.2640167297168</c:v>
                </c:pt>
                <c:pt idx="500">
                  <c:v>5379.4181734528966</c:v>
                </c:pt>
                <c:pt idx="501">
                  <c:v>6704.8822423413094</c:v>
                </c:pt>
                <c:pt idx="502">
                  <c:v>8301.3318560503485</c:v>
                </c:pt>
                <c:pt idx="503">
                  <c:v>10209.516340725902</c:v>
                </c:pt>
                <c:pt idx="504">
                  <c:v>12472.782048621351</c:v>
                </c:pt>
                <c:pt idx="505">
                  <c:v>15136.388649834113</c:v>
                </c:pt>
                <c:pt idx="506">
                  <c:v>18246.601162205287</c:v>
                </c:pt>
                <c:pt idx="507">
                  <c:v>21849.548148826612</c:v>
                </c:pt>
                <c:pt idx="508">
                  <c:v>25989.846410973332</c:v>
                </c:pt>
                <c:pt idx="509">
                  <c:v>30709.004487048012</c:v>
                </c:pt>
                <c:pt idx="510">
                  <c:v>36043.630985307565</c:v>
                </c:pt>
                <c:pt idx="511">
                  <c:v>42023.488682540046</c:v>
                </c:pt>
                <c:pt idx="512">
                  <c:v>48669.450672049948</c:v>
                </c:pt>
                <c:pt idx="513">
                  <c:v>55991.429730261494</c:v>
                </c:pt>
                <c:pt idx="514">
                  <c:v>63986.365448700446</c:v>
                </c:pt>
                <c:pt idx="515">
                  <c:v>72636.364431571492</c:v>
                </c:pt>
                <c:pt idx="516">
                  <c:v>81907.09587620986</c:v>
                </c:pt>
                <c:pt idx="517">
                  <c:v>91746.547112528118</c:v>
                </c:pt>
                <c:pt idx="518">
                  <c:v>102084.24034046743</c:v>
                </c:pt>
                <c:pt idx="519">
                  <c:v>112831.00230962259</c:v>
                </c:pt>
                <c:pt idx="520">
                  <c:v>123879.36282841564</c:v>
                </c:pt>
                <c:pt idx="521">
                  <c:v>135104.63598719845</c:v>
                </c:pt>
                <c:pt idx="522">
                  <c:v>146366.71050130593</c:v>
                </c:pt>
                <c:pt idx="523">
                  <c:v>157512.54375350478</c:v>
                </c:pt>
                <c:pt idx="524">
                  <c:v>168379.319487284</c:v>
                </c:pt>
                <c:pt idx="525">
                  <c:v>178798.19356409676</c:v>
                </c:pt>
                <c:pt idx="526">
                  <c:v>188598.51787317832</c:v>
                </c:pt>
                <c:pt idx="527">
                  <c:v>197612.40158879082</c:v>
                </c:pt>
                <c:pt idx="528">
                  <c:v>205679.44365655957</c:v>
                </c:pt>
                <c:pt idx="529">
                  <c:v>212651.45257457459</c:v>
                </c:pt>
                <c:pt idx="530">
                  <c:v>218396.96074090991</c:v>
                </c:pt>
                <c:pt idx="531">
                  <c:v>222805.34186364495</c:v>
                </c:pt>
                <c:pt idx="532">
                  <c:v>225790.35153954066</c:v>
                </c:pt>
                <c:pt idx="533">
                  <c:v>227292.93278622598</c:v>
                </c:pt>
                <c:pt idx="534">
                  <c:v>227283.15905687632</c:v>
                </c:pt>
                <c:pt idx="535">
                  <c:v>225761.22543959029</c:v>
                </c:pt>
                <c:pt idx="536">
                  <c:v>222757.44218170427</c:v>
                </c:pt>
                <c:pt idx="537">
                  <c:v>218331.23083931106</c:v>
                </c:pt>
                <c:pt idx="538">
                  <c:v>212569.16949441269</c:v>
                </c:pt>
                <c:pt idx="539">
                  <c:v>205582.17686788389</c:v>
                </c:pt>
                <c:pt idx="540">
                  <c:v>197501.96324670914</c:v>
                </c:pt>
                <c:pt idx="541">
                  <c:v>188476.90678042994</c:v>
                </c:pt>
                <c:pt idx="542">
                  <c:v>178667.53525566554</c:v>
                </c:pt>
                <c:pt idx="543">
                  <c:v>168241.80493436338</c:v>
                </c:pt>
                <c:pt idx="544">
                  <c:v>157370.3691330337</c:v>
                </c:pt>
                <c:pt idx="545">
                  <c:v>146222.02030237482</c:v>
                </c:pt>
                <c:pt idx="546">
                  <c:v>134959.47144342682</c:v>
                </c:pt>
                <c:pt idx="547">
                  <c:v>123735.61729844488</c:v>
                </c:pt>
                <c:pt idx="548">
                  <c:v>112690.38480272194</c:v>
                </c:pt>
                <c:pt idx="549">
                  <c:v>101948.24792940634</c:v>
                </c:pt>
                <c:pt idx="550">
                  <c:v>91616.446519605408</c:v>
                </c:pt>
                <c:pt idx="551">
                  <c:v>81783.914086768098</c:v>
                </c:pt>
                <c:pt idx="552">
                  <c:v>72520.887804783255</c:v>
                </c:pt>
                <c:pt idx="553">
                  <c:v>63879.14647520049</c:v>
                </c:pt>
                <c:pt idx="554">
                  <c:v>55892.800341894705</c:v>
                </c:pt>
                <c:pt idx="555">
                  <c:v>48579.540846244054</c:v>
                </c:pt>
                <c:pt idx="556">
                  <c:v>41942.249002522287</c:v>
                </c:pt>
                <c:pt idx="557">
                  <c:v>35970.857812445633</c:v>
                </c:pt>
                <c:pt idx="558">
                  <c:v>30644.366463778508</c:v>
                </c:pt>
                <c:pt idx="559">
                  <c:v>25932.911129891359</c:v>
                </c:pt>
                <c:pt idx="560">
                  <c:v>21799.807981592825</c:v>
                </c:pt>
                <c:pt idx="561">
                  <c:v>18203.497426456684</c:v>
                </c:pt>
                <c:pt idx="562">
                  <c:v>15099.333489214627</c:v>
                </c:pt>
                <c:pt idx="563">
                  <c:v>12441.177597688757</c:v>
                </c:pt>
                <c:pt idx="564">
                  <c:v>10182.770932145189</c:v>
                </c:pt>
                <c:pt idx="565">
                  <c:v>8278.8731938472174</c:v>
                </c:pt>
                <c:pt idx="566">
                  <c:v>6686.1676063082523</c:v>
                </c:pt>
                <c:pt idx="567">
                  <c:v>5363.9418328204929</c:v>
                </c:pt>
                <c:pt idx="568">
                  <c:v>4274.5621149583912</c:v>
                </c:pt>
                <c:pt idx="569">
                  <c:v>3383.7633113061111</c:v>
                </c:pt>
                <c:pt idx="570">
                  <c:v>2660.7807795499371</c:v>
                </c:pt>
                <c:pt idx="571">
                  <c:v>2078.3514336779749</c:v>
                </c:pt>
                <c:pt idx="572">
                  <c:v>1612.6111215167832</c:v>
                </c:pt>
                <c:pt idx="573">
                  <c:v>1242.9140387600319</c:v>
                </c:pt>
                <c:pt idx="574">
                  <c:v>951.59756076081135</c:v>
                </c:pt>
                <c:pt idx="575">
                  <c:v>723.71295098738767</c:v>
                </c:pt>
                <c:pt idx="576">
                  <c:v>546.73917853862895</c:v>
                </c:pt>
                <c:pt idx="577">
                  <c:v>410.2937843902871</c:v>
                </c:pt>
                <c:pt idx="578">
                  <c:v>305.85156458654143</c:v>
                </c:pt>
                <c:pt idx="579">
                  <c:v>226.47892514285763</c:v>
                </c:pt>
                <c:pt idx="580">
                  <c:v>166.58919724726428</c:v>
                </c:pt>
                <c:pt idx="581">
                  <c:v>121.72202999563682</c:v>
                </c:pt>
                <c:pt idx="582">
                  <c:v>88.348214477580967</c:v>
                </c:pt>
                <c:pt idx="583">
                  <c:v>63.699924014644353</c:v>
                </c:pt>
                <c:pt idx="584">
                  <c:v>45.625348247672477</c:v>
                </c:pt>
                <c:pt idx="585">
                  <c:v>32.46600910084581</c:v>
                </c:pt>
                <c:pt idx="586">
                  <c:v>22.95462392806569</c:v>
                </c:pt>
                <c:pt idx="587">
                  <c:v>16.131173648565873</c:v>
                </c:pt>
                <c:pt idx="588">
                  <c:v>11.27479200194338</c:v>
                </c:pt>
                <c:pt idx="589">
                  <c:v>7.849171535691732</c:v>
                </c:pt>
                <c:pt idx="590">
                  <c:v>5.4593440702080915</c:v>
                </c:pt>
                <c:pt idx="591">
                  <c:v>3.8179064009125416</c:v>
                </c:pt>
                <c:pt idx="592">
                  <c:v>2.7190008362193652</c:v>
                </c:pt>
                <c:pt idx="593">
                  <c:v>2.0186060022020884</c:v>
                </c:pt>
                <c:pt idx="594">
                  <c:v>1.6199328035581857</c:v>
                </c:pt>
                <c:pt idx="595">
                  <c:v>1.4629447074925046</c:v>
                </c:pt>
                <c:pt idx="596">
                  <c:v>1.5172254142135166</c:v>
                </c:pt>
                <c:pt idx="597">
                  <c:v>1.777597993975359</c:v>
                </c:pt>
                <c:pt idx="598">
                  <c:v>2.2620570733948133</c:v>
                </c:pt>
                <c:pt idx="599">
                  <c:v>3.0117101617114694</c:v>
                </c:pt>
                <c:pt idx="600">
                  <c:v>4.0925367973832039</c:v>
                </c:pt>
                <c:pt idx="601">
                  <c:v>5.5988660337738985</c:v>
                </c:pt>
                <c:pt idx="602">
                  <c:v>7.6585447793591843</c:v>
                </c:pt>
                <c:pt idx="603">
                  <c:v>10.439822080913739</c:v>
                </c:pt>
                <c:pt idx="604">
                  <c:v>14.16000738514882</c:v>
                </c:pt>
                <c:pt idx="605">
                  <c:v>19.095973283060562</c:v>
                </c:pt>
                <c:pt idx="606">
                  <c:v>25.596563796019172</c:v>
                </c:pt>
                <c:pt idx="607">
                  <c:v>34.096936042823984</c:v>
                </c:pt>
                <c:pt idx="608">
                  <c:v>45.134804096371937</c:v>
                </c:pt>
                <c:pt idx="609">
                  <c:v>59.368467120251417</c:v>
                </c:pt>
                <c:pt idx="610">
                  <c:v>77.596388164050509</c:v>
                </c:pt>
                <c:pt idx="611">
                  <c:v>100.77794503258306</c:v>
                </c:pt>
                <c:pt idx="612">
                  <c:v>130.05480173074847</c:v>
                </c:pt>
                <c:pt idx="613">
                  <c:v>166.77215150637645</c:v>
                </c:pt>
                <c:pt idx="614">
                  <c:v>212.49886641719635</c:v>
                </c:pt>
                <c:pt idx="615">
                  <c:v>269.04536254120228</c:v>
                </c:pt>
                <c:pt idx="616">
                  <c:v>338.47776653480378</c:v>
                </c:pt>
                <c:pt idx="617">
                  <c:v>423.12676354152819</c:v>
                </c:pt>
                <c:pt idx="618">
                  <c:v>525.58933674701007</c:v>
                </c:pt>
                <c:pt idx="619">
                  <c:v>648.72149581335225</c:v>
                </c:pt>
                <c:pt idx="620">
                  <c:v>795.62005706460798</c:v>
                </c:pt>
                <c:pt idx="621">
                  <c:v>969.59160476050215</c:v>
                </c:pt>
                <c:pt idx="622">
                  <c:v>1174.10695058997</c:v>
                </c:pt>
                <c:pt idx="623">
                  <c:v>1412.7397345427758</c:v>
                </c:pt>
                <c:pt idx="624">
                  <c:v>1689.0882857290264</c:v>
                </c:pt>
                <c:pt idx="625">
                  <c:v>2006.6804897453701</c:v>
                </c:pt>
                <c:pt idx="626">
                  <c:v>2368.8621831477599</c:v>
                </c:pt>
                <c:pt idx="627">
                  <c:v>2778.6704972759876</c:v>
                </c:pt>
                <c:pt idx="628">
                  <c:v>3238.6945723687722</c:v>
                </c:pt>
                <c:pt idx="629">
                  <c:v>3750.9271152365586</c:v>
                </c:pt>
                <c:pt idx="630">
                  <c:v>4316.6113245577153</c:v>
                </c:pt>
                <c:pt idx="631">
                  <c:v>4936.0886921719675</c:v>
                </c:pt>
                <c:pt idx="632">
                  <c:v>5608.6540349649467</c:v>
                </c:pt>
                <c:pt idx="633">
                  <c:v>6332.4247460748975</c:v>
                </c:pt>
                <c:pt idx="634">
                  <c:v>7104.2316049503543</c:v>
                </c:pt>
                <c:pt idx="635">
                  <c:v>7919.5384904455768</c:v>
                </c:pt>
                <c:pt idx="636">
                  <c:v>8772.3979512055339</c:v>
                </c:pt>
                <c:pt idx="637">
                  <c:v>9655.4487745323604</c:v>
                </c:pt>
                <c:pt idx="638">
                  <c:v>10559.960454856211</c:v>
                </c:pt>
                <c:pt idx="639">
                  <c:v>11475.927819978073</c:v>
                </c:pt>
                <c:pt idx="640">
                  <c:v>12392.21708106726</c:v>
                </c:pt>
                <c:pt idx="641">
                  <c:v>13296.762313526144</c:v>
                </c:pt>
                <c:pt idx="642">
                  <c:v>14176.808958699939</c:v>
                </c:pt>
                <c:pt idx="643">
                  <c:v>15019.198489951568</c:v>
                </c:pt>
                <c:pt idx="644">
                  <c:v>15810.686052828452</c:v>
                </c:pt>
                <c:pt idx="645">
                  <c:v>16538.280813813082</c:v>
                </c:pt>
                <c:pt idx="646">
                  <c:v>17189.597075095804</c:v>
                </c:pt>
                <c:pt idx="647">
                  <c:v>17753.203056871345</c:v>
                </c:pt>
                <c:pt idx="648">
                  <c:v>18218.953710275113</c:v>
                </c:pt>
                <c:pt idx="649">
                  <c:v>18578.294064848818</c:v>
                </c:pt>
                <c:pt idx="650">
                  <c:v>18824.520455060825</c:v>
                </c:pt>
                <c:pt idx="651">
                  <c:v>18952.988487508166</c:v>
                </c:pt>
                <c:pt idx="652">
                  <c:v>18961.258736561194</c:v>
                </c:pt>
                <c:pt idx="653">
                  <c:v>18849.173783351256</c:v>
                </c:pt>
                <c:pt idx="654">
                  <c:v>18618.863199153617</c:v>
                </c:pt>
                <c:pt idx="655">
                  <c:v>18274.676252770812</c:v>
                </c:pt>
                <c:pt idx="656">
                  <c:v>17823.045312580052</c:v>
                </c:pt>
                <c:pt idx="657">
                  <c:v>17272.285936711716</c:v>
                </c:pt>
                <c:pt idx="658">
                  <c:v>16632.342330236927</c:v>
                </c:pt>
                <c:pt idx="659">
                  <c:v>15914.489050287135</c:v>
                </c:pt>
                <c:pt idx="660">
                  <c:v>15131.001445565416</c:v>
                </c:pt>
                <c:pt idx="661">
                  <c:v>14294.808252461587</c:v>
                </c:pt>
                <c:pt idx="662">
                  <c:v>13419.140006438363</c:v>
                </c:pt>
                <c:pt idx="663">
                  <c:v>12517.186479290971</c:v>
                </c:pt>
                <c:pt idx="664">
                  <c:v>11601.775276597995</c:v>
                </c:pt>
                <c:pt idx="665">
                  <c:v>10685.082117288146</c:v>
                </c:pt>
                <c:pt idx="666">
                  <c:v>9778.3812886033065</c:v>
                </c:pt>
                <c:pt idx="667">
                  <c:v>8891.8424627909499</c:v>
                </c:pt>
                <c:pt idx="668">
                  <c:v>8034.3776222583147</c:v>
                </c:pt>
                <c:pt idx="669">
                  <c:v>7213.53941076105</c:v>
                </c:pt>
                <c:pt idx="670">
                  <c:v>6435.4699406955169</c:v>
                </c:pt>
                <c:pt idx="671">
                  <c:v>5704.8970523176677</c:v>
                </c:pt>
                <c:pt idx="672">
                  <c:v>5025.1733260454494</c:v>
                </c:pt>
                <c:pt idx="673">
                  <c:v>4398.3518516233398</c:v>
                </c:pt>
                <c:pt idx="674">
                  <c:v>3825.2918859628712</c:v>
                </c:pt>
                <c:pt idx="675">
                  <c:v>3305.7870847155195</c:v>
                </c:pt>
                <c:pt idx="676">
                  <c:v>2838.7089456761832</c:v>
                </c:pt>
                <c:pt idx="677">
                  <c:v>2422.1584089181738</c:v>
                </c:pt>
                <c:pt idx="678">
                  <c:v>2053.6191579438205</c:v>
                </c:pt>
                <c:pt idx="679">
                  <c:v>1730.1069876540755</c:v>
                </c:pt>
                <c:pt idx="680">
                  <c:v>1448.3105746561321</c:v>
                </c:pt>
                <c:pt idx="681">
                  <c:v>1204.7200311398444</c:v>
                </c:pt>
                <c:pt idx="682">
                  <c:v>995.74067917893717</c:v>
                </c:pt>
                <c:pt idx="683">
                  <c:v>817.79049119933734</c:v>
                </c:pt>
                <c:pt idx="684">
                  <c:v>667.38055943820677</c:v>
                </c:pt>
                <c:pt idx="685">
                  <c:v>541.17875002900405</c:v>
                </c:pt>
                <c:pt idx="686">
                  <c:v>436.05734600735155</c:v>
                </c:pt>
                <c:pt idx="687">
                  <c:v>349.1259798555007</c:v>
                </c:pt>
                <c:pt idx="688">
                  <c:v>277.75150216995911</c:v>
                </c:pt>
                <c:pt idx="689">
                  <c:v>219.56663883429741</c:v>
                </c:pt>
                <c:pt idx="690">
                  <c:v>172.46937094141356</c:v>
                </c:pt>
                <c:pt idx="691">
                  <c:v>134.61494975255823</c:v>
                </c:pt>
                <c:pt idx="692">
                  <c:v>104.40235519196737</c:v>
                </c:pt>
                <c:pt idx="693">
                  <c:v>80.456842876946254</c:v>
                </c:pt>
                <c:pt idx="694">
                  <c:v>61.61002233399774</c:v>
                </c:pt>
                <c:pt idx="695">
                  <c:v>46.878686432795334</c:v>
                </c:pt>
                <c:pt idx="696">
                  <c:v>35.443384833812175</c:v>
                </c:pt>
                <c:pt idx="697">
                  <c:v>26.627514804795656</c:v>
                </c:pt>
                <c:pt idx="698">
                  <c:v>19.877500262503414</c:v>
                </c:pt>
                <c:pt idx="699">
                  <c:v>14.744450416435466</c:v>
                </c:pt>
                <c:pt idx="700">
                  <c:v>10.867536292701638</c:v>
                </c:pt>
                <c:pt idx="701">
                  <c:v>7.9591977946329928</c:v>
                </c:pt>
                <c:pt idx="702">
                  <c:v>5.7921951315025941</c:v>
                </c:pt>
                <c:pt idx="703">
                  <c:v>4.1884444451146221</c:v>
                </c:pt>
                <c:pt idx="704">
                  <c:v>3.0095254686650774</c:v>
                </c:pt>
                <c:pt idx="705">
                  <c:v>2.148715788416462</c:v>
                </c:pt>
                <c:pt idx="706">
                  <c:v>1.5243883300884937</c:v>
                </c:pt>
                <c:pt idx="707">
                  <c:v>1.0746027415644901</c:v>
                </c:pt>
                <c:pt idx="708">
                  <c:v>0.75272434334106708</c:v>
                </c:pt>
                <c:pt idx="709">
                  <c:v>0.52391359390054204</c:v>
                </c:pt>
                <c:pt idx="710">
                  <c:v>0.36234232047563453</c:v>
                </c:pt>
                <c:pt idx="711">
                  <c:v>0.24900848373572418</c:v>
                </c:pt>
                <c:pt idx="712">
                  <c:v>0.17003757974183978</c:v>
                </c:pt>
                <c:pt idx="713">
                  <c:v>0.11537490969413976</c:v>
                </c:pt>
                <c:pt idx="714">
                  <c:v>7.7788164133837545E-2</c:v>
                </c:pt>
                <c:pt idx="715">
                  <c:v>5.2113633947219462E-2</c:v>
                </c:pt>
                <c:pt idx="716">
                  <c:v>3.4691644132429499E-2</c:v>
                </c:pt>
                <c:pt idx="717">
                  <c:v>2.294743222225298E-2</c:v>
                </c:pt>
                <c:pt idx="718">
                  <c:v>1.5082696679981425E-2</c:v>
                </c:pt>
                <c:pt idx="719">
                  <c:v>9.8505297544085844E-3</c:v>
                </c:pt>
                <c:pt idx="720">
                  <c:v>6.3925754925584014E-3</c:v>
                </c:pt>
                <c:pt idx="721">
                  <c:v>4.1221883562825691E-3</c:v>
                </c:pt>
                <c:pt idx="722">
                  <c:v>2.6412863526378374E-3</c:v>
                </c:pt>
                <c:pt idx="723">
                  <c:v>1.6816624658587301E-3</c:v>
                </c:pt>
                <c:pt idx="724">
                  <c:v>1.0638927833943172E-3</c:v>
                </c:pt>
                <c:pt idx="725">
                  <c:v>6.6879433138131291E-4</c:v>
                </c:pt>
                <c:pt idx="726">
                  <c:v>4.1775628485063985E-4</c:v>
                </c:pt>
                <c:pt idx="727">
                  <c:v>2.5929198326026117E-4</c:v>
                </c:pt>
                <c:pt idx="728">
                  <c:v>1.599156159678793E-4</c:v>
                </c:pt>
                <c:pt idx="729">
                  <c:v>9.8000513060711913E-5</c:v>
                </c:pt>
                <c:pt idx="730">
                  <c:v>5.9676248245441824E-5</c:v>
                </c:pt>
                <c:pt idx="731">
                  <c:v>3.6108576099074011E-5</c:v>
                </c:pt>
                <c:pt idx="732">
                  <c:v>2.1709753993877443E-5</c:v>
                </c:pt>
                <c:pt idx="733">
                  <c:v>1.2969855275886862E-5</c:v>
                </c:pt>
                <c:pt idx="734">
                  <c:v>7.6992965288092166E-6</c:v>
                </c:pt>
                <c:pt idx="735">
                  <c:v>4.5415348475074053E-6</c:v>
                </c:pt>
                <c:pt idx="736">
                  <c:v>2.6618890148005639E-6</c:v>
                </c:pt>
                <c:pt idx="737">
                  <c:v>1.550289927894719E-6</c:v>
                </c:pt>
                <c:pt idx="738">
                  <c:v>8.9716349762185136E-7</c:v>
                </c:pt>
                <c:pt idx="739">
                  <c:v>5.1590050585666513E-7</c:v>
                </c:pt>
                <c:pt idx="740">
                  <c:v>2.947786329545397E-7</c:v>
                </c:pt>
                <c:pt idx="741">
                  <c:v>1.67363880032587E-7</c:v>
                </c:pt>
                <c:pt idx="742">
                  <c:v>9.4419818060417837E-8</c:v>
                </c:pt>
                <c:pt idx="743">
                  <c:v>5.292980222930841E-8</c:v>
                </c:pt>
                <c:pt idx="744">
                  <c:v>2.9483094992279467E-8</c:v>
                </c:pt>
                <c:pt idx="745">
                  <c:v>1.6318549777621337E-8</c:v>
                </c:pt>
                <c:pt idx="746">
                  <c:v>8.9748198094545617E-9</c:v>
                </c:pt>
                <c:pt idx="747">
                  <c:v>4.9046226968557537E-9</c:v>
                </c:pt>
                <c:pt idx="748">
                  <c:v>2.6633065532347722E-9</c:v>
                </c:pt>
                <c:pt idx="749">
                  <c:v>1.4370517246954874E-9</c:v>
                </c:pt>
                <c:pt idx="750">
                  <c:v>7.7047638327922665E-10</c:v>
                </c:pt>
                <c:pt idx="751">
                  <c:v>4.1047050022409448E-10</c:v>
                </c:pt>
                <c:pt idx="752">
                  <c:v>2.1729025942586014E-10</c:v>
                </c:pt>
                <c:pt idx="753">
                  <c:v>1.1429684820627469E-10</c:v>
                </c:pt>
                <c:pt idx="754">
                  <c:v>5.9739824073980042E-11</c:v>
                </c:pt>
                <c:pt idx="755">
                  <c:v>3.1026251773831601E-11</c:v>
                </c:pt>
                <c:pt idx="756">
                  <c:v>1.6011439323925894E-11</c:v>
                </c:pt>
                <c:pt idx="757">
                  <c:v>8.2104530847406436E-12</c:v>
                </c:pt>
                <c:pt idx="758">
                  <c:v>4.1834979661653332E-12</c:v>
                </c:pt>
                <c:pt idx="759">
                  <c:v>2.1181059926786925E-12</c:v>
                </c:pt>
                <c:pt idx="760">
                  <c:v>1.0655933563625527E-12</c:v>
                </c:pt>
                <c:pt idx="761">
                  <c:v>5.3268566258395837E-13</c:v>
                </c:pt>
                <c:pt idx="762">
                  <c:v>2.6459778225218897E-13</c:v>
                </c:pt>
                <c:pt idx="763">
                  <c:v>1.3059816663049084E-13</c:v>
                </c:pt>
                <c:pt idx="764">
                  <c:v>6.405066588486923E-14</c:v>
                </c:pt>
                <c:pt idx="765">
                  <c:v>3.1213747036215154E-14</c:v>
                </c:pt>
                <c:pt idx="766">
                  <c:v>1.5114850367368739E-14</c:v>
                </c:pt>
                <c:pt idx="767">
                  <c:v>7.2727303616225426E-15</c:v>
                </c:pt>
                <c:pt idx="768">
                  <c:v>3.4771770845315799E-15</c:v>
                </c:pt>
                <c:pt idx="769">
                  <c:v>1.6519306829692597E-15</c:v>
                </c:pt>
                <c:pt idx="770">
                  <c:v>7.7981667801112253E-16</c:v>
                </c:pt>
                <c:pt idx="771">
                  <c:v>3.6578753938539874E-16</c:v>
                </c:pt>
                <c:pt idx="772">
                  <c:v>1.7049081362380209E-16</c:v>
                </c:pt>
                <c:pt idx="773">
                  <c:v>7.8960292416311807E-17</c:v>
                </c:pt>
                <c:pt idx="774">
                  <c:v>3.6337262069417989E-17</c:v>
                </c:pt>
                <c:pt idx="775">
                  <c:v>1.6616185908501293E-17</c:v>
                </c:pt>
                <c:pt idx="776">
                  <c:v>7.5499864561358427E-18</c:v>
                </c:pt>
                <c:pt idx="777">
                  <c:v>3.4087620870927792E-18</c:v>
                </c:pt>
                <c:pt idx="778">
                  <c:v>1.5292655235006087E-18</c:v>
                </c:pt>
                <c:pt idx="779">
                  <c:v>6.8171804974310222E-19</c:v>
                </c:pt>
                <c:pt idx="780">
                  <c:v>3.0196901095256241E-19</c:v>
                </c:pt>
                <c:pt idx="781">
                  <c:v>1.3290938504147299E-19</c:v>
                </c:pt>
                <c:pt idx="782">
                  <c:v>5.8127896741815254E-20</c:v>
                </c:pt>
                <c:pt idx="783">
                  <c:v>2.5260925494603404E-20</c:v>
                </c:pt>
                <c:pt idx="784">
                  <c:v>1.0908112170648748E-20</c:v>
                </c:pt>
                <c:pt idx="785">
                  <c:v>4.6804285624575747E-21</c:v>
                </c:pt>
                <c:pt idx="786">
                  <c:v>1.9955257449416668E-21</c:v>
                </c:pt>
                <c:pt idx="787">
                  <c:v>8.4540485527342306E-22</c:v>
                </c:pt>
                <c:pt idx="788">
                  <c:v>3.5588348004393043E-22</c:v>
                </c:pt>
                <c:pt idx="789">
                  <c:v>1.4886294555337529E-22</c:v>
                </c:pt>
                <c:pt idx="790">
                  <c:v>6.1872986047005372E-23</c:v>
                </c:pt>
                <c:pt idx="791">
                  <c:v>2.5553549392488547E-23</c:v>
                </c:pt>
                <c:pt idx="792">
                  <c:v>1.0486657330670251E-23</c:v>
                </c:pt>
                <c:pt idx="793">
                  <c:v>4.2762059162060362E-24</c:v>
                </c:pt>
                <c:pt idx="794">
                  <c:v>1.7326699027232284E-24</c:v>
                </c:pt>
                <c:pt idx="795">
                  <c:v>6.9760364561799731E-25</c:v>
                </c:pt>
                <c:pt idx="796">
                  <c:v>2.7908554290188381E-25</c:v>
                </c:pt>
                <c:pt idx="797">
                  <c:v>1.1094343970778844E-25</c:v>
                </c:pt>
                <c:pt idx="798">
                  <c:v>4.3822949251781996E-26</c:v>
                </c:pt>
                <c:pt idx="799">
                  <c:v>1.7200349260815792E-26</c:v>
                </c:pt>
                <c:pt idx="800">
                  <c:v>6.7082403966902159E-27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628352"/>
        <c:axId val="48686208"/>
      </c:lineChart>
      <c:catAx>
        <c:axId val="302628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 sz="1100" b="1" i="0" u="none" strike="noStrike" baseline="0">
                    <a:effectLst/>
                  </a:rPr>
                  <a:t>2</a:t>
                </a:r>
                <a:r>
                  <a:rPr lang="el-GR" sz="1100" b="1" i="1" u="none" strike="noStrike" baseline="0">
                    <a:effectLst/>
                  </a:rPr>
                  <a:t>θ</a:t>
                </a:r>
                <a:endParaRPr lang="pt-BR"/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 rot="0" vert="horz"/>
          <a:lstStyle/>
          <a:p>
            <a:pPr>
              <a:defRPr/>
            </a:pPr>
            <a:endParaRPr lang="pt-BR"/>
          </a:p>
        </c:txPr>
        <c:crossAx val="48686208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48686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 sz="1100"/>
                  <a:t>Intensidade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spPr>
          <a:ln w="25400">
            <a:solidFill>
              <a:schemeClr val="tx1"/>
            </a:solidFill>
          </a:ln>
        </c:spPr>
        <c:crossAx val="302628352"/>
        <c:crosses val="autoZero"/>
        <c:crossBetween val="between"/>
      </c:valAx>
      <c:spPr>
        <a:ln w="25400">
          <a:solidFill>
            <a:schemeClr val="tx1"/>
          </a:solidFill>
        </a:ln>
      </c:spPr>
    </c:plotArea>
    <c:legend>
      <c:legendPos val="r"/>
      <c:layout/>
      <c:overlay val="0"/>
      <c:spPr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ln w="19050">
      <a:solidFill>
        <a:schemeClr val="tx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0</xdr:row>
      <xdr:rowOff>19050</xdr:rowOff>
    </xdr:from>
    <xdr:to>
      <xdr:col>40</xdr:col>
      <xdr:colOff>466725</xdr:colOff>
      <xdr:row>46</xdr:row>
      <xdr:rowOff>95250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19050</xdr:rowOff>
    </xdr:from>
    <xdr:to>
      <xdr:col>19</xdr:col>
      <xdr:colOff>476251</xdr:colOff>
      <xdr:row>46</xdr:row>
      <xdr:rowOff>114301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48</xdr:row>
      <xdr:rowOff>0</xdr:rowOff>
    </xdr:from>
    <xdr:to>
      <xdr:col>22</xdr:col>
      <xdr:colOff>495300</xdr:colOff>
      <xdr:row>94</xdr:row>
      <xdr:rowOff>95250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48</xdr:row>
      <xdr:rowOff>0</xdr:rowOff>
    </xdr:from>
    <xdr:to>
      <xdr:col>44</xdr:col>
      <xdr:colOff>104775</xdr:colOff>
      <xdr:row>89</xdr:row>
      <xdr:rowOff>133350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E2:N6">
  <tableColumns count="10">
    <tableColumn id="1" name="Elemento"/>
    <tableColumn id="2" name="a1"/>
    <tableColumn id="3" name="b1"/>
    <tableColumn id="4" name="a2"/>
    <tableColumn id="5" name="b2"/>
    <tableColumn id="6" name="a3"/>
    <tableColumn id="7" name="b3"/>
    <tableColumn id="8" name="a4"/>
    <tableColumn id="9" name="b4"/>
    <tableColumn id="10" name="c"/>
  </tableColumns>
  <tableStyleInfo name="Fatores de forma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2:U17">
  <tableColumns count="20">
    <tableColumn id="1" name="h"/>
    <tableColumn id="2" name=" k"/>
    <tableColumn id="3" name=" l"/>
    <tableColumn id="4" name="D-hkl"/>
    <tableColumn id="5" name="Seno(theta)"/>
    <tableColumn id="6" name="Theta (rad)"/>
    <tableColumn id="7" name="2Theta (graus)"/>
    <tableColumn id="8" name="Ff-Bário"/>
    <tableColumn id="9" name="Ff - Titânio"/>
    <tableColumn id="10" name="Ff- Oxigênio"/>
    <tableColumn id="11" name="Multiplicidade (p)"/>
    <tableColumn id="12" name=" F_h"/>
    <tableColumn id="13" name=" Fator Lorentz-Polarização"/>
    <tableColumn id="14" name=" I_h"/>
    <tableColumn id="15" name="B_h (100nm)"/>
    <tableColumn id="16" name="H_h (100nm)"/>
    <tableColumn id="17" name="B_h (50nm)"/>
    <tableColumn id="18" name="H_h (50nm)"/>
    <tableColumn id="19" name="B_h (10nm)"/>
    <tableColumn id="20" name="H_h (10nm)"/>
  </tableColumns>
  <tableStyleInfo name="Fatores de forma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22:U27">
  <tableColumns count="20">
    <tableColumn id="1" name="h"/>
    <tableColumn id="2" name=" k"/>
    <tableColumn id="3" name=" l"/>
    <tableColumn id="4" name="D-hkl"/>
    <tableColumn id="5" name="Seno(theta)"/>
    <tableColumn id="6" name="Theta (rad)"/>
    <tableColumn id="7" name="2Theta (graus)"/>
    <tableColumn id="8" name="Ff-Calcio"/>
    <tableColumn id="9" name="Ff - Titânio"/>
    <tableColumn id="10" name="Ff- Oxigênio"/>
    <tableColumn id="11" name="Multiplicidade (p)"/>
    <tableColumn id="12" name=" F_h"/>
    <tableColumn id="13" name=" Fator Lorentz-Polarização"/>
    <tableColumn id="14" name=" I_h"/>
    <tableColumn id="15" name="B_h (100nm)"/>
    <tableColumn id="16" name="H_h (100nm)"/>
    <tableColumn id="17" name="B_h (50nm)"/>
    <tableColumn id="18" name="H_h (50nm)"/>
    <tableColumn id="19" name="B_h (10nm)"/>
    <tableColumn id="20" name="H_h (10nm)"/>
  </tableColumns>
  <tableStyleInfo name="Fatores de forma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B32:U37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Fatores de forma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id="5" name="Table_5" displayName="Table_5" ref="B42:U47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Fatores de forma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id="6" name="Table_6" displayName="Table_6" ref="B52:U57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Fatores de forma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804"/>
  <sheetViews>
    <sheetView tabSelected="1" topLeftCell="L1" workbookViewId="0">
      <selection activeCell="AA26" sqref="AA26"/>
    </sheetView>
  </sheetViews>
  <sheetFormatPr defaultColWidth="12.5703125" defaultRowHeight="15.75" customHeight="1"/>
  <cols>
    <col min="1" max="1" width="26.140625" customWidth="1"/>
    <col min="2" max="2" width="8.28515625" customWidth="1"/>
    <col min="3" max="3" width="9.42578125" customWidth="1"/>
    <col min="4" max="4" width="8.28515625" customWidth="1"/>
    <col min="5" max="5" width="12.5703125" customWidth="1"/>
    <col min="6" max="6" width="13.7109375" customWidth="1"/>
    <col min="7" max="8" width="14.7109375" customWidth="1"/>
    <col min="9" max="9" width="16.28515625" customWidth="1"/>
    <col min="10" max="10" width="12.5703125" customWidth="1"/>
    <col min="11" max="12" width="17.42578125" customWidth="1"/>
    <col min="13" max="13" width="26.140625" customWidth="1"/>
    <col min="14" max="14" width="25.42578125" customWidth="1"/>
    <col min="15" max="15" width="16" customWidth="1"/>
    <col min="16" max="17" width="13" customWidth="1"/>
    <col min="18" max="18" width="15.5703125" customWidth="1"/>
    <col min="19" max="19" width="13.42578125" customWidth="1"/>
    <col min="20" max="20" width="15.5703125" customWidth="1"/>
    <col min="21" max="21" width="16.5703125" customWidth="1"/>
    <col min="23" max="23" width="8.5703125" bestFit="1" customWidth="1"/>
    <col min="24" max="24" width="11.7109375" customWidth="1"/>
    <col min="25" max="25" width="10.7109375" customWidth="1"/>
    <col min="26" max="26" width="13.7109375" bestFit="1" customWidth="1"/>
    <col min="27" max="27" width="10.28515625" customWidth="1"/>
    <col min="28" max="29" width="9.7109375" customWidth="1"/>
  </cols>
  <sheetData>
    <row r="1" spans="1:36" ht="15.75" customHeight="1">
      <c r="A1" s="1"/>
      <c r="B1" s="1"/>
      <c r="C1" s="1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2"/>
      <c r="P1" s="2"/>
      <c r="Q1" s="2"/>
      <c r="R1" s="2"/>
      <c r="S1" s="2"/>
      <c r="T1" s="2"/>
      <c r="U1" s="2"/>
      <c r="V1" s="2"/>
      <c r="W1" s="39" t="s">
        <v>0</v>
      </c>
      <c r="X1" s="39" t="s">
        <v>60</v>
      </c>
      <c r="Y1" s="40"/>
      <c r="Z1" s="40"/>
      <c r="AA1" s="39" t="s">
        <v>61</v>
      </c>
      <c r="AB1" s="40"/>
      <c r="AC1" s="40"/>
      <c r="AD1" s="5"/>
      <c r="AE1" s="39" t="s">
        <v>67</v>
      </c>
      <c r="AF1" s="40"/>
      <c r="AG1" s="40"/>
      <c r="AH1" s="40"/>
      <c r="AI1" s="40"/>
      <c r="AJ1" s="6"/>
    </row>
    <row r="2" spans="1:36">
      <c r="A2" s="41" t="s">
        <v>1</v>
      </c>
      <c r="B2" s="42"/>
      <c r="C2" s="43"/>
      <c r="D2" s="2"/>
      <c r="E2" s="7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2"/>
      <c r="P2" s="2"/>
      <c r="Q2" s="2"/>
      <c r="R2" s="2"/>
      <c r="S2" s="2"/>
      <c r="T2" s="2"/>
      <c r="U2" s="2"/>
      <c r="V2" s="2"/>
      <c r="W2" s="40"/>
      <c r="X2" s="9" t="s">
        <v>12</v>
      </c>
      <c r="Y2" s="9" t="s">
        <v>13</v>
      </c>
      <c r="Z2" s="9" t="s">
        <v>14</v>
      </c>
      <c r="AA2" s="9" t="s">
        <v>12</v>
      </c>
      <c r="AB2" s="9" t="s">
        <v>13</v>
      </c>
      <c r="AC2" s="9" t="s">
        <v>14</v>
      </c>
      <c r="AD2" s="5"/>
      <c r="AE2" s="9" t="s">
        <v>66</v>
      </c>
      <c r="AF2" s="9" t="s">
        <v>62</v>
      </c>
      <c r="AG2" s="9" t="s">
        <v>63</v>
      </c>
      <c r="AH2" s="9" t="s">
        <v>64</v>
      </c>
      <c r="AI2" s="9" t="s">
        <v>65</v>
      </c>
      <c r="AJ2" s="5"/>
    </row>
    <row r="3" spans="1:36">
      <c r="A3" s="10" t="s">
        <v>15</v>
      </c>
      <c r="B3" s="10">
        <v>4.01</v>
      </c>
      <c r="C3" s="10" t="s">
        <v>16</v>
      </c>
      <c r="D3" s="2"/>
      <c r="E3" s="11" t="s">
        <v>17</v>
      </c>
      <c r="F3" s="11">
        <v>20.180700000000002</v>
      </c>
      <c r="G3" s="11">
        <v>3.21367</v>
      </c>
      <c r="H3" s="11">
        <v>19.113600000000002</v>
      </c>
      <c r="I3" s="11">
        <v>0.28331000000000001</v>
      </c>
      <c r="J3" s="11">
        <v>10.9054</v>
      </c>
      <c r="K3" s="11">
        <v>20.055800000000001</v>
      </c>
      <c r="L3" s="11">
        <v>0.77634000000000003</v>
      </c>
      <c r="M3" s="11">
        <v>51.746000000000002</v>
      </c>
      <c r="N3" s="11">
        <v>3.02902</v>
      </c>
      <c r="O3" s="2"/>
      <c r="P3" s="2"/>
      <c r="Q3" s="2"/>
      <c r="R3" s="2"/>
      <c r="S3" s="2"/>
      <c r="T3" s="2"/>
      <c r="U3" s="2"/>
      <c r="V3" s="2"/>
      <c r="W3" s="12">
        <v>20</v>
      </c>
      <c r="X3" s="13">
        <f t="shared" ref="X3:X803" si="0">($Q$13*EXP(-1 * ((W3-$H$13)/$P$13)^2)) + ($Q$14*EXP(-1 * ((W3-$H$14)/$P$14)^2)) + ($Q$15*EXP(-1 * ((W3-$H$15)/$P$15)^2)) + ($Q$16*EXP(-1 * ((W3-$H$16)/$P$16)^2)) + ($Q$17*EXP(-1 * ((W3-$H$17)/$P$17)^2))</f>
        <v>3.0877831607859934E-302</v>
      </c>
      <c r="Y3" s="13">
        <f t="shared" ref="Y3:Y803" si="1">($S$13*EXP(-1 * ((W3-$H$13)/$R$13)^2)) + ($S$14*EXP(-1 * ((W3-$H$14)/$R$14)^2)) + ($S$15*EXP(-1 * ((W3-$H$15)/$R$15)^2)) + ($S$16*EXP(-1 * ((W3-$H$16)/$R$16)^2)) + ($S$17*EXP(-1 * ((W3-$H$17)/$R$17)^2))</f>
        <v>1.2590278942880475E-71</v>
      </c>
      <c r="Z3" s="13">
        <f t="shared" ref="Z3:Z803" si="2">($U$13*EXP(-1 * ((W3-$H$13)/$T$13)^2)) + ($U$14*EXP(-1 * ((W3-$H$14)/$T$14)^2)) + ($U$15*EXP(-1 * ((W3-$H$15)/$T$15)^2)) + ($U$16*EXP(-1 * ((W3-$H$16)/$T$16)^2)) + ($U$17*EXP(-1 * ((W3-$H$17)/$T$17)^2))</f>
        <v>196.2091629099022</v>
      </c>
      <c r="AA3" s="13">
        <f t="shared" ref="AA3:AA803" si="3">($Q$23*EXP(-1 * ((W3-$H$23)/$P$23)^2)) + ($Q$24*EXP(-1 * ((W3-$H$24)/$P$24)^2)) + ($Q$25*EXP(-1 * ((W3-$H$25)/$P$25)^2)) + ($Q$26*EXP(-1 * ((W3-$H$26)/$P$26)^2)) + ($Q$27*EXP(-1 * ((W3-$H$27)/$P$27)^2))</f>
        <v>0</v>
      </c>
      <c r="AB3" s="13">
        <f t="shared" ref="AB3:AB803" si="4">($S$23*EXP(-1 * ((W3-$H$23)/$R$23)^2)) + ($S$24*EXP(-1 * ((W3-$H$24)/$R$24)^2)) + ($S$25*EXP(-1 * ((W3-$H$25)/$R$25)^2)) + ($S$26*EXP(-1 * ((W3-$H$26)/$R$26)^2)) + ($S$27*EXP(-1 * ((W3-$H$27)/$R$27)^2))</f>
        <v>7.6836746484110623E-130</v>
      </c>
      <c r="AC3" s="13">
        <f t="shared" ref="AC3:AC803" si="5">($U$23*EXP(-1 * ((W3-$H$23)/$T$23)^2)) + ($U$24*EXP(-1 * ((W3-$H$24)/$T$24)^2)) + ($U$25*EXP(-1 * ((W3-$H$25)/$T$25)^2)) + ($U$26*EXP(-1 * ((W3-$H$26)/$T$26)^2)) + ($U$27*EXP(-1 * ((W3-$H$27)/$T$27)^2))</f>
        <v>7.3117062828476631E-2</v>
      </c>
      <c r="AD3" s="2"/>
      <c r="AE3" s="13">
        <v>196.20916290990681</v>
      </c>
      <c r="AF3" s="13">
        <f t="shared" ref="AF3:AF803" si="6">($U$33*EXP(-1 * ((W3-$H$33)/$T$33)^2)) + ($U$34*EXP(-1 * ((W3-$H$34)/$T$34)^2)) + ($U$35*EXP(-1 * ((W3-$H$35)/$T$35)^2)) + ($U$36*EXP(-1 * ((W3-$H$36)/$T$36)^2)) + ($U$37*EXP(-1 * ((W3-$H$37)/$T$37)^2))</f>
        <v>40.956499650727039</v>
      </c>
      <c r="AG3" s="13">
        <f t="shared" ref="AG3:AG803" si="7">($U$43*EXP(-1 * ((W3-$H$43)/$T$43)^2)) + ($U$44*EXP(-1 * ((W3-$H$44)/$T$44)^2)) + ($U$45*EXP(-1 * ((W3-$H$45)/$T$45)^2)) + ($U$46*EXP(-1 * ((W3-$H$46)/$T$46)^2)) + ($U$47*EXP(-1 * ((W3-$H$47)/$T$47)^2))</f>
        <v>5.1108048797731538</v>
      </c>
      <c r="AH3" s="13">
        <f t="shared" ref="AH3:AH803" si="8">($U$53*EXP(-1 * ((W3-$H$53)/$T$53)^2)) + ($U$54*EXP(-1 * ((W3-$H$54)/$T$54)^2)) + ($U$55*EXP(-1 * ((W3-$H$55)/$T$55)^2)) + ($U$56*EXP(-1 * ((W3-$H$56)/$T$56)^2)) + ($U$57*EXP(-1 * ((W3-$H$57)/$T$57)^2))</f>
        <v>1.6307830772218648</v>
      </c>
      <c r="AI3" s="13">
        <v>7.3117062828476714E-2</v>
      </c>
      <c r="AJ3" s="2"/>
    </row>
    <row r="4" spans="1:36">
      <c r="A4" s="14" t="s">
        <v>18</v>
      </c>
      <c r="B4" s="14">
        <v>3.89</v>
      </c>
      <c r="C4" s="14" t="s">
        <v>16</v>
      </c>
      <c r="D4" s="2"/>
      <c r="E4" s="11" t="s">
        <v>19</v>
      </c>
      <c r="F4" s="11">
        <v>19.511399999999998</v>
      </c>
      <c r="G4" s="11">
        <v>0.17884700000000001</v>
      </c>
      <c r="H4" s="11">
        <v>8.2347300000000008</v>
      </c>
      <c r="I4" s="11">
        <v>6.6701800000000002</v>
      </c>
      <c r="J4" s="11">
        <v>2.0134099999999999</v>
      </c>
      <c r="K4" s="11">
        <v>-0.29263</v>
      </c>
      <c r="L4" s="11">
        <v>1.5207999999999999</v>
      </c>
      <c r="M4" s="11">
        <v>12.946400000000001</v>
      </c>
      <c r="N4" s="11">
        <v>-13.28</v>
      </c>
      <c r="O4" s="2"/>
      <c r="P4" s="2"/>
      <c r="Q4" s="2"/>
      <c r="R4" s="2"/>
      <c r="S4" s="2"/>
      <c r="T4" s="2"/>
      <c r="U4" s="2"/>
      <c r="V4" s="2"/>
      <c r="W4" s="15">
        <f t="shared" ref="W4:W803" si="9">W3+0.05</f>
        <v>20.05</v>
      </c>
      <c r="X4" s="16">
        <f t="shared" si="0"/>
        <v>4.0243164675247227E-288</v>
      </c>
      <c r="Y4" s="16">
        <f t="shared" si="1"/>
        <v>4.2539921585521557E-68</v>
      </c>
      <c r="Z4" s="16">
        <f t="shared" si="2"/>
        <v>271.56246256111217</v>
      </c>
      <c r="AA4" s="16">
        <f t="shared" si="3"/>
        <v>0</v>
      </c>
      <c r="AB4" s="16">
        <f t="shared" si="4"/>
        <v>3.5474267045695025E-125</v>
      </c>
      <c r="AC4" s="16">
        <f t="shared" si="5"/>
        <v>0.11235502887116686</v>
      </c>
      <c r="AD4" s="2"/>
      <c r="AE4" s="16">
        <v>271.56246256111859</v>
      </c>
      <c r="AF4" s="16">
        <f t="shared" si="6"/>
        <v>58.155209025898721</v>
      </c>
      <c r="AG4" s="16">
        <f t="shared" si="7"/>
        <v>7.4478097540849433</v>
      </c>
      <c r="AH4" s="16">
        <f t="shared" si="8"/>
        <v>2.4398906075624889</v>
      </c>
      <c r="AI4" s="16">
        <v>0.11235502887116698</v>
      </c>
      <c r="AJ4" s="2"/>
    </row>
    <row r="5" spans="1:36" ht="15.75" customHeight="1">
      <c r="A5" s="10" t="s">
        <v>20</v>
      </c>
      <c r="B5" s="10">
        <v>1.5409999999999999</v>
      </c>
      <c r="C5" s="10" t="s">
        <v>16</v>
      </c>
      <c r="D5" s="2"/>
      <c r="E5" s="17" t="s">
        <v>21</v>
      </c>
      <c r="F5" s="17">
        <v>3.7504</v>
      </c>
      <c r="G5" s="17">
        <v>16.5151</v>
      </c>
      <c r="H5" s="17">
        <v>2.84294</v>
      </c>
      <c r="I5" s="17">
        <v>6.5920300000000003</v>
      </c>
      <c r="J5" s="17">
        <v>1.54298</v>
      </c>
      <c r="K5" s="17">
        <v>0.31920100000000001</v>
      </c>
      <c r="L5" s="17">
        <v>1.162091</v>
      </c>
      <c r="M5" s="17">
        <v>43.348599999999998</v>
      </c>
      <c r="N5" s="17">
        <v>0.24206</v>
      </c>
      <c r="O5" s="2"/>
      <c r="P5" s="2"/>
      <c r="Q5" s="2"/>
      <c r="R5" s="2"/>
      <c r="S5" s="2"/>
      <c r="T5" s="2"/>
      <c r="U5" s="2"/>
      <c r="V5" s="2"/>
      <c r="W5" s="12">
        <f t="shared" si="9"/>
        <v>20.100000000000001</v>
      </c>
      <c r="X5" s="13">
        <f t="shared" si="0"/>
        <v>2.4464949847212608E-274</v>
      </c>
      <c r="Y5" s="13">
        <f t="shared" si="1"/>
        <v>1.1878448962794177E-64</v>
      </c>
      <c r="Z5" s="13">
        <f t="shared" si="2"/>
        <v>372.9995091475447</v>
      </c>
      <c r="AA5" s="13">
        <f t="shared" si="3"/>
        <v>0</v>
      </c>
      <c r="AB5" s="13">
        <f t="shared" si="4"/>
        <v>1.3541240844272661E-120</v>
      </c>
      <c r="AC5" s="13">
        <f t="shared" si="5"/>
        <v>0.17134140229152253</v>
      </c>
      <c r="AD5" s="2"/>
      <c r="AE5" s="13">
        <v>372.99950914755311</v>
      </c>
      <c r="AF5" s="13">
        <f t="shared" si="6"/>
        <v>81.94913984244522</v>
      </c>
      <c r="AG5" s="13">
        <f t="shared" si="7"/>
        <v>10.77109368763025</v>
      </c>
      <c r="AH5" s="13">
        <f t="shared" si="8"/>
        <v>3.6227509570425664</v>
      </c>
      <c r="AI5" s="13">
        <v>0.1713414022915227</v>
      </c>
      <c r="AJ5" s="2"/>
    </row>
    <row r="6" spans="1:36">
      <c r="A6" s="14" t="s">
        <v>22</v>
      </c>
      <c r="B6" s="14">
        <v>1000</v>
      </c>
      <c r="C6" s="14" t="s">
        <v>16</v>
      </c>
      <c r="D6" s="2"/>
      <c r="E6" s="11" t="s">
        <v>23</v>
      </c>
      <c r="F6" s="11">
        <v>15.6348</v>
      </c>
      <c r="G6" s="11">
        <v>-7.4000000000000003E-3</v>
      </c>
      <c r="H6" s="11">
        <v>7.9518000000000004</v>
      </c>
      <c r="I6" s="11">
        <v>0.6089</v>
      </c>
      <c r="J6" s="11">
        <v>8.4372000000000007</v>
      </c>
      <c r="K6" s="11">
        <v>10.3116</v>
      </c>
      <c r="L6" s="11">
        <v>0.85370000000000001</v>
      </c>
      <c r="M6" s="11">
        <v>25.990500000000001</v>
      </c>
      <c r="N6" s="11">
        <v>-14.875</v>
      </c>
      <c r="O6" s="2"/>
      <c r="P6" s="2"/>
      <c r="Q6" s="2"/>
      <c r="R6" s="2"/>
      <c r="S6" s="2"/>
      <c r="T6" s="2"/>
      <c r="U6" s="2"/>
      <c r="V6" s="2"/>
      <c r="W6" s="15">
        <f t="shared" si="9"/>
        <v>20.150000000000002</v>
      </c>
      <c r="X6" s="16">
        <f t="shared" si="0"/>
        <v>6.937506554612835E-261</v>
      </c>
      <c r="Y6" s="16">
        <f t="shared" si="1"/>
        <v>2.7410976366708128E-61</v>
      </c>
      <c r="Z6" s="16">
        <f t="shared" si="2"/>
        <v>508.43431148742701</v>
      </c>
      <c r="AA6" s="16">
        <f t="shared" si="3"/>
        <v>0</v>
      </c>
      <c r="AB6" s="16">
        <f t="shared" si="4"/>
        <v>4.2737002836453421E-116</v>
      </c>
      <c r="AC6" s="16">
        <f t="shared" si="5"/>
        <v>0.25931529960024341</v>
      </c>
      <c r="AD6" s="2"/>
      <c r="AE6" s="16">
        <v>508.43431148743855</v>
      </c>
      <c r="AF6" s="16">
        <f t="shared" si="6"/>
        <v>114.60146458090273</v>
      </c>
      <c r="AG6" s="16">
        <f t="shared" si="7"/>
        <v>15.459056605375304</v>
      </c>
      <c r="AH6" s="16">
        <f t="shared" si="8"/>
        <v>5.3382704208782039</v>
      </c>
      <c r="AI6" s="16">
        <v>0.25931529960024369</v>
      </c>
      <c r="AJ6" s="2"/>
    </row>
    <row r="7" spans="1:36">
      <c r="A7" s="10" t="s">
        <v>24</v>
      </c>
      <c r="B7" s="10">
        <v>500</v>
      </c>
      <c r="C7" s="10" t="s">
        <v>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2">
        <f t="shared" si="9"/>
        <v>20.200000000000003</v>
      </c>
      <c r="X7" s="13">
        <f t="shared" si="0"/>
        <v>9.176337024584867E-248</v>
      </c>
      <c r="Y7" s="13">
        <f t="shared" si="1"/>
        <v>5.2274633003789686E-58</v>
      </c>
      <c r="Z7" s="13">
        <f t="shared" si="2"/>
        <v>687.77994894692176</v>
      </c>
      <c r="AA7" s="13">
        <f t="shared" si="3"/>
        <v>0</v>
      </c>
      <c r="AB7" s="13">
        <f t="shared" si="4"/>
        <v>1.1151934973671397E-111</v>
      </c>
      <c r="AC7" s="13">
        <f t="shared" si="5"/>
        <v>0.38948432824130436</v>
      </c>
      <c r="AD7" s="2"/>
      <c r="AE7" s="13">
        <v>687.77994894693677</v>
      </c>
      <c r="AF7" s="13">
        <f t="shared" si="6"/>
        <v>159.04716277445795</v>
      </c>
      <c r="AG7" s="13">
        <f t="shared" si="7"/>
        <v>22.019027126989293</v>
      </c>
      <c r="AH7" s="13">
        <f t="shared" si="8"/>
        <v>7.8065047060393562</v>
      </c>
      <c r="AI7" s="13">
        <v>0.38948432824130474</v>
      </c>
      <c r="AJ7" s="2"/>
    </row>
    <row r="8" spans="1:36">
      <c r="A8" s="14" t="s">
        <v>25</v>
      </c>
      <c r="B8" s="14">
        <v>100</v>
      </c>
      <c r="C8" s="14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5">
        <f t="shared" si="9"/>
        <v>20.250000000000004</v>
      </c>
      <c r="X8" s="16">
        <f t="shared" si="0"/>
        <v>5.6616390457181575E-235</v>
      </c>
      <c r="Y8" s="16">
        <f t="shared" si="1"/>
        <v>8.2387096568766546E-55</v>
      </c>
      <c r="Z8" s="16">
        <f t="shared" si="2"/>
        <v>923.31999123057926</v>
      </c>
      <c r="AA8" s="16">
        <f t="shared" si="3"/>
        <v>0</v>
      </c>
      <c r="AB8" s="16">
        <f t="shared" si="4"/>
        <v>2.4060074225975744E-107</v>
      </c>
      <c r="AC8" s="16">
        <f t="shared" si="5"/>
        <v>0.580560998406912</v>
      </c>
      <c r="AD8" s="2"/>
      <c r="AE8" s="16">
        <v>923.31999123059927</v>
      </c>
      <c r="AF8" s="16">
        <f t="shared" si="6"/>
        <v>219.0542453871841</v>
      </c>
      <c r="AG8" s="16">
        <f t="shared" si="7"/>
        <v>31.124703338852928</v>
      </c>
      <c r="AH8" s="16">
        <f t="shared" si="8"/>
        <v>11.329393133021727</v>
      </c>
      <c r="AI8" s="16">
        <v>0.58056099840691255</v>
      </c>
      <c r="AJ8" s="2"/>
    </row>
    <row r="9" spans="1:3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2">
        <f t="shared" si="9"/>
        <v>20.300000000000004</v>
      </c>
      <c r="X9" s="13">
        <f t="shared" si="0"/>
        <v>1.6293780908971872E-222</v>
      </c>
      <c r="Y9" s="13">
        <f t="shared" si="1"/>
        <v>1.073072639528243E-51</v>
      </c>
      <c r="Z9" s="13">
        <f t="shared" si="2"/>
        <v>1230.1074130674808</v>
      </c>
      <c r="AA9" s="13">
        <f t="shared" si="3"/>
        <v>0</v>
      </c>
      <c r="AB9" s="13">
        <f t="shared" si="4"/>
        <v>4.2918473304807135E-103</v>
      </c>
      <c r="AC9" s="13">
        <f t="shared" si="5"/>
        <v>0.85881920779807841</v>
      </c>
      <c r="AD9" s="2"/>
      <c r="AE9" s="13">
        <v>1230.1074130675065</v>
      </c>
      <c r="AF9" s="13">
        <f t="shared" si="6"/>
        <v>299.41076622908668</v>
      </c>
      <c r="AG9" s="13">
        <f t="shared" si="7"/>
        <v>43.662064815590888</v>
      </c>
      <c r="AH9" s="13">
        <f t="shared" si="8"/>
        <v>16.317387761269845</v>
      </c>
      <c r="AI9" s="13">
        <v>0.85881920779807941</v>
      </c>
      <c r="AJ9" s="2"/>
    </row>
    <row r="10" spans="1:3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15">
        <f t="shared" si="9"/>
        <v>20.350000000000005</v>
      </c>
      <c r="X10" s="16">
        <f t="shared" si="0"/>
        <v>2.1873004365914547E-210</v>
      </c>
      <c r="Y10" s="16">
        <f t="shared" si="1"/>
        <v>1.1550499442501937E-48</v>
      </c>
      <c r="Z10" s="16">
        <f t="shared" si="2"/>
        <v>1626.3795369754464</v>
      </c>
      <c r="AA10" s="16">
        <f t="shared" si="3"/>
        <v>0</v>
      </c>
      <c r="AB10" s="16">
        <f t="shared" si="4"/>
        <v>6.3298312852247147E-99</v>
      </c>
      <c r="AC10" s="16">
        <f t="shared" si="5"/>
        <v>1.2608158616625442</v>
      </c>
      <c r="AD10" s="2"/>
      <c r="AE10" s="16">
        <v>1626.3795369754805</v>
      </c>
      <c r="AF10" s="16">
        <f t="shared" si="6"/>
        <v>406.13754645261338</v>
      </c>
      <c r="AG10" s="16">
        <f t="shared" si="7"/>
        <v>60.784839517687885</v>
      </c>
      <c r="AH10" s="16">
        <f t="shared" si="8"/>
        <v>23.32322417292341</v>
      </c>
      <c r="AI10" s="16">
        <v>1.2608158616625456</v>
      </c>
      <c r="AJ10" s="2"/>
    </row>
    <row r="11" spans="1:36">
      <c r="A11" s="37" t="s">
        <v>26</v>
      </c>
      <c r="B11" s="33" t="s">
        <v>27</v>
      </c>
      <c r="C11" s="34"/>
      <c r="D11" s="35"/>
      <c r="E11" s="36" t="s">
        <v>28</v>
      </c>
      <c r="F11" s="34"/>
      <c r="G11" s="34"/>
      <c r="H11" s="34"/>
      <c r="I11" s="36" t="s">
        <v>29</v>
      </c>
      <c r="J11" s="34"/>
      <c r="K11" s="35"/>
      <c r="L11" s="36" t="s">
        <v>30</v>
      </c>
      <c r="M11" s="34"/>
      <c r="N11" s="34"/>
      <c r="O11" s="34"/>
      <c r="P11" s="34"/>
      <c r="Q11" s="34"/>
      <c r="R11" s="34"/>
      <c r="S11" s="34"/>
      <c r="T11" s="34"/>
      <c r="U11" s="35"/>
      <c r="V11" s="2"/>
      <c r="W11" s="12">
        <f t="shared" si="9"/>
        <v>20.400000000000006</v>
      </c>
      <c r="X11" s="13">
        <f t="shared" si="0"/>
        <v>1.3696256462543595E-198</v>
      </c>
      <c r="Y11" s="13">
        <f t="shared" si="1"/>
        <v>1.0274817659393368E-45</v>
      </c>
      <c r="Z11" s="13">
        <f t="shared" si="2"/>
        <v>2133.9725850977961</v>
      </c>
      <c r="AA11" s="13">
        <f t="shared" si="3"/>
        <v>0</v>
      </c>
      <c r="AB11" s="13">
        <f t="shared" si="4"/>
        <v>7.7186361978612177E-95</v>
      </c>
      <c r="AC11" s="13">
        <f t="shared" si="5"/>
        <v>1.8369511247351999</v>
      </c>
      <c r="AD11" s="2"/>
      <c r="AE11" s="13">
        <v>2133.9725850978348</v>
      </c>
      <c r="AF11" s="13">
        <f t="shared" si="6"/>
        <v>546.72490646542428</v>
      </c>
      <c r="AG11" s="13">
        <f t="shared" si="7"/>
        <v>83.980457061890391</v>
      </c>
      <c r="AH11" s="13">
        <f t="shared" si="8"/>
        <v>33.08418987009334</v>
      </c>
      <c r="AI11" s="13">
        <v>1.8369511247352019</v>
      </c>
      <c r="AJ11" s="2"/>
    </row>
    <row r="12" spans="1:36" ht="15.75" customHeight="1">
      <c r="A12" s="38"/>
      <c r="B12" s="18" t="s">
        <v>31</v>
      </c>
      <c r="C12" s="18" t="s">
        <v>32</v>
      </c>
      <c r="D12" s="18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9" t="s">
        <v>38</v>
      </c>
      <c r="J12" s="19" t="s">
        <v>39</v>
      </c>
      <c r="K12" s="19" t="s">
        <v>40</v>
      </c>
      <c r="L12" s="19" t="s">
        <v>41</v>
      </c>
      <c r="M12" s="19" t="s">
        <v>42</v>
      </c>
      <c r="N12" s="19" t="s">
        <v>43</v>
      </c>
      <c r="O12" s="19" t="s">
        <v>44</v>
      </c>
      <c r="P12" s="19" t="s">
        <v>45</v>
      </c>
      <c r="Q12" s="19" t="s">
        <v>46</v>
      </c>
      <c r="R12" s="19" t="s">
        <v>47</v>
      </c>
      <c r="S12" s="19" t="s">
        <v>48</v>
      </c>
      <c r="T12" s="19" t="s">
        <v>49</v>
      </c>
      <c r="U12" s="19" t="s">
        <v>50</v>
      </c>
      <c r="V12" s="2"/>
      <c r="W12" s="15">
        <f t="shared" si="9"/>
        <v>20.450000000000006</v>
      </c>
      <c r="X12" s="16">
        <f t="shared" si="0"/>
        <v>4.0003887030071343E-187</v>
      </c>
      <c r="Y12" s="16">
        <f t="shared" si="1"/>
        <v>7.5535168372997718E-43</v>
      </c>
      <c r="Z12" s="16">
        <f t="shared" si="2"/>
        <v>2778.7139343234649</v>
      </c>
      <c r="AA12" s="16">
        <f t="shared" si="3"/>
        <v>0</v>
      </c>
      <c r="AB12" s="16">
        <f t="shared" si="4"/>
        <v>7.7819704395870009E-91</v>
      </c>
      <c r="AC12" s="16">
        <f t="shared" si="5"/>
        <v>2.6560702748528362</v>
      </c>
      <c r="AD12" s="2"/>
      <c r="AE12" s="16">
        <v>2778.7139343235181</v>
      </c>
      <c r="AF12" s="16">
        <f t="shared" si="6"/>
        <v>730.38957705140274</v>
      </c>
      <c r="AG12" s="16">
        <f t="shared" si="7"/>
        <v>115.14713815928835</v>
      </c>
      <c r="AH12" s="16">
        <f t="shared" si="8"/>
        <v>46.574305563173723</v>
      </c>
      <c r="AI12" s="16">
        <v>2.6560702748528389</v>
      </c>
      <c r="AJ12" s="2"/>
    </row>
    <row r="13" spans="1:36">
      <c r="A13" s="38"/>
      <c r="B13" s="20">
        <v>1</v>
      </c>
      <c r="C13" s="20">
        <v>0</v>
      </c>
      <c r="D13" s="20">
        <v>0</v>
      </c>
      <c r="E13" s="21">
        <f t="shared" ref="E13:E17" si="10">$B$3/SQRT(B13^2+C13^2+D13^2)</f>
        <v>4.01</v>
      </c>
      <c r="F13" s="21">
        <f t="shared" ref="F13:F17" si="11">$B$5/(2*E13)</f>
        <v>0.19214463840399001</v>
      </c>
      <c r="G13" s="21">
        <f t="shared" ref="G13:G17" si="12">ASIN(F13)</f>
        <v>0.19334703997025451</v>
      </c>
      <c r="H13" s="21">
        <f t="shared" ref="H13:H17" si="13">DEGREES(G13 * 2)</f>
        <v>22.155938743285635</v>
      </c>
      <c r="I13" s="21">
        <f t="shared" ref="I13:I17" si="14">$N$3 +($F$3*EXP(-$G$3*($F13/$B$5)^2)) + ($H$3*EXP(-$I$3*($F13/$B$5)^2)) + ($J$3*EXP(-$K$3*($F13/$B$5)^2)) + ($L$3*EXP(-$M$3*($F13/$B$5)^2))</f>
        <v>49.587118870204939</v>
      </c>
      <c r="J13" s="21">
        <f t="shared" ref="J13:J17" si="15">$N$4 +($F$4*EXP(-$G$4*($F13/$B$5)^2) + $H$4*EXP(-$I$4*($F13/$B$5)^2) + $J$4*EXP(-$K$4*($F13/$B$5)^2) + $L$4*EXP(-$M$4*($F13/$B$5)^2))</f>
        <v>16.866902751436527</v>
      </c>
      <c r="K13" s="21">
        <f t="shared" ref="K13:K17" si="16">$N$5 +($F$5*EXP(-$G$5*($F13/$B$5)^2) + $H$5*EXP(-$I$5*($F13/$B$5)^2) + $J$5*EXP(-$K$5*($F13/$B$5)^2) + $L$5*EXP(-$M$5*($F13/$B$5)^2))</f>
        <v>7.8368460497309069</v>
      </c>
      <c r="L13" s="22">
        <v>6</v>
      </c>
      <c r="M13" s="21">
        <f t="shared" ref="M13:M17" si="17">I13 + (J13*(-1)^(B13+C13+D13)) + K13*((-1)^(B13+C13) + (-1)^(B13+D13) + (-1)^(C13+D13))</f>
        <v>24.883370069037504</v>
      </c>
      <c r="N13" s="21">
        <f t="shared" ref="N13:N17" si="18">(1 + COS(2*G13)^2) / ((SIN(G13)^2) * COS(G13))</f>
        <v>51.274927077100358</v>
      </c>
      <c r="O13" s="21">
        <f t="shared" ref="O13:O17" si="19">(M13^2) * L13 * N13</f>
        <v>190491.10399331793</v>
      </c>
      <c r="P13" s="21">
        <f t="shared" ref="P13:P17" si="20">DEGREES((0.9 * $B$5) / ($B$6 * COS($G13)))</f>
        <v>8.0972304529340761E-2</v>
      </c>
      <c r="Q13" s="21">
        <f t="shared" ref="Q13:Q17" si="21">$O13 / $P13</f>
        <v>2352546.4058429068</v>
      </c>
      <c r="R13" s="21">
        <f t="shared" ref="R13:R17" si="22">DEGREES((0.9 * $B$5) / ($B$7 * COS($G13)))</f>
        <v>0.16194460905868152</v>
      </c>
      <c r="S13" s="21">
        <f t="shared" ref="S13:S17" si="23">$O13 / $R13</f>
        <v>1176273.2029214534</v>
      </c>
      <c r="T13" s="21">
        <f t="shared" ref="T13:T17" si="24">DEGREES((0.9 * $B$5) / ($B$8 * COS($G13)))</f>
        <v>0.80972304529340755</v>
      </c>
      <c r="U13" s="21">
        <f t="shared" ref="U13:U17" si="25">$O13 / $T13</f>
        <v>235254.6405842907</v>
      </c>
      <c r="V13" s="2"/>
      <c r="W13" s="12">
        <f t="shared" si="9"/>
        <v>20.500000000000007</v>
      </c>
      <c r="X13" s="13">
        <f t="shared" si="0"/>
        <v>5.4501615736965644E-176</v>
      </c>
      <c r="Y13" s="13">
        <f t="shared" si="1"/>
        <v>4.5890839017720703E-40</v>
      </c>
      <c r="Z13" s="13">
        <f t="shared" si="2"/>
        <v>3590.764399787648</v>
      </c>
      <c r="AA13" s="13">
        <f t="shared" si="3"/>
        <v>0</v>
      </c>
      <c r="AB13" s="13">
        <f t="shared" si="4"/>
        <v>6.4869290713813774E-87</v>
      </c>
      <c r="AC13" s="13">
        <f t="shared" si="5"/>
        <v>3.8113386975737606</v>
      </c>
      <c r="AD13" s="2"/>
      <c r="AE13" s="13">
        <v>3590.764399787714</v>
      </c>
      <c r="AF13" s="13">
        <f t="shared" si="6"/>
        <v>968.3453357602973</v>
      </c>
      <c r="AG13" s="13">
        <f t="shared" si="7"/>
        <v>156.68232894082627</v>
      </c>
      <c r="AH13" s="13">
        <f t="shared" si="8"/>
        <v>65.067817109251081</v>
      </c>
      <c r="AI13" s="13">
        <v>3.8113386975737646</v>
      </c>
      <c r="AJ13" s="2"/>
    </row>
    <row r="14" spans="1:36">
      <c r="A14" s="38"/>
      <c r="B14" s="23">
        <v>1</v>
      </c>
      <c r="C14" s="23">
        <v>1</v>
      </c>
      <c r="D14" s="23">
        <v>0</v>
      </c>
      <c r="E14" s="21">
        <f t="shared" si="10"/>
        <v>2.8354981925580551</v>
      </c>
      <c r="F14" s="21">
        <f t="shared" si="11"/>
        <v>0.27173355356819695</v>
      </c>
      <c r="G14" s="21">
        <f t="shared" si="12"/>
        <v>0.27519390776428748</v>
      </c>
      <c r="H14" s="21">
        <f t="shared" si="13"/>
        <v>31.534898925212257</v>
      </c>
      <c r="I14" s="21">
        <f t="shared" si="14"/>
        <v>46.237193795517335</v>
      </c>
      <c r="J14" s="21">
        <f t="shared" si="15"/>
        <v>15.864113985701644</v>
      </c>
      <c r="K14" s="21">
        <f t="shared" si="16"/>
        <v>6.6319199548550678</v>
      </c>
      <c r="L14" s="24">
        <v>12</v>
      </c>
      <c r="M14" s="21">
        <f t="shared" si="17"/>
        <v>55.469387826363914</v>
      </c>
      <c r="N14" s="21">
        <f t="shared" si="18"/>
        <v>24.295444489247895</v>
      </c>
      <c r="O14" s="21">
        <f t="shared" si="19"/>
        <v>897042.13102617045</v>
      </c>
      <c r="P14" s="21">
        <f t="shared" si="20"/>
        <v>8.2570433575094387E-2</v>
      </c>
      <c r="Q14" s="21">
        <f t="shared" si="21"/>
        <v>10863962.948799921</v>
      </c>
      <c r="R14" s="21">
        <f t="shared" si="22"/>
        <v>0.16514086715018877</v>
      </c>
      <c r="S14" s="21">
        <f t="shared" si="23"/>
        <v>5431981.4743999606</v>
      </c>
      <c r="T14" s="21">
        <f t="shared" si="24"/>
        <v>0.82570433575094404</v>
      </c>
      <c r="U14" s="21">
        <f t="shared" si="25"/>
        <v>1086396.294879992</v>
      </c>
      <c r="V14" s="2"/>
      <c r="W14" s="15">
        <f t="shared" si="9"/>
        <v>20.550000000000008</v>
      </c>
      <c r="X14" s="16">
        <f t="shared" si="0"/>
        <v>3.4635657413721223E-165</v>
      </c>
      <c r="Y14" s="16">
        <f t="shared" si="1"/>
        <v>2.3041169161690241E-37</v>
      </c>
      <c r="Z14" s="16">
        <f t="shared" si="2"/>
        <v>4604.8771804674025</v>
      </c>
      <c r="AA14" s="16">
        <f t="shared" si="3"/>
        <v>0</v>
      </c>
      <c r="AB14" s="16">
        <f t="shared" si="4"/>
        <v>4.4708416646494704E-83</v>
      </c>
      <c r="AC14" s="16">
        <f t="shared" si="5"/>
        <v>5.42764644367836</v>
      </c>
      <c r="AD14" s="2"/>
      <c r="AE14" s="16">
        <v>4604.8771804674807</v>
      </c>
      <c r="AF14" s="16">
        <f t="shared" si="6"/>
        <v>1274.0778132309965</v>
      </c>
      <c r="AG14" s="16">
        <f t="shared" si="7"/>
        <v>211.58206096557663</v>
      </c>
      <c r="AH14" s="16">
        <f t="shared" si="8"/>
        <v>90.215269742829719</v>
      </c>
      <c r="AI14" s="16">
        <v>5.4276464436783662</v>
      </c>
      <c r="AJ14" s="2"/>
    </row>
    <row r="15" spans="1:36">
      <c r="A15" s="38"/>
      <c r="B15" s="20">
        <v>1</v>
      </c>
      <c r="C15" s="20">
        <v>1</v>
      </c>
      <c r="D15" s="20">
        <v>1</v>
      </c>
      <c r="E15" s="21">
        <f t="shared" si="10"/>
        <v>2.3151745794503995</v>
      </c>
      <c r="F15" s="21">
        <f t="shared" si="11"/>
        <v>0.33280427611766078</v>
      </c>
      <c r="G15" s="21">
        <f t="shared" si="12"/>
        <v>0.33927581516146488</v>
      </c>
      <c r="H15" s="21">
        <f t="shared" si="13"/>
        <v>38.878144599225131</v>
      </c>
      <c r="I15" s="21">
        <f t="shared" si="14"/>
        <v>43.612244573333101</v>
      </c>
      <c r="J15" s="21">
        <f t="shared" si="15"/>
        <v>14.974886080822289</v>
      </c>
      <c r="K15" s="21">
        <f t="shared" si="16"/>
        <v>5.7425384984335999</v>
      </c>
      <c r="L15" s="22">
        <v>8</v>
      </c>
      <c r="M15" s="21">
        <f t="shared" si="17"/>
        <v>45.864973987811609</v>
      </c>
      <c r="N15" s="21">
        <f t="shared" si="18"/>
        <v>15.376852504388326</v>
      </c>
      <c r="O15" s="21">
        <f t="shared" si="19"/>
        <v>258773.46354920682</v>
      </c>
      <c r="P15" s="21">
        <f t="shared" si="20"/>
        <v>8.4267083806374377E-2</v>
      </c>
      <c r="Q15" s="21">
        <f t="shared" si="21"/>
        <v>3070872.4196960037</v>
      </c>
      <c r="R15" s="21">
        <f t="shared" si="22"/>
        <v>0.16853416761274875</v>
      </c>
      <c r="S15" s="21">
        <f t="shared" si="23"/>
        <v>1535436.2098480018</v>
      </c>
      <c r="T15" s="21">
        <f t="shared" si="24"/>
        <v>0.84267083806374365</v>
      </c>
      <c r="U15" s="21">
        <f t="shared" si="25"/>
        <v>307087.24196960044</v>
      </c>
      <c r="V15" s="2"/>
      <c r="W15" s="12">
        <f t="shared" si="9"/>
        <v>20.600000000000009</v>
      </c>
      <c r="X15" s="13">
        <f t="shared" si="0"/>
        <v>1.026701900382327E-154</v>
      </c>
      <c r="Y15" s="13">
        <f t="shared" si="1"/>
        <v>9.5605911206271362E-35</v>
      </c>
      <c r="Z15" s="13">
        <f t="shared" si="2"/>
        <v>5860.5349554048044</v>
      </c>
      <c r="AA15" s="13">
        <f t="shared" si="3"/>
        <v>0</v>
      </c>
      <c r="AB15" s="13">
        <f t="shared" si="4"/>
        <v>2.5476513707305939E-79</v>
      </c>
      <c r="AC15" s="13">
        <f t="shared" si="5"/>
        <v>7.6708162275699241</v>
      </c>
      <c r="AD15" s="2"/>
      <c r="AE15" s="13">
        <v>5860.5349554049089</v>
      </c>
      <c r="AF15" s="13">
        <f t="shared" si="6"/>
        <v>1663.6104161044564</v>
      </c>
      <c r="AG15" s="13">
        <f t="shared" si="7"/>
        <v>283.54998139130038</v>
      </c>
      <c r="AH15" s="13">
        <f t="shared" si="8"/>
        <v>124.13316602912766</v>
      </c>
      <c r="AI15" s="13">
        <v>7.6708162275699321</v>
      </c>
      <c r="AJ15" s="2"/>
    </row>
    <row r="16" spans="1:36">
      <c r="A16" s="38"/>
      <c r="B16" s="23">
        <v>2</v>
      </c>
      <c r="C16" s="23">
        <v>0</v>
      </c>
      <c r="D16" s="23">
        <v>0</v>
      </c>
      <c r="E16" s="21">
        <f t="shared" si="10"/>
        <v>2.0049999999999999</v>
      </c>
      <c r="F16" s="21">
        <f t="shared" si="11"/>
        <v>0.38428927680798003</v>
      </c>
      <c r="G16" s="21">
        <f t="shared" si="12"/>
        <v>0.39443786223248367</v>
      </c>
      <c r="H16" s="21">
        <f t="shared" si="13"/>
        <v>45.199249572167851</v>
      </c>
      <c r="I16" s="21">
        <f t="shared" si="14"/>
        <v>41.49794178679646</v>
      </c>
      <c r="J16" s="21">
        <f t="shared" si="15"/>
        <v>14.184587040762347</v>
      </c>
      <c r="K16" s="21">
        <f t="shared" si="16"/>
        <v>5.0628258401359272</v>
      </c>
      <c r="L16" s="24">
        <v>6</v>
      </c>
      <c r="M16" s="21">
        <f t="shared" si="17"/>
        <v>70.871006347966585</v>
      </c>
      <c r="N16" s="21">
        <f t="shared" si="18"/>
        <v>10.976526316959253</v>
      </c>
      <c r="O16" s="21">
        <f t="shared" si="19"/>
        <v>330790.76214887825</v>
      </c>
      <c r="P16" s="21">
        <f t="shared" si="20"/>
        <v>8.6072812584824673E-2</v>
      </c>
      <c r="Q16" s="21">
        <f t="shared" si="21"/>
        <v>3843150.377163338</v>
      </c>
      <c r="R16" s="21">
        <f t="shared" si="22"/>
        <v>0.17214562516964935</v>
      </c>
      <c r="S16" s="21">
        <f t="shared" si="23"/>
        <v>1921575.188581669</v>
      </c>
      <c r="T16" s="21">
        <f t="shared" si="24"/>
        <v>0.86072812584824698</v>
      </c>
      <c r="U16" s="21">
        <f t="shared" si="25"/>
        <v>384315.0377163337</v>
      </c>
      <c r="V16" s="2"/>
      <c r="W16" s="15">
        <f t="shared" si="9"/>
        <v>20.650000000000009</v>
      </c>
      <c r="X16" s="16">
        <f t="shared" si="0"/>
        <v>1.419620195868261E-144</v>
      </c>
      <c r="Y16" s="16">
        <f t="shared" si="1"/>
        <v>3.2784358931617361E-32</v>
      </c>
      <c r="Z16" s="16">
        <f t="shared" si="2"/>
        <v>7401.9225865473481</v>
      </c>
      <c r="AA16" s="16">
        <f t="shared" si="3"/>
        <v>0</v>
      </c>
      <c r="AB16" s="16">
        <f t="shared" si="4"/>
        <v>1.2003040538719734E-75</v>
      </c>
      <c r="AC16" s="16">
        <f t="shared" si="5"/>
        <v>10.758894015241225</v>
      </c>
      <c r="AD16" s="2"/>
      <c r="AE16" s="16">
        <v>7401.9225865474746</v>
      </c>
      <c r="AF16" s="16">
        <f t="shared" si="6"/>
        <v>2155.7445594765522</v>
      </c>
      <c r="AG16" s="16">
        <f t="shared" si="7"/>
        <v>377.11374184998533</v>
      </c>
      <c r="AH16" s="16">
        <f t="shared" si="8"/>
        <v>169.50775736478357</v>
      </c>
      <c r="AI16" s="16">
        <v>10.758894015241237</v>
      </c>
      <c r="AJ16" s="2"/>
    </row>
    <row r="17" spans="1:36">
      <c r="A17" s="32"/>
      <c r="B17" s="20">
        <v>2</v>
      </c>
      <c r="C17" s="20">
        <v>1</v>
      </c>
      <c r="D17" s="20">
        <v>0</v>
      </c>
      <c r="E17" s="21">
        <f t="shared" si="10"/>
        <v>1.7933265179548312</v>
      </c>
      <c r="F17" s="21">
        <f t="shared" si="11"/>
        <v>0.42964847298343839</v>
      </c>
      <c r="G17" s="21">
        <f t="shared" si="12"/>
        <v>0.4441034512930282</v>
      </c>
      <c r="H17" s="21">
        <f t="shared" si="13"/>
        <v>50.890506852568478</v>
      </c>
      <c r="I17" s="21">
        <f t="shared" si="14"/>
        <v>39.753581046776276</v>
      </c>
      <c r="J17" s="21">
        <f t="shared" si="15"/>
        <v>13.48065777847045</v>
      </c>
      <c r="K17" s="21">
        <f t="shared" si="16"/>
        <v>4.5289970302055895</v>
      </c>
      <c r="L17" s="22">
        <v>24</v>
      </c>
      <c r="M17" s="21">
        <f t="shared" si="17"/>
        <v>21.743926238100237</v>
      </c>
      <c r="N17" s="21">
        <f t="shared" si="18"/>
        <v>8.3862542253574439</v>
      </c>
      <c r="O17" s="21">
        <f t="shared" si="19"/>
        <v>95160.167472270128</v>
      </c>
      <c r="P17" s="21">
        <f t="shared" si="20"/>
        <v>8.7999832171004724E-2</v>
      </c>
      <c r="Q17" s="21">
        <f t="shared" si="21"/>
        <v>1081367.601785321</v>
      </c>
      <c r="R17" s="21">
        <f t="shared" si="22"/>
        <v>0.17599966434200945</v>
      </c>
      <c r="S17" s="21">
        <f t="shared" si="23"/>
        <v>540683.80089266051</v>
      </c>
      <c r="T17" s="21">
        <f t="shared" si="24"/>
        <v>0.87999832171004722</v>
      </c>
      <c r="U17" s="21">
        <f t="shared" si="25"/>
        <v>108136.76017853212</v>
      </c>
      <c r="V17" s="2"/>
      <c r="W17" s="12">
        <f t="shared" si="9"/>
        <v>20.70000000000001</v>
      </c>
      <c r="X17" s="13">
        <f t="shared" si="0"/>
        <v>9.1560223679010737E-135</v>
      </c>
      <c r="Y17" s="13">
        <f t="shared" si="1"/>
        <v>9.2907412459191179E-30</v>
      </c>
      <c r="Z17" s="13">
        <f t="shared" si="2"/>
        <v>9277.6906048982619</v>
      </c>
      <c r="AA17" s="13">
        <f t="shared" si="3"/>
        <v>1.6097512220789085E-300</v>
      </c>
      <c r="AB17" s="13">
        <f t="shared" si="4"/>
        <v>4.6756620772537062E-72</v>
      </c>
      <c r="AC17" s="13">
        <f t="shared" si="5"/>
        <v>14.9757886753164</v>
      </c>
      <c r="AD17" s="2"/>
      <c r="AE17" s="13">
        <v>9277.6906048984165</v>
      </c>
      <c r="AF17" s="13">
        <f t="shared" si="6"/>
        <v>2772.2536026351722</v>
      </c>
      <c r="AG17" s="13">
        <f t="shared" si="7"/>
        <v>497.74516303711505</v>
      </c>
      <c r="AH17" s="13">
        <f t="shared" si="8"/>
        <v>229.7128496866905</v>
      </c>
      <c r="AI17" s="13">
        <v>14.975788675316416</v>
      </c>
      <c r="AJ17" s="2"/>
    </row>
    <row r="18" spans="1:3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15">
        <f t="shared" si="9"/>
        <v>20.750000000000011</v>
      </c>
      <c r="X18" s="16">
        <f t="shared" si="0"/>
        <v>2.7545356245688166E-125</v>
      </c>
      <c r="Y18" s="16">
        <f t="shared" si="1"/>
        <v>2.1758840664862382E-27</v>
      </c>
      <c r="Z18" s="16">
        <f t="shared" si="2"/>
        <v>11540.464806826109</v>
      </c>
      <c r="AA18" s="16">
        <f t="shared" si="3"/>
        <v>1.732081832392844E-286</v>
      </c>
      <c r="AB18" s="16">
        <f t="shared" si="4"/>
        <v>1.5058978967823566E-68</v>
      </c>
      <c r="AC18" s="16">
        <f t="shared" si="5"/>
        <v>20.687489919510188</v>
      </c>
      <c r="AD18" s="2"/>
      <c r="AE18" s="16">
        <v>11540.464806826294</v>
      </c>
      <c r="AF18" s="16">
        <f t="shared" si="6"/>
        <v>3538.0063192491807</v>
      </c>
      <c r="AG18" s="16">
        <f t="shared" si="7"/>
        <v>651.97912931655344</v>
      </c>
      <c r="AH18" s="16">
        <f t="shared" si="8"/>
        <v>308.94058629405254</v>
      </c>
      <c r="AI18" s="16">
        <v>20.68748991951021</v>
      </c>
      <c r="AJ18" s="2"/>
    </row>
    <row r="19" spans="1:3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2">
        <f t="shared" si="9"/>
        <v>20.800000000000011</v>
      </c>
      <c r="X19" s="13">
        <f t="shared" si="0"/>
        <v>3.865421115115224E-116</v>
      </c>
      <c r="Y19" s="13">
        <f t="shared" si="1"/>
        <v>4.2113647458472603E-25</v>
      </c>
      <c r="Z19" s="13">
        <f t="shared" si="2"/>
        <v>14246.060525410261</v>
      </c>
      <c r="AA19" s="13">
        <f t="shared" si="3"/>
        <v>8.7092412320502233E-273</v>
      </c>
      <c r="AB19" s="13">
        <f t="shared" si="4"/>
        <v>4.0100381570185681E-65</v>
      </c>
      <c r="AC19" s="13">
        <f t="shared" si="5"/>
        <v>28.36102473477608</v>
      </c>
      <c r="AD19" s="2"/>
      <c r="AE19" s="13">
        <v>14246.060525410483</v>
      </c>
      <c r="AF19" s="13">
        <f t="shared" si="6"/>
        <v>4480.9927573321947</v>
      </c>
      <c r="AG19" s="13">
        <f t="shared" si="7"/>
        <v>847.52456342768198</v>
      </c>
      <c r="AH19" s="13">
        <f t="shared" si="8"/>
        <v>412.34298346716724</v>
      </c>
      <c r="AI19" s="13">
        <v>28.361024734776112</v>
      </c>
      <c r="AJ19" s="2"/>
    </row>
    <row r="20" spans="1:3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15">
        <f t="shared" si="9"/>
        <v>20.850000000000012</v>
      </c>
      <c r="X20" s="16">
        <f t="shared" si="0"/>
        <v>2.5301840200758188E-107</v>
      </c>
      <c r="Y20" s="16">
        <f t="shared" si="1"/>
        <v>6.7361489340652832E-23</v>
      </c>
      <c r="Z20" s="16">
        <f t="shared" si="2"/>
        <v>17452.367041698264</v>
      </c>
      <c r="AA20" s="16">
        <f t="shared" si="3"/>
        <v>2.0464187393172956E-259</v>
      </c>
      <c r="AB20" s="16">
        <f t="shared" si="4"/>
        <v>8.8288075691516057E-62</v>
      </c>
      <c r="AC20" s="16">
        <f t="shared" si="5"/>
        <v>38.586204395090959</v>
      </c>
      <c r="AD20" s="2"/>
      <c r="AE20" s="16">
        <v>17452.367041698522</v>
      </c>
      <c r="AF20" s="16">
        <f t="shared" si="6"/>
        <v>5632.2233610324065</v>
      </c>
      <c r="AG20" s="16">
        <f t="shared" si="7"/>
        <v>1093.3591644378853</v>
      </c>
      <c r="AH20" s="16">
        <f t="shared" si="8"/>
        <v>546.18053303503996</v>
      </c>
      <c r="AI20" s="16">
        <v>38.586204395091002</v>
      </c>
      <c r="AJ20" s="2"/>
    </row>
    <row r="21" spans="1:36">
      <c r="A21" s="37" t="s">
        <v>51</v>
      </c>
      <c r="B21" s="33" t="s">
        <v>27</v>
      </c>
      <c r="C21" s="34"/>
      <c r="D21" s="35"/>
      <c r="E21" s="36" t="s">
        <v>28</v>
      </c>
      <c r="F21" s="34"/>
      <c r="G21" s="34"/>
      <c r="H21" s="34"/>
      <c r="I21" s="36" t="s">
        <v>29</v>
      </c>
      <c r="J21" s="34"/>
      <c r="K21" s="35"/>
      <c r="L21" s="36" t="s">
        <v>30</v>
      </c>
      <c r="M21" s="34"/>
      <c r="N21" s="34"/>
      <c r="O21" s="34"/>
      <c r="P21" s="34"/>
      <c r="Q21" s="34"/>
      <c r="R21" s="34"/>
      <c r="S21" s="34"/>
      <c r="T21" s="34"/>
      <c r="U21" s="35"/>
      <c r="V21" s="2"/>
      <c r="W21" s="12">
        <f t="shared" si="9"/>
        <v>20.900000000000013</v>
      </c>
      <c r="X21" s="13">
        <f t="shared" si="0"/>
        <v>7.7252808145779443E-99</v>
      </c>
      <c r="Y21" s="13">
        <f t="shared" si="1"/>
        <v>8.9043500003431558E-21</v>
      </c>
      <c r="Z21" s="13">
        <f t="shared" si="2"/>
        <v>21217.87857657831</v>
      </c>
      <c r="AA21" s="13">
        <f t="shared" si="3"/>
        <v>2.2470408029722746E-246</v>
      </c>
      <c r="AB21" s="13">
        <f t="shared" si="4"/>
        <v>1.6071490828214124E-58</v>
      </c>
      <c r="AC21" s="13">
        <f t="shared" si="5"/>
        <v>52.100060188894908</v>
      </c>
      <c r="AD21" s="2"/>
      <c r="AE21" s="13">
        <v>21217.878576578601</v>
      </c>
      <c r="AF21" s="13">
        <f t="shared" si="6"/>
        <v>7025.4716754924539</v>
      </c>
      <c r="AG21" s="13">
        <f t="shared" si="7"/>
        <v>1399.7979724495065</v>
      </c>
      <c r="AH21" s="13">
        <f t="shared" si="8"/>
        <v>717.97246775395058</v>
      </c>
      <c r="AI21" s="13">
        <v>52.100060188894972</v>
      </c>
      <c r="AJ21" s="2"/>
    </row>
    <row r="22" spans="1:36" ht="15.75" customHeight="1">
      <c r="A22" s="38"/>
      <c r="B22" s="18" t="s">
        <v>31</v>
      </c>
      <c r="C22" s="18" t="s">
        <v>32</v>
      </c>
      <c r="D22" s="18" t="s">
        <v>33</v>
      </c>
      <c r="E22" s="19" t="s">
        <v>34</v>
      </c>
      <c r="F22" s="19" t="s">
        <v>35</v>
      </c>
      <c r="G22" s="19" t="s">
        <v>36</v>
      </c>
      <c r="H22" s="19" t="s">
        <v>37</v>
      </c>
      <c r="I22" s="19" t="s">
        <v>52</v>
      </c>
      <c r="J22" s="19" t="s">
        <v>39</v>
      </c>
      <c r="K22" s="19" t="s">
        <v>40</v>
      </c>
      <c r="L22" s="19" t="s">
        <v>41</v>
      </c>
      <c r="M22" s="19" t="s">
        <v>42</v>
      </c>
      <c r="N22" s="19" t="s">
        <v>43</v>
      </c>
      <c r="O22" s="19" t="s">
        <v>44</v>
      </c>
      <c r="P22" s="19" t="s">
        <v>45</v>
      </c>
      <c r="Q22" s="19" t="s">
        <v>46</v>
      </c>
      <c r="R22" s="19" t="s">
        <v>47</v>
      </c>
      <c r="S22" s="19" t="s">
        <v>48</v>
      </c>
      <c r="T22" s="19" t="s">
        <v>49</v>
      </c>
      <c r="U22" s="19" t="s">
        <v>50</v>
      </c>
      <c r="V22" s="2"/>
      <c r="W22" s="15">
        <f t="shared" si="9"/>
        <v>20.950000000000014</v>
      </c>
      <c r="X22" s="16">
        <f t="shared" si="0"/>
        <v>1.1002295730800714E-90</v>
      </c>
      <c r="Y22" s="16">
        <f t="shared" si="1"/>
        <v>9.7273486472436136E-19</v>
      </c>
      <c r="Z22" s="16">
        <f t="shared" si="2"/>
        <v>25599.863529750419</v>
      </c>
      <c r="AA22" s="16">
        <f t="shared" si="3"/>
        <v>1.1530009995261555E-233</v>
      </c>
      <c r="AB22" s="16">
        <f t="shared" si="4"/>
        <v>2.4188606309889303E-55</v>
      </c>
      <c r="AC22" s="16">
        <f t="shared" si="5"/>
        <v>69.813660910425924</v>
      </c>
      <c r="AD22" s="2"/>
      <c r="AE22" s="16">
        <v>25599.863529750775</v>
      </c>
      <c r="AF22" s="16">
        <f t="shared" si="6"/>
        <v>8696.832280080178</v>
      </c>
      <c r="AG22" s="16">
        <f t="shared" si="7"/>
        <v>1778.5243921332271</v>
      </c>
      <c r="AH22" s="16">
        <f t="shared" si="8"/>
        <v>936.64135656766632</v>
      </c>
      <c r="AI22" s="16">
        <v>69.813660910425995</v>
      </c>
      <c r="AJ22" s="2"/>
    </row>
    <row r="23" spans="1:36">
      <c r="A23" s="38"/>
      <c r="B23" s="20">
        <v>1</v>
      </c>
      <c r="C23" s="20">
        <v>0</v>
      </c>
      <c r="D23" s="20">
        <v>0</v>
      </c>
      <c r="E23" s="21">
        <f t="shared" ref="E23:E27" si="26">$B$4/SQRT(B23^2+C23^2+D23^2)</f>
        <v>3.89</v>
      </c>
      <c r="F23" s="21">
        <f t="shared" ref="F23:F27" si="27">$B$5 / (2 * ($B$4 / SQRT(B23^2 + C23^2 + D23^2)))</f>
        <v>0.19807197943444729</v>
      </c>
      <c r="G23" s="21">
        <f t="shared" ref="G23:G27" si="28">ASIN(F23)</f>
        <v>0.19939053681280833</v>
      </c>
      <c r="H23" s="21">
        <f t="shared" ref="H23:H27" si="29">DEGREES(G23 * 2)</f>
        <v>22.848472468443582</v>
      </c>
      <c r="I23" s="21">
        <f t="shared" ref="I23:I27" si="30">$N$5 +($F$6*EXP(-$G$6*($F23/$B$5)^2) + $H$6*EXP(-$I$6*($F23/$B$5)^2) + $J$6*EXP(-$K$6*($F23/$B$5)^2) + $L$6*EXP(-$M$6*($F23/$B$5)^2))</f>
        <v>31.422264936393763</v>
      </c>
      <c r="J23" s="21">
        <f t="shared" ref="J23:J27" si="31">$N$4 +($F$4*EXP(-$G$4*($F23/$B$5)^2) + $H$4*EXP(-$I$4*($F23/$B$5)^2) + $J$4*EXP(-$K$4*($F23/$B$5)^2) + $L$4*EXP(-$M$4*($F23/$B$5)^2))</f>
        <v>16.800435057084442</v>
      </c>
      <c r="K23" s="21">
        <f t="shared" ref="K23:K27" si="32">$N$5 +($F$5*EXP(-$G$5*($F23/$B$5)^2) + $H$5*EXP(-$I$5*($F23/$B$5)^2) + $J$5*EXP(-$K$5*($F23/$B$5)^2) + $L$5*EXP(-$M$5*($F23/$B$5)^2))</f>
        <v>7.7491649047812254</v>
      </c>
      <c r="L23" s="22">
        <v>6</v>
      </c>
      <c r="M23" s="21">
        <f t="shared" ref="M23:M27" si="33">I23 + (J23*(-1)^(B23+C23+D23)) + K23*((-1)^(B23+C23) + (-1)^(B23+D23) + (-1)^(C23+D23))</f>
        <v>6.872664974528095</v>
      </c>
      <c r="N23" s="21">
        <f t="shared" ref="N23:N27" si="34">(1 + COS(2*G23)^2) / (SIN(G23)^2 * COS(G23))</f>
        <v>48.087802077352151</v>
      </c>
      <c r="O23" s="21">
        <f t="shared" ref="O23:O27" si="35">M23^2 * L23 * N23</f>
        <v>13628.138078495576</v>
      </c>
      <c r="P23" s="21">
        <f t="shared" ref="P23:P27" si="36">DEGREES((0.9 * $B$5) / ($B$6 * COS($G23)))</f>
        <v>8.1069712105360542E-2</v>
      </c>
      <c r="Q23" s="21">
        <f t="shared" ref="Q23:Q27" si="37">O23 / P23</f>
        <v>168103.9407267668</v>
      </c>
      <c r="R23" s="21">
        <f t="shared" ref="R23:R27" si="38">DEGREES((0.9 * $B$5) / ($B$7 * COS($G23)))</f>
        <v>0.16213942421072108</v>
      </c>
      <c r="S23" s="21">
        <f t="shared" ref="S23:S27" si="39">O23/R23</f>
        <v>84051.9703633834</v>
      </c>
      <c r="T23" s="21">
        <f t="shared" ref="T23:T27" si="40">DEGREES((0.9 * $B$5) / ($B$8 * COS($G23)))</f>
        <v>0.81069712105360536</v>
      </c>
      <c r="U23" s="21">
        <f t="shared" ref="U23:U27" si="41">O23/T23</f>
        <v>16810.394072676681</v>
      </c>
      <c r="V23" s="2"/>
      <c r="W23" s="12">
        <f t="shared" si="9"/>
        <v>21.000000000000014</v>
      </c>
      <c r="X23" s="13">
        <f t="shared" si="0"/>
        <v>7.3090212743277673E-83</v>
      </c>
      <c r="Y23" s="13">
        <f t="shared" si="1"/>
        <v>8.7818994461825863E-17</v>
      </c>
      <c r="Z23" s="13">
        <f t="shared" si="2"/>
        <v>30652.182967155273</v>
      </c>
      <c r="AA23" s="13">
        <f t="shared" si="3"/>
        <v>2.7647169776193211E-221</v>
      </c>
      <c r="AB23" s="13">
        <f t="shared" si="4"/>
        <v>3.0099972234616218E-52</v>
      </c>
      <c r="AC23" s="13">
        <f t="shared" si="5"/>
        <v>92.840746162465749</v>
      </c>
      <c r="AD23" s="2"/>
      <c r="AE23" s="13">
        <v>30652.182967155681</v>
      </c>
      <c r="AF23" s="13">
        <f t="shared" si="6"/>
        <v>10684.069198374722</v>
      </c>
      <c r="AG23" s="13">
        <f t="shared" si="7"/>
        <v>2242.5712319237155</v>
      </c>
      <c r="AH23" s="13">
        <f t="shared" si="8"/>
        <v>1212.6426380096082</v>
      </c>
      <c r="AI23" s="13">
        <v>92.840746162465848</v>
      </c>
      <c r="AJ23" s="2"/>
    </row>
    <row r="24" spans="1:36">
      <c r="A24" s="38"/>
      <c r="B24" s="23">
        <v>1</v>
      </c>
      <c r="C24" s="23">
        <v>1</v>
      </c>
      <c r="D24" s="23">
        <v>0</v>
      </c>
      <c r="E24" s="21">
        <f t="shared" si="26"/>
        <v>2.75064537881567</v>
      </c>
      <c r="F24" s="21">
        <f t="shared" si="27"/>
        <v>0.28011607964228014</v>
      </c>
      <c r="G24" s="21">
        <f t="shared" si="28"/>
        <v>0.28391502763493226</v>
      </c>
      <c r="H24" s="21">
        <f t="shared" si="29"/>
        <v>32.534265647643508</v>
      </c>
      <c r="I24" s="21">
        <f t="shared" si="30"/>
        <v>30.036817813795526</v>
      </c>
      <c r="J24" s="21">
        <f t="shared" si="31"/>
        <v>15.746796520267599</v>
      </c>
      <c r="K24" s="21">
        <f t="shared" si="32"/>
        <v>6.5059235115320959</v>
      </c>
      <c r="L24" s="24">
        <v>12</v>
      </c>
      <c r="M24" s="21">
        <f t="shared" si="33"/>
        <v>39.277690822531028</v>
      </c>
      <c r="N24" s="21">
        <f t="shared" si="34"/>
        <v>22.712182178032474</v>
      </c>
      <c r="O24" s="21">
        <f t="shared" si="35"/>
        <v>420467.08456679404</v>
      </c>
      <c r="P24" s="21">
        <f t="shared" si="36"/>
        <v>8.2777416453983149E-2</v>
      </c>
      <c r="Q24" s="21">
        <f t="shared" si="37"/>
        <v>5079490.3076074645</v>
      </c>
      <c r="R24" s="21">
        <f t="shared" si="38"/>
        <v>0.1655548329079663</v>
      </c>
      <c r="S24" s="21">
        <f t="shared" si="39"/>
        <v>2539745.1538037322</v>
      </c>
      <c r="T24" s="21">
        <f t="shared" si="40"/>
        <v>0.82777416453983144</v>
      </c>
      <c r="U24" s="21">
        <f t="shared" si="41"/>
        <v>507949.03076074645</v>
      </c>
      <c r="V24" s="2"/>
      <c r="W24" s="15">
        <f t="shared" si="9"/>
        <v>21.050000000000015</v>
      </c>
      <c r="X24" s="16">
        <f t="shared" si="0"/>
        <v>2.264863383196885E-75</v>
      </c>
      <c r="Y24" s="16">
        <f t="shared" si="1"/>
        <v>6.5521549018891054E-15</v>
      </c>
      <c r="Z24" s="16">
        <f t="shared" si="2"/>
        <v>36422.792284576477</v>
      </c>
      <c r="AA24" s="16">
        <f t="shared" si="3"/>
        <v>3.0979467299228131E-209</v>
      </c>
      <c r="AB24" s="16">
        <f t="shared" si="4"/>
        <v>3.0968624167835245E-49</v>
      </c>
      <c r="AC24" s="16">
        <f t="shared" si="5"/>
        <v>122.52729755857062</v>
      </c>
      <c r="AD24" s="2"/>
      <c r="AE24" s="16">
        <v>36422.792284576935</v>
      </c>
      <c r="AF24" s="16">
        <f t="shared" si="6"/>
        <v>13025.736233321652</v>
      </c>
      <c r="AG24" s="16">
        <f t="shared" si="7"/>
        <v>2806.2387841212621</v>
      </c>
      <c r="AH24" s="16">
        <f t="shared" si="8"/>
        <v>1558.0676297148696</v>
      </c>
      <c r="AI24" s="16">
        <v>122.52729755857077</v>
      </c>
      <c r="AJ24" s="2"/>
    </row>
    <row r="25" spans="1:36">
      <c r="A25" s="38"/>
      <c r="B25" s="20">
        <v>1</v>
      </c>
      <c r="C25" s="20">
        <v>1</v>
      </c>
      <c r="D25" s="20">
        <v>1</v>
      </c>
      <c r="E25" s="21">
        <f t="shared" si="26"/>
        <v>2.2458925471476445</v>
      </c>
      <c r="F25" s="21">
        <f t="shared" si="27"/>
        <v>0.34307073193620041</v>
      </c>
      <c r="G25" s="21">
        <f t="shared" si="28"/>
        <v>0.35018409124482025</v>
      </c>
      <c r="H25" s="21">
        <f t="shared" si="29"/>
        <v>40.128140961904649</v>
      </c>
      <c r="I25" s="21">
        <f t="shared" si="30"/>
        <v>28.894464984791735</v>
      </c>
      <c r="J25" s="21">
        <f t="shared" si="31"/>
        <v>14.819209927502387</v>
      </c>
      <c r="K25" s="21">
        <f t="shared" si="32"/>
        <v>5.6011493935002417</v>
      </c>
      <c r="L25" s="22">
        <v>8</v>
      </c>
      <c r="M25" s="21">
        <f t="shared" si="33"/>
        <v>30.87870323779007</v>
      </c>
      <c r="N25" s="21">
        <f t="shared" si="34"/>
        <v>14.33340079020064</v>
      </c>
      <c r="O25" s="21">
        <f t="shared" si="35"/>
        <v>109334.52918949594</v>
      </c>
      <c r="P25" s="21">
        <f t="shared" si="36"/>
        <v>8.459779282325891E-2</v>
      </c>
      <c r="Q25" s="21">
        <f t="shared" si="37"/>
        <v>1292404.0396410441</v>
      </c>
      <c r="R25" s="21">
        <f t="shared" si="38"/>
        <v>0.16919558564651782</v>
      </c>
      <c r="S25" s="21">
        <f t="shared" si="39"/>
        <v>646202.01982052205</v>
      </c>
      <c r="T25" s="21">
        <f t="shared" si="40"/>
        <v>0.8459779282325891</v>
      </c>
      <c r="U25" s="21">
        <f t="shared" si="41"/>
        <v>129240.40396410441</v>
      </c>
      <c r="V25" s="2"/>
      <c r="W25" s="12">
        <f t="shared" si="9"/>
        <v>21.100000000000016</v>
      </c>
      <c r="X25" s="13">
        <f t="shared" si="0"/>
        <v>3.2736456454017033E-68</v>
      </c>
      <c r="Y25" s="13">
        <f t="shared" si="1"/>
        <v>4.0400019103306616E-13</v>
      </c>
      <c r="Z25" s="13">
        <f t="shared" si="2"/>
        <v>42950.985560217305</v>
      </c>
      <c r="AA25" s="13">
        <f t="shared" si="3"/>
        <v>1.6221816426634857E-197</v>
      </c>
      <c r="AB25" s="13">
        <f t="shared" si="4"/>
        <v>2.6343792425975549E-46</v>
      </c>
      <c r="AC25" s="13">
        <f t="shared" si="5"/>
        <v>160.48081094164729</v>
      </c>
      <c r="AD25" s="2"/>
      <c r="AE25" s="13">
        <v>42950.985560217836</v>
      </c>
      <c r="AF25" s="13">
        <f t="shared" si="6"/>
        <v>15760.059652678836</v>
      </c>
      <c r="AG25" s="13">
        <f t="shared" si="7"/>
        <v>3484.9371781195032</v>
      </c>
      <c r="AH25" s="13">
        <f t="shared" si="8"/>
        <v>1986.7066279635319</v>
      </c>
      <c r="AI25" s="13">
        <v>160.48081094164746</v>
      </c>
      <c r="AJ25" s="2"/>
    </row>
    <row r="26" spans="1:36">
      <c r="A26" s="38"/>
      <c r="B26" s="23">
        <v>2</v>
      </c>
      <c r="C26" s="23">
        <v>0</v>
      </c>
      <c r="D26" s="23">
        <v>0</v>
      </c>
      <c r="E26" s="21">
        <f t="shared" si="26"/>
        <v>1.9450000000000001</v>
      </c>
      <c r="F26" s="21">
        <f t="shared" si="27"/>
        <v>0.39614395886889459</v>
      </c>
      <c r="G26" s="21">
        <f t="shared" si="28"/>
        <v>0.40731340355836215</v>
      </c>
      <c r="H26" s="21">
        <f t="shared" si="29"/>
        <v>46.674677926006076</v>
      </c>
      <c r="I26" s="21">
        <f t="shared" si="30"/>
        <v>27.944211087480998</v>
      </c>
      <c r="J26" s="21">
        <f t="shared" si="31"/>
        <v>14.000528011466573</v>
      </c>
      <c r="K26" s="21">
        <f t="shared" si="32"/>
        <v>4.917233744470761</v>
      </c>
      <c r="L26" s="24">
        <v>6</v>
      </c>
      <c r="M26" s="21">
        <f t="shared" si="33"/>
        <v>56.696440332359856</v>
      </c>
      <c r="N26" s="21">
        <f t="shared" si="34"/>
        <v>10.207330919161153</v>
      </c>
      <c r="O26" s="21">
        <f t="shared" si="35"/>
        <v>196867.95523458227</v>
      </c>
      <c r="P26" s="21">
        <f t="shared" si="36"/>
        <v>8.6543802321397634E-2</v>
      </c>
      <c r="Q26" s="21">
        <f t="shared" si="37"/>
        <v>2274778.2042609355</v>
      </c>
      <c r="R26" s="21">
        <f t="shared" si="38"/>
        <v>0.17308760464279527</v>
      </c>
      <c r="S26" s="21">
        <f t="shared" si="39"/>
        <v>1137389.1021304678</v>
      </c>
      <c r="T26" s="21">
        <f t="shared" si="40"/>
        <v>0.86543802321397623</v>
      </c>
      <c r="U26" s="21">
        <f t="shared" si="41"/>
        <v>227477.82042609356</v>
      </c>
      <c r="V26" s="2"/>
      <c r="W26" s="15">
        <f t="shared" si="9"/>
        <v>21.150000000000016</v>
      </c>
      <c r="X26" s="16">
        <f t="shared" si="0"/>
        <v>2.2071314406647874E-61</v>
      </c>
      <c r="Y26" s="16">
        <f t="shared" si="1"/>
        <v>2.0586414027056989E-11</v>
      </c>
      <c r="Z26" s="16">
        <f t="shared" si="2"/>
        <v>50264.468999443736</v>
      </c>
      <c r="AA26" s="16">
        <f t="shared" si="3"/>
        <v>3.9694221583601179E-186</v>
      </c>
      <c r="AB26" s="16">
        <f t="shared" si="4"/>
        <v>1.852828607423673E-43</v>
      </c>
      <c r="AC26" s="16">
        <f t="shared" si="5"/>
        <v>208.59763887976982</v>
      </c>
      <c r="AD26" s="2"/>
      <c r="AE26" s="16">
        <v>50264.468999444311</v>
      </c>
      <c r="AF26" s="16">
        <f t="shared" si="6"/>
        <v>18923.585393594334</v>
      </c>
      <c r="AG26" s="16">
        <f t="shared" si="7"/>
        <v>4294.941370766508</v>
      </c>
      <c r="AH26" s="16">
        <f t="shared" si="8"/>
        <v>2514.0571277328772</v>
      </c>
      <c r="AI26" s="16">
        <v>208.59763887977005</v>
      </c>
      <c r="AJ26" s="2"/>
    </row>
    <row r="27" spans="1:36">
      <c r="A27" s="32"/>
      <c r="B27" s="20">
        <v>2</v>
      </c>
      <c r="C27" s="20">
        <v>1</v>
      </c>
      <c r="D27" s="20">
        <v>0</v>
      </c>
      <c r="E27" s="21">
        <f t="shared" si="26"/>
        <v>1.7396608864948364</v>
      </c>
      <c r="F27" s="21">
        <f t="shared" si="27"/>
        <v>0.44290241045336448</v>
      </c>
      <c r="G27" s="21">
        <f t="shared" si="28"/>
        <v>0.4588333332914602</v>
      </c>
      <c r="H27" s="21">
        <f t="shared" si="29"/>
        <v>52.578426995040239</v>
      </c>
      <c r="I27" s="21">
        <f t="shared" si="30"/>
        <v>27.147597248575178</v>
      </c>
      <c r="J27" s="21">
        <f t="shared" si="31"/>
        <v>13.276166188968164</v>
      </c>
      <c r="K27" s="21">
        <f t="shared" si="32"/>
        <v>4.384970847998324</v>
      </c>
      <c r="L27" s="22">
        <v>24</v>
      </c>
      <c r="M27" s="21">
        <f t="shared" si="33"/>
        <v>9.4864602116086907</v>
      </c>
      <c r="N27" s="21">
        <f t="shared" si="34"/>
        <v>7.7855357671817158</v>
      </c>
      <c r="O27" s="21">
        <f t="shared" si="35"/>
        <v>16815.435711577287</v>
      </c>
      <c r="P27" s="21">
        <f t="shared" si="36"/>
        <v>8.8630594302140778E-2</v>
      </c>
      <c r="Q27" s="21">
        <f t="shared" si="37"/>
        <v>189724.95721120454</v>
      </c>
      <c r="R27" s="21">
        <f t="shared" si="38"/>
        <v>0.17726118860428156</v>
      </c>
      <c r="S27" s="21">
        <f t="shared" si="39"/>
        <v>94862.478605602271</v>
      </c>
      <c r="T27" s="21">
        <f t="shared" si="40"/>
        <v>0.88630594302140786</v>
      </c>
      <c r="U27" s="21">
        <f t="shared" si="41"/>
        <v>18972.495721120453</v>
      </c>
      <c r="V27" s="2"/>
      <c r="W27" s="12">
        <f t="shared" si="9"/>
        <v>21.200000000000017</v>
      </c>
      <c r="X27" s="13">
        <f t="shared" si="0"/>
        <v>6.9411527180337201E-55</v>
      </c>
      <c r="Y27" s="13">
        <f t="shared" si="1"/>
        <v>8.6692505269182449E-10</v>
      </c>
      <c r="Z27" s="13">
        <f t="shared" si="2"/>
        <v>58376.376331597407</v>
      </c>
      <c r="AA27" s="13">
        <f t="shared" si="3"/>
        <v>4.5389705771550128E-175</v>
      </c>
      <c r="AB27" s="13">
        <f t="shared" si="4"/>
        <v>1.0774391870003019E-40</v>
      </c>
      <c r="AC27" s="13">
        <f t="shared" si="5"/>
        <v>269.08636321915458</v>
      </c>
      <c r="AD27" s="2"/>
      <c r="AE27" s="13">
        <v>58376.376331598054</v>
      </c>
      <c r="AF27" s="13">
        <f t="shared" si="6"/>
        <v>22549.607222119965</v>
      </c>
      <c r="AG27" s="13">
        <f t="shared" si="7"/>
        <v>5253.0493522564984</v>
      </c>
      <c r="AH27" s="13">
        <f t="shared" si="8"/>
        <v>3157.2611747359538</v>
      </c>
      <c r="AI27" s="13">
        <v>269.08636321915486</v>
      </c>
      <c r="AJ27" s="2"/>
    </row>
    <row r="28" spans="1:3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5">
        <f t="shared" si="9"/>
        <v>21.250000000000018</v>
      </c>
      <c r="X28" s="16">
        <f t="shared" si="0"/>
        <v>1.0182205899284464E-48</v>
      </c>
      <c r="Y28" s="16">
        <f t="shared" si="1"/>
        <v>3.0170612175170233E-8</v>
      </c>
      <c r="Z28" s="16">
        <f t="shared" si="2"/>
        <v>67282.362997743388</v>
      </c>
      <c r="AA28" s="16">
        <f t="shared" si="3"/>
        <v>2.4254354220877246E-164</v>
      </c>
      <c r="AB28" s="16">
        <f t="shared" si="4"/>
        <v>5.1802516066643662E-38</v>
      </c>
      <c r="AC28" s="16">
        <f t="shared" si="5"/>
        <v>344.48475929052739</v>
      </c>
      <c r="AD28" s="2"/>
      <c r="AE28" s="16">
        <v>67282.362997744043</v>
      </c>
      <c r="AF28" s="16">
        <f t="shared" si="6"/>
        <v>26666.408564015572</v>
      </c>
      <c r="AG28" s="16">
        <f t="shared" si="7"/>
        <v>6376.1375501012262</v>
      </c>
      <c r="AH28" s="16">
        <f t="shared" si="8"/>
        <v>3934.9556473552207</v>
      </c>
      <c r="AI28" s="16">
        <v>344.48475929052785</v>
      </c>
      <c r="AJ28" s="2"/>
    </row>
    <row r="29" spans="1:3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2">
        <f t="shared" si="9"/>
        <v>21.300000000000018</v>
      </c>
      <c r="X29" s="13">
        <f t="shared" si="0"/>
        <v>6.9672119528364563E-43</v>
      </c>
      <c r="Y29" s="13">
        <f t="shared" si="1"/>
        <v>8.6773758586272332E-7</v>
      </c>
      <c r="Z29" s="13">
        <f t="shared" si="2"/>
        <v>76957.935246575638</v>
      </c>
      <c r="AA29" s="13">
        <f t="shared" si="3"/>
        <v>6.05653644340645E-154</v>
      </c>
      <c r="AB29" s="13">
        <f t="shared" si="4"/>
        <v>2.0592520586366628E-35</v>
      </c>
      <c r="AC29" s="13">
        <f t="shared" si="5"/>
        <v>437.66756097091763</v>
      </c>
      <c r="AD29" s="2"/>
      <c r="AE29" s="13">
        <v>76957.93524657638</v>
      </c>
      <c r="AF29" s="13">
        <f t="shared" si="6"/>
        <v>31295.368229380772</v>
      </c>
      <c r="AG29" s="13">
        <f t="shared" si="7"/>
        <v>7680.6120413711906</v>
      </c>
      <c r="AH29" s="13">
        <f t="shared" si="8"/>
        <v>4867.020098681217</v>
      </c>
      <c r="AI29" s="13">
        <v>437.66756097091809</v>
      </c>
      <c r="AJ29" s="2"/>
    </row>
    <row r="30" spans="1:3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5">
        <f t="shared" si="9"/>
        <v>21.350000000000019</v>
      </c>
      <c r="X30" s="16">
        <f t="shared" si="0"/>
        <v>2.2237350583971004E-37</v>
      </c>
      <c r="Y30" s="16">
        <f t="shared" si="1"/>
        <v>2.0625021708417314E-5</v>
      </c>
      <c r="Z30" s="16">
        <f t="shared" si="2"/>
        <v>87356.182599297317</v>
      </c>
      <c r="AA30" s="16">
        <f t="shared" si="3"/>
        <v>7.0674252574470095E-144</v>
      </c>
      <c r="AB30" s="16">
        <f t="shared" si="4"/>
        <v>6.7681306122240381E-33</v>
      </c>
      <c r="AC30" s="16">
        <f t="shared" si="5"/>
        <v>551.84197035491911</v>
      </c>
      <c r="AD30" s="2"/>
      <c r="AE30" s="16">
        <v>87356.182599298118</v>
      </c>
      <c r="AF30" s="16">
        <f t="shared" si="6"/>
        <v>36448.997931760081</v>
      </c>
      <c r="AG30" s="16">
        <f t="shared" si="7"/>
        <v>9181.7599737417768</v>
      </c>
      <c r="AH30" s="16">
        <f t="shared" si="8"/>
        <v>5974.2088842852891</v>
      </c>
      <c r="AI30" s="16">
        <v>551.84197035491968</v>
      </c>
      <c r="AJ30" s="2"/>
    </row>
    <row r="31" spans="1:36">
      <c r="A31" s="31" t="s">
        <v>53</v>
      </c>
      <c r="B31" s="33" t="s">
        <v>27</v>
      </c>
      <c r="C31" s="34"/>
      <c r="D31" s="35"/>
      <c r="E31" s="36" t="s">
        <v>28</v>
      </c>
      <c r="F31" s="34"/>
      <c r="G31" s="34"/>
      <c r="H31" s="34"/>
      <c r="I31" s="36" t="s">
        <v>29</v>
      </c>
      <c r="J31" s="34"/>
      <c r="K31" s="35"/>
      <c r="L31" s="36" t="s">
        <v>30</v>
      </c>
      <c r="M31" s="34"/>
      <c r="N31" s="34"/>
      <c r="O31" s="35"/>
      <c r="P31" s="2"/>
      <c r="Q31" s="2"/>
      <c r="R31" s="2"/>
      <c r="S31" s="2"/>
      <c r="T31" s="25"/>
      <c r="U31" s="25"/>
      <c r="V31" s="2"/>
      <c r="W31" s="12">
        <f t="shared" si="9"/>
        <v>21.40000000000002</v>
      </c>
      <c r="X31" s="13">
        <f t="shared" si="0"/>
        <v>3.3106550788801287E-32</v>
      </c>
      <c r="Y31" s="13">
        <f t="shared" si="1"/>
        <v>4.051372143061372E-4</v>
      </c>
      <c r="Z31" s="13">
        <f t="shared" si="2"/>
        <v>98406.085505971103</v>
      </c>
      <c r="AA31" s="13">
        <f t="shared" si="3"/>
        <v>3.8538994916671526E-134</v>
      </c>
      <c r="AB31" s="13">
        <f t="shared" si="4"/>
        <v>1.8391981489783095E-30</v>
      </c>
      <c r="AC31" s="13">
        <f t="shared" si="5"/>
        <v>690.5277232390921</v>
      </c>
      <c r="AD31" s="2"/>
      <c r="AE31" s="13">
        <v>98406.085505971962</v>
      </c>
      <c r="AF31" s="13">
        <f t="shared" si="6"/>
        <v>42128.996074477342</v>
      </c>
      <c r="AG31" s="13">
        <f t="shared" si="7"/>
        <v>10893.012376981069</v>
      </c>
      <c r="AH31" s="13">
        <f t="shared" si="8"/>
        <v>7277.6578274938638</v>
      </c>
      <c r="AI31" s="13">
        <v>690.52772323909301</v>
      </c>
      <c r="AJ31" s="2"/>
    </row>
    <row r="32" spans="1:36" ht="15.75" customHeight="1">
      <c r="A32" s="32"/>
      <c r="B32" s="18" t="s">
        <v>31</v>
      </c>
      <c r="C32" s="18" t="s">
        <v>32</v>
      </c>
      <c r="D32" s="18" t="s">
        <v>33</v>
      </c>
      <c r="E32" s="19" t="s">
        <v>34</v>
      </c>
      <c r="F32" s="19" t="s">
        <v>35</v>
      </c>
      <c r="G32" s="19" t="s">
        <v>36</v>
      </c>
      <c r="H32" s="19" t="s">
        <v>37</v>
      </c>
      <c r="I32" s="19" t="s">
        <v>54</v>
      </c>
      <c r="J32" s="19" t="s">
        <v>39</v>
      </c>
      <c r="K32" s="19" t="s">
        <v>40</v>
      </c>
      <c r="L32" s="19" t="s">
        <v>41</v>
      </c>
      <c r="M32" s="19" t="s">
        <v>42</v>
      </c>
      <c r="N32" s="19" t="s">
        <v>43</v>
      </c>
      <c r="O32" s="19" t="s">
        <v>44</v>
      </c>
      <c r="P32" s="2"/>
      <c r="Q32" s="2"/>
      <c r="R32" s="2"/>
      <c r="S32" s="2"/>
      <c r="T32" s="19" t="s">
        <v>49</v>
      </c>
      <c r="U32" s="19" t="s">
        <v>50</v>
      </c>
      <c r="V32" s="2"/>
      <c r="W32" s="15">
        <f t="shared" si="9"/>
        <v>21.450000000000021</v>
      </c>
      <c r="X32" s="16">
        <f t="shared" si="0"/>
        <v>2.299067391783445E-27</v>
      </c>
      <c r="Y32" s="16">
        <f t="shared" si="1"/>
        <v>6.5767537185392978E-3</v>
      </c>
      <c r="Z32" s="16">
        <f t="shared" si="2"/>
        <v>110011.56274908071</v>
      </c>
      <c r="AA32" s="16">
        <f t="shared" si="3"/>
        <v>9.8206857582898351E-125</v>
      </c>
      <c r="AB32" s="16">
        <f t="shared" si="4"/>
        <v>4.1322717934910805E-28</v>
      </c>
      <c r="AC32" s="16">
        <f t="shared" si="5"/>
        <v>857.51856979822571</v>
      </c>
      <c r="AD32" s="2"/>
      <c r="AE32" s="16">
        <v>110011.56274908161</v>
      </c>
      <c r="AF32" s="16">
        <f t="shared" si="6"/>
        <v>48324.41631282126</v>
      </c>
      <c r="AG32" s="16">
        <f t="shared" si="7"/>
        <v>12825.137025891372</v>
      </c>
      <c r="AH32" s="16">
        <f t="shared" si="8"/>
        <v>8798.2607203532534</v>
      </c>
      <c r="AI32" s="16">
        <v>857.51856979822662</v>
      </c>
      <c r="AJ32" s="2"/>
    </row>
    <row r="33" spans="1:36">
      <c r="A33" s="26" t="s">
        <v>55</v>
      </c>
      <c r="B33" s="20">
        <v>1</v>
      </c>
      <c r="C33" s="20">
        <v>0</v>
      </c>
      <c r="D33" s="20">
        <v>0</v>
      </c>
      <c r="E33" s="21">
        <f t="shared" ref="E33:E37" si="42">$A$35/SQRT(B33^2+C33^2+D33^2)</f>
        <v>3.98</v>
      </c>
      <c r="F33" s="21">
        <f t="shared" ref="F33:F37" si="43">$B$5 / (2 * ($A$35 / SQRT(B33^2 + C33^2 + D33^2)))</f>
        <v>0.19359296482412058</v>
      </c>
      <c r="G33" s="21">
        <f t="shared" ref="G33:G37" si="44">ASIN(F33)</f>
        <v>0.19482307984405242</v>
      </c>
      <c r="H33" s="21">
        <f t="shared" ref="H33:H37" si="45">DEGREES(G33 * 2)</f>
        <v>22.325080453608919</v>
      </c>
      <c r="I33" s="21">
        <f t="shared" ref="I33:I37" si="46">((1-$A$37)*$I13)+($A$37*$I23)</f>
        <v>45.045905386752146</v>
      </c>
      <c r="J33" s="21">
        <f t="shared" ref="J33:J37" si="47">$N$4 +($F$4*EXP(-$G$4*($F33/$B$5)^2) + $H$4*EXP(-$I$4*($F33/$B$5)^2) + $J$4*EXP(-$K$4*($F33/$B$5)^2) + $L$4*EXP(-$M$4*($F33/$B$5)^2))</f>
        <v>16.850801296619501</v>
      </c>
      <c r="K33" s="21">
        <f t="shared" ref="K33:K37" si="48">$N$5 +($F$5*EXP(-$G$5*($F33/$B$5)^2) + $H$5*EXP(-$I$5*($F33/$B$5)^2) + $J$5*EXP(-$K$5*($F33/$B$5)^2) + $L$5*EXP(-$M$5*($F33/$B$5)^2))</f>
        <v>7.8154943348705377</v>
      </c>
      <c r="L33" s="22">
        <v>6</v>
      </c>
      <c r="M33" s="21">
        <f t="shared" ref="M33:M37" si="49">I33 + (J33*(-1)^(B33+C33+D33)) + K33*((-1)^(B33+C33) + (-1)^(B33+D33) + (-1)^(C33+D33))</f>
        <v>20.379609755262109</v>
      </c>
      <c r="N33" s="21">
        <f t="shared" ref="N33:N37" si="50">(1 + COS(2*G33)^2) / (SIN(G33)^2 * COS(G33))</f>
        <v>50.468993127127227</v>
      </c>
      <c r="O33" s="21">
        <f t="shared" ref="O33:O37" si="51">M33^2 * L33 * N33</f>
        <v>125767.26538752083</v>
      </c>
      <c r="P33" s="2"/>
      <c r="Q33" s="2"/>
      <c r="R33" s="2"/>
      <c r="S33" s="2"/>
      <c r="T33" s="21">
        <f t="shared" ref="T33:T37" si="52">DEGREES((0.9 * $B$5) / ($B$8 * COS($G33)))</f>
        <v>0.80995800390715178</v>
      </c>
      <c r="U33" s="21">
        <f t="shared" ref="U33:U37" si="53">O33/T33</f>
        <v>155276.27948712505</v>
      </c>
      <c r="V33" s="2"/>
      <c r="W33" s="12">
        <f t="shared" si="9"/>
        <v>21.500000000000021</v>
      </c>
      <c r="X33" s="13">
        <f t="shared" si="0"/>
        <v>7.4472569799252607E-23</v>
      </c>
      <c r="Y33" s="13">
        <f t="shared" si="1"/>
        <v>8.8231312280031698E-2</v>
      </c>
      <c r="Z33" s="13">
        <f t="shared" si="2"/>
        <v>122051.40421782593</v>
      </c>
      <c r="AA33" s="13">
        <f t="shared" si="3"/>
        <v>1.1694603875473884E-115</v>
      </c>
      <c r="AB33" s="13">
        <f t="shared" si="4"/>
        <v>7.6762622609017176E-26</v>
      </c>
      <c r="AC33" s="13">
        <f t="shared" si="5"/>
        <v>1056.8223044884146</v>
      </c>
      <c r="AD33" s="2"/>
      <c r="AE33" s="13">
        <v>122051.40421782683</v>
      </c>
      <c r="AF33" s="13">
        <f t="shared" si="6"/>
        <v>55010.059418330973</v>
      </c>
      <c r="AG33" s="13">
        <f t="shared" si="7"/>
        <v>14985.387780904981</v>
      </c>
      <c r="AH33" s="13">
        <f t="shared" si="8"/>
        <v>10555.917508985218</v>
      </c>
      <c r="AI33" s="13">
        <v>1056.8223044884157</v>
      </c>
      <c r="AJ33" s="2"/>
    </row>
    <row r="34" spans="1:36">
      <c r="A34" s="27" t="s">
        <v>56</v>
      </c>
      <c r="B34" s="23">
        <v>1</v>
      </c>
      <c r="C34" s="23">
        <v>1</v>
      </c>
      <c r="D34" s="23">
        <v>0</v>
      </c>
      <c r="E34" s="21">
        <f t="shared" si="42"/>
        <v>2.8142849891224588</v>
      </c>
      <c r="F34" s="21">
        <f t="shared" si="43"/>
        <v>0.2737817964342889</v>
      </c>
      <c r="G34" s="21">
        <f t="shared" si="44"/>
        <v>0.27732287568290492</v>
      </c>
      <c r="H34" s="21">
        <f t="shared" si="45"/>
        <v>31.778860678123319</v>
      </c>
      <c r="I34" s="21">
        <f t="shared" si="46"/>
        <v>42.187099800086884</v>
      </c>
      <c r="J34" s="21">
        <f t="shared" si="47"/>
        <v>15.83561504043251</v>
      </c>
      <c r="K34" s="21">
        <f t="shared" si="48"/>
        <v>6.6010512630623381</v>
      </c>
      <c r="L34" s="24">
        <v>12</v>
      </c>
      <c r="M34" s="21">
        <f t="shared" si="49"/>
        <v>51.421663577457053</v>
      </c>
      <c r="N34" s="21">
        <f t="shared" si="50"/>
        <v>23.894960823111958</v>
      </c>
      <c r="O34" s="21">
        <f t="shared" si="51"/>
        <v>758193.07637743698</v>
      </c>
      <c r="P34" s="2"/>
      <c r="Q34" s="2"/>
      <c r="R34" s="2"/>
      <c r="S34" s="2"/>
      <c r="T34" s="21">
        <f t="shared" si="52"/>
        <v>0.82620286396439524</v>
      </c>
      <c r="U34" s="21">
        <f t="shared" si="53"/>
        <v>917683.91208349878</v>
      </c>
      <c r="V34" s="2"/>
      <c r="W34" s="15">
        <f t="shared" si="9"/>
        <v>21.550000000000022</v>
      </c>
      <c r="X34" s="16">
        <f t="shared" si="0"/>
        <v>1.1252469674283979E-18</v>
      </c>
      <c r="Y34" s="16">
        <f t="shared" si="1"/>
        <v>0.97821792441462918</v>
      </c>
      <c r="Z34" s="16">
        <f t="shared" si="2"/>
        <v>134380.20383301601</v>
      </c>
      <c r="AA34" s="16">
        <f t="shared" si="3"/>
        <v>6.5077593884421833E-107</v>
      </c>
      <c r="AB34" s="16">
        <f t="shared" si="4"/>
        <v>1.178993191078706E-23</v>
      </c>
      <c r="AC34" s="16">
        <f t="shared" si="5"/>
        <v>1292.5770191978613</v>
      </c>
      <c r="AD34" s="2"/>
      <c r="AE34" s="16">
        <v>134380.20383301697</v>
      </c>
      <c r="AF34" s="16">
        <f t="shared" si="6"/>
        <v>62145.201560894537</v>
      </c>
      <c r="AG34" s="16">
        <f t="shared" si="7"/>
        <v>17376.644363679767</v>
      </c>
      <c r="AH34" s="16">
        <f t="shared" si="8"/>
        <v>12568.663920821818</v>
      </c>
      <c r="AI34" s="16">
        <v>1292.5770191978627</v>
      </c>
      <c r="AJ34" s="2"/>
    </row>
    <row r="35" spans="1:36">
      <c r="A35" s="28">
        <v>3.98</v>
      </c>
      <c r="B35" s="20">
        <v>1</v>
      </c>
      <c r="C35" s="20">
        <v>1</v>
      </c>
      <c r="D35" s="20">
        <v>1</v>
      </c>
      <c r="E35" s="21">
        <f t="shared" si="42"/>
        <v>2.2978540713747106</v>
      </c>
      <c r="F35" s="21">
        <f t="shared" si="43"/>
        <v>0.3353128510632713</v>
      </c>
      <c r="G35" s="21">
        <f t="shared" si="44"/>
        <v>0.34193728647882154</v>
      </c>
      <c r="H35" s="21">
        <f t="shared" si="45"/>
        <v>39.183126746784453</v>
      </c>
      <c r="I35" s="21">
        <f t="shared" si="46"/>
        <v>39.93279967619776</v>
      </c>
      <c r="J35" s="21">
        <f t="shared" si="47"/>
        <v>14.936967579509526</v>
      </c>
      <c r="K35" s="21">
        <f t="shared" si="48"/>
        <v>5.7077388076012303</v>
      </c>
      <c r="L35" s="22">
        <v>8</v>
      </c>
      <c r="M35" s="21">
        <f t="shared" si="49"/>
        <v>42.119048519491926</v>
      </c>
      <c r="N35" s="21">
        <f t="shared" si="50"/>
        <v>15.112766174779676</v>
      </c>
      <c r="O35" s="21">
        <f t="shared" si="51"/>
        <v>214482.10018865959</v>
      </c>
      <c r="P35" s="2"/>
      <c r="Q35" s="2"/>
      <c r="R35" s="2"/>
      <c r="S35" s="2"/>
      <c r="T35" s="21">
        <f t="shared" si="52"/>
        <v>0.84346608584331917</v>
      </c>
      <c r="U35" s="21">
        <f t="shared" si="53"/>
        <v>254286.57273660842</v>
      </c>
      <c r="V35" s="2"/>
      <c r="W35" s="12">
        <f t="shared" si="9"/>
        <v>21.600000000000023</v>
      </c>
      <c r="X35" s="13">
        <f t="shared" si="0"/>
        <v>7.9306034545043604E-15</v>
      </c>
      <c r="Y35" s="13">
        <f t="shared" si="1"/>
        <v>8.9629342858883767</v>
      </c>
      <c r="Z35" s="13">
        <f t="shared" si="2"/>
        <v>146830.36532359241</v>
      </c>
      <c r="AA35" s="13">
        <f t="shared" si="3"/>
        <v>1.6923092548537333E-98</v>
      </c>
      <c r="AB35" s="13">
        <f t="shared" si="4"/>
        <v>1.4971777265064137E-21</v>
      </c>
      <c r="AC35" s="13">
        <f t="shared" si="5"/>
        <v>1568.942085492976</v>
      </c>
      <c r="AD35" s="2"/>
      <c r="AE35" s="13">
        <v>146830.36532359337</v>
      </c>
      <c r="AF35" s="13">
        <f t="shared" si="6"/>
        <v>69672.770085951677</v>
      </c>
      <c r="AG35" s="13">
        <f t="shared" si="7"/>
        <v>19996.583220627763</v>
      </c>
      <c r="AH35" s="13">
        <f t="shared" si="8"/>
        <v>14851.701266354094</v>
      </c>
      <c r="AI35" s="13">
        <v>1568.9420854929776</v>
      </c>
      <c r="AJ35" s="2"/>
    </row>
    <row r="36" spans="1:36">
      <c r="A36" s="29" t="s">
        <v>57</v>
      </c>
      <c r="B36" s="23">
        <v>2</v>
      </c>
      <c r="C36" s="23">
        <v>0</v>
      </c>
      <c r="D36" s="23">
        <v>0</v>
      </c>
      <c r="E36" s="21">
        <f t="shared" si="42"/>
        <v>1.99</v>
      </c>
      <c r="F36" s="21">
        <f t="shared" si="43"/>
        <v>0.38718592964824117</v>
      </c>
      <c r="G36" s="21">
        <f t="shared" si="44"/>
        <v>0.39757749790306424</v>
      </c>
      <c r="H36" s="21">
        <f t="shared" si="45"/>
        <v>45.559025318433839</v>
      </c>
      <c r="I36" s="21">
        <f t="shared" si="46"/>
        <v>38.109509111967597</v>
      </c>
      <c r="J36" s="21">
        <f t="shared" si="47"/>
        <v>14.139639925351839</v>
      </c>
      <c r="K36" s="21">
        <f t="shared" si="48"/>
        <v>5.0268591022983173</v>
      </c>
      <c r="L36" s="24">
        <v>6</v>
      </c>
      <c r="M36" s="21">
        <f t="shared" si="49"/>
        <v>67.329726344214379</v>
      </c>
      <c r="N36" s="21">
        <f t="shared" si="50"/>
        <v>10.781681167841924</v>
      </c>
      <c r="O36" s="21">
        <f t="shared" si="51"/>
        <v>293259.05711614486</v>
      </c>
      <c r="P36" s="2"/>
      <c r="Q36" s="2"/>
      <c r="R36" s="2"/>
      <c r="S36" s="2"/>
      <c r="T36" s="21">
        <f t="shared" si="52"/>
        <v>0.86185871778017908</v>
      </c>
      <c r="U36" s="21">
        <f t="shared" si="53"/>
        <v>340263.49222465244</v>
      </c>
      <c r="V36" s="2"/>
      <c r="W36" s="15">
        <f t="shared" si="9"/>
        <v>21.650000000000023</v>
      </c>
      <c r="X36" s="16">
        <f t="shared" si="0"/>
        <v>2.6071828530538218E-11</v>
      </c>
      <c r="Y36" s="16">
        <f t="shared" si="1"/>
        <v>67.868230533444105</v>
      </c>
      <c r="Z36" s="16">
        <f t="shared" si="2"/>
        <v>159215.20190058</v>
      </c>
      <c r="AA36" s="16">
        <f t="shared" si="3"/>
        <v>2.056507237063755E-90</v>
      </c>
      <c r="AB36" s="16">
        <f t="shared" si="4"/>
        <v>1.5719400738452023E-19</v>
      </c>
      <c r="AC36" s="16">
        <f t="shared" si="5"/>
        <v>1889.963504058727</v>
      </c>
      <c r="AD36" s="2"/>
      <c r="AE36" s="16">
        <v>159215.20190058096</v>
      </c>
      <c r="AF36" s="16">
        <f t="shared" si="6"/>
        <v>77519.068348508474</v>
      </c>
      <c r="AG36" s="16">
        <f t="shared" si="7"/>
        <v>22836.925342947095</v>
      </c>
      <c r="AH36" s="16">
        <f t="shared" si="8"/>
        <v>17416.354745863071</v>
      </c>
      <c r="AI36" s="16">
        <v>1889.9635040587291</v>
      </c>
      <c r="AJ36" s="2"/>
    </row>
    <row r="37" spans="1:36" ht="15.75" customHeight="1">
      <c r="A37" s="30">
        <v>0.25</v>
      </c>
      <c r="B37" s="20">
        <v>2</v>
      </c>
      <c r="C37" s="20">
        <v>1</v>
      </c>
      <c r="D37" s="20">
        <v>0</v>
      </c>
      <c r="E37" s="21">
        <f t="shared" si="42"/>
        <v>1.7799101100898325</v>
      </c>
      <c r="F37" s="21">
        <f t="shared" si="43"/>
        <v>0.43288702931245931</v>
      </c>
      <c r="G37" s="21">
        <f t="shared" si="44"/>
        <v>0.44769298038778449</v>
      </c>
      <c r="H37" s="21">
        <f t="shared" si="45"/>
        <v>51.301836587706376</v>
      </c>
      <c r="I37" s="21">
        <f t="shared" si="46"/>
        <v>36.602085097226002</v>
      </c>
      <c r="J37" s="21">
        <f t="shared" si="47"/>
        <v>13.430597926936963</v>
      </c>
      <c r="K37" s="21">
        <f t="shared" si="48"/>
        <v>4.4933045219158068</v>
      </c>
      <c r="L37" s="22">
        <v>24</v>
      </c>
      <c r="M37" s="21">
        <f t="shared" si="49"/>
        <v>18.678182648373234</v>
      </c>
      <c r="N37" s="21">
        <f t="shared" si="50"/>
        <v>8.233890526035756</v>
      </c>
      <c r="O37" s="21">
        <f t="shared" si="51"/>
        <v>68942.267960193101</v>
      </c>
      <c r="P37" s="2"/>
      <c r="Q37" s="2"/>
      <c r="R37" s="2"/>
      <c r="S37" s="2"/>
      <c r="T37" s="21">
        <f t="shared" si="52"/>
        <v>0.8815095358425391</v>
      </c>
      <c r="U37" s="21">
        <f t="shared" si="53"/>
        <v>78209.327474034275</v>
      </c>
      <c r="V37" s="2"/>
      <c r="W37" s="12">
        <f t="shared" si="9"/>
        <v>21.700000000000024</v>
      </c>
      <c r="X37" s="13">
        <f t="shared" si="0"/>
        <v>3.9980076444957117E-8</v>
      </c>
      <c r="Y37" s="13">
        <f t="shared" si="1"/>
        <v>424.70224687856728</v>
      </c>
      <c r="Z37" s="13">
        <f t="shared" si="2"/>
        <v>171333.09225782592</v>
      </c>
      <c r="AA37" s="13">
        <f t="shared" si="3"/>
        <v>1.1678391370120622E-82</v>
      </c>
      <c r="AB37" s="13">
        <f t="shared" si="4"/>
        <v>1.3645805646972082E-17</v>
      </c>
      <c r="AC37" s="13">
        <f t="shared" si="5"/>
        <v>2259.414677588426</v>
      </c>
      <c r="AD37" s="2"/>
      <c r="AE37" s="13">
        <v>171333.09225782682</v>
      </c>
      <c r="AF37" s="13">
        <f t="shared" si="6"/>
        <v>85594.133802095675</v>
      </c>
      <c r="AG37" s="13">
        <f t="shared" si="7"/>
        <v>25882.810010279052</v>
      </c>
      <c r="AH37" s="13">
        <f t="shared" si="8"/>
        <v>20268.998224920932</v>
      </c>
      <c r="AI37" s="13">
        <v>2259.4146775884283</v>
      </c>
      <c r="AJ37" s="2"/>
    </row>
    <row r="38" spans="1:36" ht="12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15">
        <f t="shared" si="9"/>
        <v>21.750000000000025</v>
      </c>
      <c r="X38" s="16">
        <f t="shared" si="0"/>
        <v>2.8597141338462107E-5</v>
      </c>
      <c r="Y38" s="16">
        <f t="shared" si="1"/>
        <v>2196.3639612667762</v>
      </c>
      <c r="Z38" s="16">
        <f t="shared" si="2"/>
        <v>182972.59320254892</v>
      </c>
      <c r="AA38" s="16">
        <f t="shared" si="3"/>
        <v>3.0991177620398552E-75</v>
      </c>
      <c r="AB38" s="16">
        <f t="shared" si="4"/>
        <v>9.7940641641964032E-16</v>
      </c>
      <c r="AC38" s="16">
        <f t="shared" si="5"/>
        <v>2680.6153257124588</v>
      </c>
      <c r="AD38" s="2"/>
      <c r="AE38" s="16">
        <v>182972.59320254982</v>
      </c>
      <c r="AF38" s="16">
        <f t="shared" si="6"/>
        <v>93792.788537378467</v>
      </c>
      <c r="AG38" s="16">
        <f t="shared" si="7"/>
        <v>29112.34383495857</v>
      </c>
      <c r="AH38" s="16">
        <f t="shared" si="8"/>
        <v>23409.992404630404</v>
      </c>
      <c r="AI38" s="16">
        <v>2680.615325712462</v>
      </c>
      <c r="AJ38" s="2"/>
    </row>
    <row r="39" spans="1:36" ht="12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2">
        <f t="shared" si="9"/>
        <v>21.800000000000026</v>
      </c>
      <c r="X39" s="13">
        <f t="shared" si="0"/>
        <v>9.5413207586856324E-3</v>
      </c>
      <c r="Y39" s="13">
        <f t="shared" si="1"/>
        <v>9386.9775155839616</v>
      </c>
      <c r="Z39" s="13">
        <f t="shared" si="2"/>
        <v>193918.34765730586</v>
      </c>
      <c r="AA39" s="13">
        <f t="shared" si="3"/>
        <v>3.8432213948095935E-68</v>
      </c>
      <c r="AB39" s="13">
        <f t="shared" si="4"/>
        <v>5.8120223536314256E-14</v>
      </c>
      <c r="AC39" s="13">
        <f t="shared" si="5"/>
        <v>3156.2330958033476</v>
      </c>
      <c r="AD39" s="2"/>
      <c r="AE39" s="13">
        <v>193918.34765730673</v>
      </c>
      <c r="AF39" s="13">
        <f t="shared" si="6"/>
        <v>101996.40966767241</v>
      </c>
      <c r="AG39" s="13">
        <f t="shared" si="7"/>
        <v>32496.371760476373</v>
      </c>
      <c r="AH39" s="13">
        <f t="shared" si="8"/>
        <v>26832.690818233492</v>
      </c>
      <c r="AI39" s="13">
        <v>3156.2330958033508</v>
      </c>
      <c r="AJ39" s="2"/>
    </row>
    <row r="40" spans="1:36" ht="12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5">
        <f t="shared" si="9"/>
        <v>21.850000000000026</v>
      </c>
      <c r="X40" s="16">
        <f t="shared" si="0"/>
        <v>1.4849137990838024</v>
      </c>
      <c r="Y40" s="16">
        <f t="shared" si="1"/>
        <v>33154.994816632097</v>
      </c>
      <c r="Z40" s="16">
        <f t="shared" si="2"/>
        <v>203957.5701838689</v>
      </c>
      <c r="AA40" s="16">
        <f t="shared" si="3"/>
        <v>2.2271783600833893E-61</v>
      </c>
      <c r="AB40" s="16">
        <f t="shared" si="4"/>
        <v>2.851623431928312E-12</v>
      </c>
      <c r="AC40" s="16">
        <f t="shared" si="5"/>
        <v>3688.0743309445916</v>
      </c>
      <c r="AD40" s="2"/>
      <c r="AE40" s="16">
        <v>203957.57018386966</v>
      </c>
      <c r="AF40" s="16">
        <f t="shared" si="6"/>
        <v>110075.40985586053</v>
      </c>
      <c r="AG40" s="16">
        <f t="shared" si="7"/>
        <v>35998.510552901826</v>
      </c>
      <c r="AH40" s="16">
        <f t="shared" si="8"/>
        <v>30522.573326818274</v>
      </c>
      <c r="AI40" s="16">
        <v>3688.0743309445957</v>
      </c>
      <c r="AJ40" s="2"/>
    </row>
    <row r="41" spans="1:36" ht="15">
      <c r="A41" s="31" t="s">
        <v>53</v>
      </c>
      <c r="B41" s="33" t="s">
        <v>27</v>
      </c>
      <c r="C41" s="34"/>
      <c r="D41" s="35"/>
      <c r="E41" s="36" t="s">
        <v>28</v>
      </c>
      <c r="F41" s="34"/>
      <c r="G41" s="34"/>
      <c r="H41" s="34"/>
      <c r="I41" s="36" t="s">
        <v>29</v>
      </c>
      <c r="J41" s="34"/>
      <c r="K41" s="35"/>
      <c r="L41" s="36" t="s">
        <v>30</v>
      </c>
      <c r="M41" s="34"/>
      <c r="N41" s="34"/>
      <c r="O41" s="35"/>
      <c r="P41" s="2"/>
      <c r="Q41" s="2"/>
      <c r="R41" s="2"/>
      <c r="S41" s="2"/>
      <c r="T41" s="25"/>
      <c r="U41" s="25"/>
      <c r="V41" s="2"/>
      <c r="W41" s="12">
        <f t="shared" si="9"/>
        <v>21.900000000000027</v>
      </c>
      <c r="X41" s="13">
        <f t="shared" si="0"/>
        <v>107.79555744098306</v>
      </c>
      <c r="Y41" s="13">
        <f t="shared" si="1"/>
        <v>96777.381946749534</v>
      </c>
      <c r="Z41" s="13">
        <f t="shared" si="2"/>
        <v>212886.84494374585</v>
      </c>
      <c r="AA41" s="13">
        <f t="shared" si="3"/>
        <v>6.0313823890866189E-55</v>
      </c>
      <c r="AB41" s="13">
        <f t="shared" si="4"/>
        <v>1.1567982981087141E-10</v>
      </c>
      <c r="AC41" s="13">
        <f t="shared" si="5"/>
        <v>4276.8723088732158</v>
      </c>
      <c r="AD41" s="2"/>
      <c r="AE41" s="13">
        <v>212886.84494374655</v>
      </c>
      <c r="AF41" s="13">
        <f t="shared" si="6"/>
        <v>117892.37794533299</v>
      </c>
      <c r="AG41" s="13">
        <f t="shared" si="7"/>
        <v>39575.475795376005</v>
      </c>
      <c r="AH41" s="13">
        <f t="shared" si="8"/>
        <v>34456.569001070282</v>
      </c>
      <c r="AI41" s="13">
        <v>4276.8723088732204</v>
      </c>
      <c r="AJ41" s="2"/>
    </row>
    <row r="42" spans="1:36">
      <c r="A42" s="32"/>
      <c r="B42" s="18" t="s">
        <v>31</v>
      </c>
      <c r="C42" s="18" t="s">
        <v>32</v>
      </c>
      <c r="D42" s="18" t="s">
        <v>33</v>
      </c>
      <c r="E42" s="19" t="s">
        <v>34</v>
      </c>
      <c r="F42" s="19" t="s">
        <v>35</v>
      </c>
      <c r="G42" s="19" t="s">
        <v>36</v>
      </c>
      <c r="H42" s="19" t="s">
        <v>37</v>
      </c>
      <c r="I42" s="19" t="s">
        <v>54</v>
      </c>
      <c r="J42" s="19" t="s">
        <v>39</v>
      </c>
      <c r="K42" s="19" t="s">
        <v>40</v>
      </c>
      <c r="L42" s="19" t="s">
        <v>41</v>
      </c>
      <c r="M42" s="19" t="s">
        <v>42</v>
      </c>
      <c r="N42" s="19" t="s">
        <v>43</v>
      </c>
      <c r="O42" s="19" t="s">
        <v>44</v>
      </c>
      <c r="P42" s="2"/>
      <c r="Q42" s="2"/>
      <c r="R42" s="2"/>
      <c r="S42" s="2"/>
      <c r="T42" s="19" t="s">
        <v>49</v>
      </c>
      <c r="U42" s="19" t="s">
        <v>50</v>
      </c>
      <c r="V42" s="2"/>
      <c r="W42" s="15">
        <f t="shared" si="9"/>
        <v>21.950000000000028</v>
      </c>
      <c r="X42" s="16">
        <f t="shared" si="0"/>
        <v>3650.1217868020576</v>
      </c>
      <c r="Y42" s="16">
        <f t="shared" si="1"/>
        <v>233453.55533738638</v>
      </c>
      <c r="Z42" s="16">
        <f t="shared" si="2"/>
        <v>220518.9371159471</v>
      </c>
      <c r="AA42" s="16">
        <f t="shared" si="3"/>
        <v>7.6327493243741332E-49</v>
      </c>
      <c r="AB42" s="16">
        <f t="shared" si="4"/>
        <v>3.8799280762945208E-9</v>
      </c>
      <c r="AC42" s="16">
        <f t="shared" si="5"/>
        <v>4922.0829160035491</v>
      </c>
      <c r="AD42" s="2"/>
      <c r="AE42" s="16">
        <v>220518.93711594772</v>
      </c>
      <c r="AF42" s="16">
        <f t="shared" si="6"/>
        <v>125305.7886428332</v>
      </c>
      <c r="AG42" s="16">
        <f t="shared" si="7"/>
        <v>43177.720701416358</v>
      </c>
      <c r="AH42" s="16">
        <f t="shared" si="8"/>
        <v>38602.628822444582</v>
      </c>
      <c r="AI42" s="16">
        <v>4922.0829160035546</v>
      </c>
      <c r="AJ42" s="2"/>
    </row>
    <row r="43" spans="1:36" ht="15">
      <c r="A43" s="26" t="s">
        <v>58</v>
      </c>
      <c r="B43" s="20">
        <v>1</v>
      </c>
      <c r="C43" s="20">
        <v>0</v>
      </c>
      <c r="D43" s="20">
        <v>0</v>
      </c>
      <c r="E43" s="21">
        <f t="shared" ref="E43:E47" si="54">$A$45/SQRT(B43^2+C43^2+D43^2)</f>
        <v>3.95</v>
      </c>
      <c r="F43" s="21">
        <f t="shared" ref="F43:F47" si="55">$B$5 / (2 * ($A$45 / SQRT(B43^2 + C43^2 + D43^2)))</f>
        <v>0.19506329113924048</v>
      </c>
      <c r="G43" s="21">
        <f t="shared" ref="G43:G47" si="56">ASIN(F43)</f>
        <v>0.1963219804818295</v>
      </c>
      <c r="H43" s="21">
        <f t="shared" ref="H43:H47" si="57">DEGREES(G43 * 2)</f>
        <v>22.496841814517108</v>
      </c>
      <c r="I43" s="21">
        <f t="shared" ref="I43:I47" si="58">((1-$A$47)*$I23)+($A$47*$I33)</f>
        <v>38.234085161572956</v>
      </c>
      <c r="J43" s="21">
        <f t="shared" ref="J43:J47" si="59">$N$4 +($F$4*EXP(-$G$4*($F43/$B$5)^2) + $H$4*EXP(-$I$4*($F43/$B$5)^2) + $J$4*EXP(-$K$4*($F43/$B$5)^2) + $L$4*EXP(-$M$4*($F43/$B$5)^2))</f>
        <v>16.834362408516036</v>
      </c>
      <c r="K43" s="21">
        <f t="shared" ref="K43:K47" si="60">$N$5 +($F$5*EXP(-$G$5*($F43/$B$5)^2) + $H$5*EXP(-$I$5*($F43/$B$5)^2) + $J$5*EXP(-$K$5*($F43/$B$5)^2) + $L$5*EXP(-$M$5*($F43/$B$5)^2))</f>
        <v>7.7937688791216937</v>
      </c>
      <c r="L43" s="22">
        <v>6</v>
      </c>
      <c r="M43" s="21">
        <f t="shared" ref="M43:M47" si="61">I43 + (J43*(-1)^(B43+C43+D43)) + K43*((-1)^(B43+C43) + (-1)^(B43+D43) + (-1)^(C43+D43))</f>
        <v>13.605953873935228</v>
      </c>
      <c r="N43" s="21">
        <f t="shared" ref="N43:N47" si="62">(1 + COS(2*G43)^2) / (SIN(G43)^2 * COS(G43))</f>
        <v>49.669160189457806</v>
      </c>
      <c r="O43" s="21">
        <f t="shared" ref="O43:O47" si="63">M43^2 * L43 * N43</f>
        <v>55169.119919526493</v>
      </c>
      <c r="P43" s="2"/>
      <c r="Q43" s="2"/>
      <c r="R43" s="2"/>
      <c r="S43" s="2"/>
      <c r="T43" s="21">
        <f t="shared" ref="T43:T47" si="64">DEGREES((0.9 * $B$5) / ($B$8 * COS($G43)))</f>
        <v>0.81019854804315206</v>
      </c>
      <c r="U43" s="21">
        <f t="shared" ref="U43:U47" si="65">O43/T43</f>
        <v>68093.333483224313</v>
      </c>
      <c r="V43" s="2"/>
      <c r="W43" s="12">
        <f t="shared" si="9"/>
        <v>22.000000000000028</v>
      </c>
      <c r="X43" s="13">
        <f t="shared" si="0"/>
        <v>57652.841892748562</v>
      </c>
      <c r="Y43" s="13">
        <f t="shared" si="1"/>
        <v>465402.63041944575</v>
      </c>
      <c r="Z43" s="13">
        <f t="shared" si="2"/>
        <v>226689.30145791944</v>
      </c>
      <c r="AA43" s="13">
        <f t="shared" si="3"/>
        <v>4.5138529411599643E-43</v>
      </c>
      <c r="AB43" s="13">
        <f t="shared" si="4"/>
        <v>1.0759455076270423E-7</v>
      </c>
      <c r="AC43" s="13">
        <f t="shared" si="5"/>
        <v>5621.6990106914418</v>
      </c>
      <c r="AD43" s="2"/>
      <c r="AE43" s="13">
        <v>226689.30145791994</v>
      </c>
      <c r="AF43" s="13">
        <f t="shared" si="6"/>
        <v>132174.15134578606</v>
      </c>
      <c r="AG43" s="13">
        <f t="shared" si="7"/>
        <v>46750.389733878161</v>
      </c>
      <c r="AH43" s="13">
        <f t="shared" si="8"/>
        <v>42919.603072444239</v>
      </c>
      <c r="AI43" s="13">
        <v>5621.6990106914482</v>
      </c>
      <c r="AJ43" s="2"/>
    </row>
    <row r="44" spans="1:36" ht="15">
      <c r="A44" s="27" t="s">
        <v>56</v>
      </c>
      <c r="B44" s="23">
        <v>1</v>
      </c>
      <c r="C44" s="23">
        <v>1</v>
      </c>
      <c r="D44" s="23">
        <v>0</v>
      </c>
      <c r="E44" s="21">
        <f t="shared" si="54"/>
        <v>2.7930717856868625</v>
      </c>
      <c r="F44" s="21">
        <f t="shared" si="55"/>
        <v>0.27586115185024551</v>
      </c>
      <c r="G44" s="21">
        <f t="shared" si="56"/>
        <v>0.2794855029800466</v>
      </c>
      <c r="H44" s="21">
        <f t="shared" si="57"/>
        <v>32.026679511695328</v>
      </c>
      <c r="I44" s="21">
        <f t="shared" si="58"/>
        <v>36.111958806941203</v>
      </c>
      <c r="J44" s="21">
        <f t="shared" si="59"/>
        <v>15.806571251950627</v>
      </c>
      <c r="K44" s="21">
        <f t="shared" si="60"/>
        <v>6.5697659863554172</v>
      </c>
      <c r="L44" s="24">
        <v>12</v>
      </c>
      <c r="M44" s="21">
        <f t="shared" si="61"/>
        <v>45.348764072536412</v>
      </c>
      <c r="N44" s="21">
        <f t="shared" si="62"/>
        <v>23.497587497745553</v>
      </c>
      <c r="O44" s="21">
        <f t="shared" si="63"/>
        <v>579876.39758785279</v>
      </c>
      <c r="P44" s="2"/>
      <c r="Q44" s="2"/>
      <c r="R44" s="2"/>
      <c r="S44" s="2"/>
      <c r="T44" s="21">
        <f t="shared" si="64"/>
        <v>0.8267137294708794</v>
      </c>
      <c r="U44" s="21">
        <f t="shared" si="65"/>
        <v>701423.45157251763</v>
      </c>
      <c r="V44" s="2"/>
      <c r="W44" s="15">
        <f t="shared" si="9"/>
        <v>22.050000000000029</v>
      </c>
      <c r="X44" s="16">
        <f t="shared" si="0"/>
        <v>424757.40366419661</v>
      </c>
      <c r="Y44" s="16">
        <f t="shared" si="1"/>
        <v>766759.01878950757</v>
      </c>
      <c r="Z44" s="16">
        <f t="shared" si="2"/>
        <v>231261.97304656936</v>
      </c>
      <c r="AA44" s="16">
        <f t="shared" si="3"/>
        <v>1.2474297084131789E-37</v>
      </c>
      <c r="AB44" s="16">
        <f t="shared" si="4"/>
        <v>2.4669335185564967E-6</v>
      </c>
      <c r="AC44" s="16">
        <f t="shared" si="5"/>
        <v>6372.0955032020429</v>
      </c>
      <c r="AD44" s="2"/>
      <c r="AE44" s="16">
        <v>231261.97304656974</v>
      </c>
      <c r="AF44" s="16">
        <f t="shared" si="6"/>
        <v>138360.43443069156</v>
      </c>
      <c r="AG44" s="16">
        <f t="shared" si="7"/>
        <v>50234.57285477718</v>
      </c>
      <c r="AH44" s="16">
        <f t="shared" si="8"/>
        <v>47357.468425920735</v>
      </c>
      <c r="AI44" s="16">
        <v>6372.0955032020493</v>
      </c>
      <c r="AJ44" s="2"/>
    </row>
    <row r="45" spans="1:36" ht="15">
      <c r="A45" s="28">
        <v>3.95</v>
      </c>
      <c r="B45" s="20">
        <v>1</v>
      </c>
      <c r="C45" s="20">
        <v>1</v>
      </c>
      <c r="D45" s="20">
        <v>1</v>
      </c>
      <c r="E45" s="21">
        <f t="shared" si="54"/>
        <v>2.2805335632990218</v>
      </c>
      <c r="F45" s="21">
        <f t="shared" si="55"/>
        <v>0.33785953094476451</v>
      </c>
      <c r="G45" s="21">
        <f t="shared" si="56"/>
        <v>0.34464176665247959</v>
      </c>
      <c r="H45" s="21">
        <f t="shared" si="57"/>
        <v>39.493037346239277</v>
      </c>
      <c r="I45" s="21">
        <f t="shared" si="58"/>
        <v>34.41363233049475</v>
      </c>
      <c r="J45" s="21">
        <f t="shared" si="59"/>
        <v>14.89839108188785</v>
      </c>
      <c r="K45" s="21">
        <f t="shared" si="60"/>
        <v>5.6725755495829002</v>
      </c>
      <c r="L45" s="22">
        <v>8</v>
      </c>
      <c r="M45" s="21">
        <f t="shared" si="61"/>
        <v>36.532967897355597</v>
      </c>
      <c r="N45" s="21">
        <f t="shared" si="62"/>
        <v>14.850825949337791</v>
      </c>
      <c r="O45" s="21">
        <f t="shared" si="63"/>
        <v>158566.15879207334</v>
      </c>
      <c r="P45" s="2"/>
      <c r="Q45" s="2"/>
      <c r="R45" s="2"/>
      <c r="S45" s="2"/>
      <c r="T45" s="21">
        <f t="shared" si="64"/>
        <v>0.84428185571488346</v>
      </c>
      <c r="U45" s="21">
        <f t="shared" si="65"/>
        <v>187811.87552326318</v>
      </c>
      <c r="V45" s="2"/>
      <c r="W45" s="12">
        <f t="shared" si="9"/>
        <v>22.10000000000003</v>
      </c>
      <c r="X45" s="13">
        <f t="shared" si="0"/>
        <v>1459714.9895818373</v>
      </c>
      <c r="Y45" s="13">
        <f t="shared" si="1"/>
        <v>1043976.3743806089</v>
      </c>
      <c r="Z45" s="13">
        <f t="shared" si="2"/>
        <v>234134.54606656762</v>
      </c>
      <c r="AA45" s="13">
        <f t="shared" si="3"/>
        <v>1.6109684325906538E-32</v>
      </c>
      <c r="AB45" s="13">
        <f t="shared" si="4"/>
        <v>4.6765457001193483E-5</v>
      </c>
      <c r="AC45" s="13">
        <f t="shared" si="5"/>
        <v>7167.9172956635539</v>
      </c>
      <c r="AD45" s="2"/>
      <c r="AE45" s="13">
        <v>234134.54606656791</v>
      </c>
      <c r="AF45" s="13">
        <f t="shared" si="6"/>
        <v>143736.575375282</v>
      </c>
      <c r="AG45" s="13">
        <f t="shared" si="7"/>
        <v>53568.828269418809</v>
      </c>
      <c r="AH45" s="13">
        <f t="shared" si="8"/>
        <v>51857.935765982635</v>
      </c>
      <c r="AI45" s="13">
        <v>7167.9172956635612</v>
      </c>
      <c r="AJ45" s="2"/>
    </row>
    <row r="46" spans="1:36" ht="15">
      <c r="A46" s="29" t="s">
        <v>57</v>
      </c>
      <c r="B46" s="23">
        <v>2</v>
      </c>
      <c r="C46" s="23">
        <v>0</v>
      </c>
      <c r="D46" s="23">
        <v>0</v>
      </c>
      <c r="E46" s="21">
        <f t="shared" si="54"/>
        <v>1.9750000000000001</v>
      </c>
      <c r="F46" s="21">
        <f t="shared" si="55"/>
        <v>0.39012658227848096</v>
      </c>
      <c r="G46" s="21">
        <f t="shared" si="56"/>
        <v>0.40076906438005155</v>
      </c>
      <c r="H46" s="21">
        <f t="shared" si="57"/>
        <v>45.924751896767454</v>
      </c>
      <c r="I46" s="21">
        <f t="shared" si="58"/>
        <v>33.026860099724296</v>
      </c>
      <c r="J46" s="21">
        <f t="shared" si="59"/>
        <v>14.093988967472848</v>
      </c>
      <c r="K46" s="21">
        <f t="shared" si="60"/>
        <v>4.9906045201169915</v>
      </c>
      <c r="L46" s="24">
        <v>6</v>
      </c>
      <c r="M46" s="21">
        <f t="shared" si="61"/>
        <v>62.092662627548115</v>
      </c>
      <c r="N46" s="21">
        <f t="shared" si="62"/>
        <v>10.588529377361318</v>
      </c>
      <c r="O46" s="21">
        <f t="shared" si="63"/>
        <v>244944.37081093236</v>
      </c>
      <c r="P46" s="2"/>
      <c r="Q46" s="2"/>
      <c r="R46" s="2"/>
      <c r="S46" s="2"/>
      <c r="T46" s="21">
        <f t="shared" si="64"/>
        <v>0.86301978931732226</v>
      </c>
      <c r="U46" s="21">
        <f t="shared" si="65"/>
        <v>283822.42660355638</v>
      </c>
      <c r="V46" s="2"/>
      <c r="W46" s="15">
        <f t="shared" si="9"/>
        <v>22.150000000000031</v>
      </c>
      <c r="X46" s="16">
        <f t="shared" si="0"/>
        <v>2339925.6096472084</v>
      </c>
      <c r="Y46" s="16">
        <f t="shared" si="1"/>
        <v>1174692.4196497716</v>
      </c>
      <c r="Z46" s="16">
        <f t="shared" si="2"/>
        <v>235241.98615324846</v>
      </c>
      <c r="AA46" s="16">
        <f t="shared" si="3"/>
        <v>9.7221036840439159E-28</v>
      </c>
      <c r="AB46" s="16">
        <f t="shared" si="4"/>
        <v>7.3298229960449808E-4</v>
      </c>
      <c r="AC46" s="16">
        <f t="shared" si="5"/>
        <v>8002.0215737499229</v>
      </c>
      <c r="AD46" s="2"/>
      <c r="AE46" s="16">
        <v>235241.98615324858</v>
      </c>
      <c r="AF46" s="16">
        <f t="shared" si="6"/>
        <v>148187.87131277187</v>
      </c>
      <c r="AG46" s="16">
        <f t="shared" si="7"/>
        <v>56690.923964017551</v>
      </c>
      <c r="AH46" s="16">
        <f t="shared" si="8"/>
        <v>56355.452085930956</v>
      </c>
      <c r="AI46" s="16">
        <v>8002.021573749932</v>
      </c>
      <c r="AJ46" s="2"/>
    </row>
    <row r="47" spans="1:36">
      <c r="A47" s="30">
        <v>0.5</v>
      </c>
      <c r="B47" s="20">
        <v>2</v>
      </c>
      <c r="C47" s="20">
        <v>1</v>
      </c>
      <c r="D47" s="20">
        <v>0</v>
      </c>
      <c r="E47" s="21">
        <f t="shared" si="54"/>
        <v>1.7664937022248339</v>
      </c>
      <c r="F47" s="21">
        <f t="shared" si="55"/>
        <v>0.43617477890217415</v>
      </c>
      <c r="G47" s="21">
        <f t="shared" si="56"/>
        <v>0.45134337445575817</v>
      </c>
      <c r="H47" s="21">
        <f t="shared" si="57"/>
        <v>51.720140935015344</v>
      </c>
      <c r="I47" s="21">
        <f t="shared" si="58"/>
        <v>31.874841172900588</v>
      </c>
      <c r="J47" s="21">
        <f t="shared" si="59"/>
        <v>13.379835455288747</v>
      </c>
      <c r="K47" s="21">
        <f t="shared" si="60"/>
        <v>4.4574009319184915</v>
      </c>
      <c r="L47" s="22">
        <v>24</v>
      </c>
      <c r="M47" s="21">
        <f t="shared" si="61"/>
        <v>14.037604785693347</v>
      </c>
      <c r="N47" s="21">
        <f t="shared" si="62"/>
        <v>8.0829770619720254</v>
      </c>
      <c r="O47" s="21">
        <f t="shared" si="63"/>
        <v>38226.858619447681</v>
      </c>
      <c r="P47" s="2"/>
      <c r="Q47" s="2"/>
      <c r="R47" s="2"/>
      <c r="S47" s="2"/>
      <c r="T47" s="21">
        <f t="shared" si="64"/>
        <v>0.88306339631410324</v>
      </c>
      <c r="U47" s="21">
        <f t="shared" si="65"/>
        <v>43288.917623588706</v>
      </c>
      <c r="V47" s="2"/>
      <c r="W47" s="12">
        <f t="shared" si="9"/>
        <v>22.200000000000031</v>
      </c>
      <c r="X47" s="13">
        <f t="shared" si="0"/>
        <v>1749616.6630546837</v>
      </c>
      <c r="Y47" s="13">
        <f t="shared" si="1"/>
        <v>1092343.8807412742</v>
      </c>
      <c r="Z47" s="13">
        <f t="shared" si="2"/>
        <v>234559.07811356767</v>
      </c>
      <c r="AA47" s="13">
        <f t="shared" si="3"/>
        <v>2.7417997784343727E-23</v>
      </c>
      <c r="AB47" s="13">
        <f t="shared" si="4"/>
        <v>9.4986603670173756E-3</v>
      </c>
      <c r="AC47" s="13">
        <f t="shared" si="5"/>
        <v>8865.4844584240382</v>
      </c>
      <c r="AD47" s="2"/>
      <c r="AE47" s="13">
        <v>234559.07811356767</v>
      </c>
      <c r="AF47" s="13">
        <f t="shared" si="6"/>
        <v>151617.04070660792</v>
      </c>
      <c r="AG47" s="13">
        <f t="shared" si="7"/>
        <v>59539.732443921421</v>
      </c>
      <c r="AH47" s="13">
        <f t="shared" si="8"/>
        <v>60778.589378698212</v>
      </c>
      <c r="AI47" s="13">
        <v>8865.4844584240491</v>
      </c>
      <c r="AJ47" s="2"/>
    </row>
    <row r="48" spans="1:36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15">
        <f t="shared" si="9"/>
        <v>22.250000000000032</v>
      </c>
      <c r="X48" s="16">
        <f t="shared" si="0"/>
        <v>610225.896934113</v>
      </c>
      <c r="Y48" s="16">
        <f t="shared" si="1"/>
        <v>839452.85825421242</v>
      </c>
      <c r="Z48" s="16">
        <f t="shared" si="2"/>
        <v>232101.38037534547</v>
      </c>
      <c r="AA48" s="16">
        <f t="shared" si="3"/>
        <v>3.6133788326982344E-19</v>
      </c>
      <c r="AB48" s="16">
        <f t="shared" si="4"/>
        <v>0.10177281782006421</v>
      </c>
      <c r="AC48" s="16">
        <f t="shared" si="5"/>
        <v>9747.6797039330286</v>
      </c>
      <c r="AD48" s="2"/>
      <c r="AE48" s="16">
        <v>232101.38037534535</v>
      </c>
      <c r="AF48" s="16">
        <f t="shared" si="6"/>
        <v>153947.75565948748</v>
      </c>
      <c r="AG48" s="16">
        <f t="shared" si="7"/>
        <v>62057.200108364988</v>
      </c>
      <c r="AH48" s="16">
        <f t="shared" si="8"/>
        <v>65051.791293876595</v>
      </c>
      <c r="AI48" s="16">
        <v>9747.6797039330395</v>
      </c>
      <c r="AJ48" s="2"/>
    </row>
    <row r="49" spans="1:36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12">
        <f t="shared" si="9"/>
        <v>22.300000000000033</v>
      </c>
      <c r="X49" s="13">
        <f t="shared" si="0"/>
        <v>99276.220567209806</v>
      </c>
      <c r="Y49" s="13">
        <f t="shared" si="1"/>
        <v>533132.25972827594</v>
      </c>
      <c r="Z49" s="13">
        <f t="shared" si="2"/>
        <v>227924.63571343935</v>
      </c>
      <c r="AA49" s="13">
        <f t="shared" si="3"/>
        <v>2.2253254038590975E-15</v>
      </c>
      <c r="AB49" s="13">
        <f t="shared" si="4"/>
        <v>0.90157488793857266</v>
      </c>
      <c r="AC49" s="13">
        <f t="shared" si="5"/>
        <v>10636.434026667679</v>
      </c>
      <c r="AD49" s="2"/>
      <c r="AE49" s="13">
        <v>227924.63571343914</v>
      </c>
      <c r="AF49" s="13">
        <f t="shared" si="6"/>
        <v>155127.46586245962</v>
      </c>
      <c r="AG49" s="13">
        <f t="shared" si="7"/>
        <v>64190.30376091502</v>
      </c>
      <c r="AH49" s="13">
        <f t="shared" si="8"/>
        <v>69097.425973417208</v>
      </c>
      <c r="AI49" s="13">
        <v>10636.43402666769</v>
      </c>
      <c r="AJ49" s="2"/>
    </row>
    <row r="50" spans="1:36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15">
        <f t="shared" si="9"/>
        <v>22.350000000000033</v>
      </c>
      <c r="X50" s="16">
        <f t="shared" si="0"/>
        <v>7533.6720133242079</v>
      </c>
      <c r="Y50" s="16">
        <f t="shared" si="1"/>
        <v>279817.79551682161</v>
      </c>
      <c r="Z50" s="16">
        <f t="shared" si="2"/>
        <v>222122.66942002819</v>
      </c>
      <c r="AA50" s="16">
        <f t="shared" si="3"/>
        <v>6.4043613213243316E-12</v>
      </c>
      <c r="AB50" s="16">
        <f t="shared" si="4"/>
        <v>6.6034726222526228</v>
      </c>
      <c r="AC50" s="16">
        <f t="shared" si="5"/>
        <v>11518.259897197997</v>
      </c>
      <c r="AD50" s="2"/>
      <c r="AE50" s="16">
        <v>222122.66942002781</v>
      </c>
      <c r="AF50" s="16">
        <f t="shared" si="6"/>
        <v>155129.36830648704</v>
      </c>
      <c r="AG50" s="16">
        <f t="shared" si="7"/>
        <v>65892.902726286964</v>
      </c>
      <c r="AH50" s="16">
        <f t="shared" si="8"/>
        <v>72838.072418657583</v>
      </c>
      <c r="AI50" s="16">
        <v>11518.259897198008</v>
      </c>
      <c r="AJ50" s="2"/>
    </row>
    <row r="51" spans="1:36" ht="15">
      <c r="A51" s="31" t="s">
        <v>53</v>
      </c>
      <c r="B51" s="33" t="s">
        <v>27</v>
      </c>
      <c r="C51" s="34"/>
      <c r="D51" s="35"/>
      <c r="E51" s="36" t="s">
        <v>28</v>
      </c>
      <c r="F51" s="34"/>
      <c r="G51" s="34"/>
      <c r="H51" s="34"/>
      <c r="I51" s="36" t="s">
        <v>29</v>
      </c>
      <c r="J51" s="34"/>
      <c r="K51" s="35"/>
      <c r="L51" s="36" t="s">
        <v>30</v>
      </c>
      <c r="M51" s="34"/>
      <c r="N51" s="34"/>
      <c r="O51" s="35"/>
      <c r="P51" s="2"/>
      <c r="Q51" s="2"/>
      <c r="R51" s="2"/>
      <c r="S51" s="2"/>
      <c r="T51" s="25"/>
      <c r="U51" s="25"/>
      <c r="V51" s="2"/>
      <c r="W51" s="12">
        <f t="shared" si="9"/>
        <v>22.400000000000034</v>
      </c>
      <c r="X51" s="13">
        <f t="shared" si="0"/>
        <v>266.67054897432831</v>
      </c>
      <c r="Y51" s="13">
        <f t="shared" si="1"/>
        <v>121371.69507111843</v>
      </c>
      <c r="Z51" s="13">
        <f t="shared" si="2"/>
        <v>214823.88559062482</v>
      </c>
      <c r="AA51" s="13">
        <f t="shared" si="3"/>
        <v>8.613117991990738E-9</v>
      </c>
      <c r="AB51" s="13">
        <f t="shared" si="4"/>
        <v>39.989274428096003</v>
      </c>
      <c r="AC51" s="13">
        <f t="shared" si="5"/>
        <v>12378.662419999026</v>
      </c>
      <c r="AD51" s="2"/>
      <c r="AE51" s="13">
        <v>214823.88559062438</v>
      </c>
      <c r="AF51" s="13">
        <f t="shared" si="6"/>
        <v>153953.41965802791</v>
      </c>
      <c r="AG51" s="13">
        <f t="shared" si="7"/>
        <v>67127.396468920211</v>
      </c>
      <c r="AH51" s="13">
        <f t="shared" si="8"/>
        <v>76198.949584381669</v>
      </c>
      <c r="AI51" s="13">
        <v>12378.662419999038</v>
      </c>
      <c r="AJ51" s="2"/>
    </row>
    <row r="52" spans="1:36">
      <c r="A52" s="32"/>
      <c r="B52" s="18" t="s">
        <v>31</v>
      </c>
      <c r="C52" s="18" t="s">
        <v>32</v>
      </c>
      <c r="D52" s="18" t="s">
        <v>33</v>
      </c>
      <c r="E52" s="19" t="s">
        <v>34</v>
      </c>
      <c r="F52" s="19" t="s">
        <v>35</v>
      </c>
      <c r="G52" s="19" t="s">
        <v>36</v>
      </c>
      <c r="H52" s="19" t="s">
        <v>37</v>
      </c>
      <c r="I52" s="19" t="s">
        <v>54</v>
      </c>
      <c r="J52" s="19" t="s">
        <v>39</v>
      </c>
      <c r="K52" s="19" t="s">
        <v>40</v>
      </c>
      <c r="L52" s="19" t="s">
        <v>41</v>
      </c>
      <c r="M52" s="19" t="s">
        <v>42</v>
      </c>
      <c r="N52" s="19" t="s">
        <v>43</v>
      </c>
      <c r="O52" s="19" t="s">
        <v>44</v>
      </c>
      <c r="P52" s="2"/>
      <c r="Q52" s="2"/>
      <c r="R52" s="2"/>
      <c r="S52" s="2"/>
      <c r="T52" s="19" t="s">
        <v>49</v>
      </c>
      <c r="U52" s="19" t="s">
        <v>50</v>
      </c>
      <c r="V52" s="2"/>
      <c r="W52" s="15">
        <f t="shared" si="9"/>
        <v>22.450000000000035</v>
      </c>
      <c r="X52" s="16">
        <f t="shared" si="0"/>
        <v>4.4030161030974497</v>
      </c>
      <c r="Y52" s="16">
        <f t="shared" si="1"/>
        <v>43507.208795293322</v>
      </c>
      <c r="Z52" s="16">
        <f t="shared" si="2"/>
        <v>206186.54422839236</v>
      </c>
      <c r="AA52" s="16">
        <f t="shared" si="3"/>
        <v>5.4131148046551857E-6</v>
      </c>
      <c r="AB52" s="16">
        <f t="shared" si="4"/>
        <v>200.2235856773614</v>
      </c>
      <c r="AC52" s="16">
        <f t="shared" si="5"/>
        <v>13202.512514231281</v>
      </c>
      <c r="AD52" s="2"/>
      <c r="AE52" s="16">
        <v>206186.54422839181</v>
      </c>
      <c r="AF52" s="16">
        <f t="shared" si="6"/>
        <v>151626.33789994553</v>
      </c>
      <c r="AG52" s="16">
        <f t="shared" si="7"/>
        <v>67866.104638693258</v>
      </c>
      <c r="AH52" s="16">
        <f t="shared" si="8"/>
        <v>79110.383628719472</v>
      </c>
      <c r="AI52" s="16">
        <v>13202.512514231294</v>
      </c>
      <c r="AJ52" s="2"/>
    </row>
    <row r="53" spans="1:36" ht="15">
      <c r="A53" s="26" t="s">
        <v>59</v>
      </c>
      <c r="B53" s="20">
        <v>1</v>
      </c>
      <c r="C53" s="20">
        <v>0</v>
      </c>
      <c r="D53" s="20">
        <v>0</v>
      </c>
      <c r="E53" s="21">
        <f t="shared" ref="E53:E57" si="66">$A$55/SQRT(B53^2+C53^2+D53^2)</f>
        <v>3.92</v>
      </c>
      <c r="F53" s="21">
        <f t="shared" ref="F53:F57" si="67">$B$5 / (2 * ($A$55 / SQRT(B53^2 + C53^2 + D53^2)))</f>
        <v>0.19655612244897958</v>
      </c>
      <c r="G53" s="21">
        <f t="shared" ref="G53:G57" si="68">ASIN(F53)</f>
        <v>0.19784428077668176</v>
      </c>
      <c r="H53" s="21">
        <f t="shared" ref="H53:H57" si="69">DEGREES(G53 * 2)</f>
        <v>22.671284578610219</v>
      </c>
      <c r="I53" s="21">
        <f t="shared" ref="I53:I57" si="70">((1-$A$57)*$I33)+($A$57*$I43)</f>
        <v>39.937040217867754</v>
      </c>
      <c r="J53" s="21">
        <f t="shared" ref="J53:J57" si="71">$N$4 +($F$4*EXP(-$G$4*($F53/$B$5)^2) + $H$4*EXP(-$I$4*($F53/$B$5)^2) + $J$4*EXP(-$K$4*($F53/$B$5)^2) + $L$4*EXP(-$M$4*($F53/$B$5)^2))</f>
        <v>16.817576845405668</v>
      </c>
      <c r="K53" s="21">
        <f t="shared" ref="K53:K57" si="72">$N$5 +($F$5*EXP(-$G$5*($F53/$B$5)^2) + $H$5*EXP(-$I$5*($F53/$B$5)^2) + $J$5*EXP(-$K$5*($F53/$B$5)^2) + $L$5*EXP(-$M$5*($F53/$B$5)^2))</f>
        <v>7.7716617672182711</v>
      </c>
      <c r="L53" s="22">
        <v>6</v>
      </c>
      <c r="M53" s="21">
        <f t="shared" ref="M53:M57" si="73">I53 + (J53*(-1)^(B53+C53+D53)) + K53*((-1)^(B53+C53) + (-1)^(B53+D53) + (-1)^(C53+D53))</f>
        <v>15.347801605243815</v>
      </c>
      <c r="N53" s="21">
        <f t="shared" ref="N53:N57" si="74">(1 + COS(2*G53)^2) / (SIN(G53)^2 * COS(G53))</f>
        <v>48.875429433964484</v>
      </c>
      <c r="O53" s="21">
        <f t="shared" ref="O53:O57" si="75">M53^2 * L53 * N53</f>
        <v>69077.114820849791</v>
      </c>
      <c r="P53" s="2"/>
      <c r="Q53" s="2"/>
      <c r="R53" s="2"/>
      <c r="S53" s="2"/>
      <c r="T53" s="21">
        <f t="shared" ref="T53:T57" si="76">DEGREES((0.9 * $B$5) / ($B$8 * COS($G53)))</f>
        <v>0.8104448578953084</v>
      </c>
      <c r="U53" s="21">
        <f t="shared" ref="U53:U57" si="77">O53/T53</f>
        <v>85233.577766462957</v>
      </c>
      <c r="V53" s="2"/>
      <c r="W53" s="12">
        <f t="shared" si="9"/>
        <v>22.500000000000036</v>
      </c>
      <c r="X53" s="13">
        <f t="shared" si="0"/>
        <v>3.3910357260994346E-2</v>
      </c>
      <c r="Y53" s="13">
        <f t="shared" si="1"/>
        <v>12888.629659537486</v>
      </c>
      <c r="Z53" s="13">
        <f t="shared" si="2"/>
        <v>196393.06168270102</v>
      </c>
      <c r="AA53" s="13">
        <f t="shared" si="3"/>
        <v>1.58977751327297E-3</v>
      </c>
      <c r="AB53" s="13">
        <f t="shared" si="4"/>
        <v>828.87208305487707</v>
      </c>
      <c r="AC53" s="13">
        <f t="shared" si="5"/>
        <v>13974.474287518397</v>
      </c>
      <c r="AD53" s="2"/>
      <c r="AE53" s="13">
        <v>196393.06168270038</v>
      </c>
      <c r="AF53" s="13">
        <f t="shared" si="6"/>
        <v>148200.59315097521</v>
      </c>
      <c r="AG53" s="13">
        <f t="shared" si="7"/>
        <v>68092.298832798915</v>
      </c>
      <c r="AH53" s="13">
        <f t="shared" si="8"/>
        <v>81510.20062223867</v>
      </c>
      <c r="AI53" s="13">
        <v>13974.474287518413</v>
      </c>
      <c r="AJ53" s="2"/>
    </row>
    <row r="54" spans="1:36" ht="15">
      <c r="A54" s="27" t="s">
        <v>56</v>
      </c>
      <c r="B54" s="23">
        <v>1</v>
      </c>
      <c r="C54" s="23">
        <v>1</v>
      </c>
      <c r="D54" s="23">
        <v>0</v>
      </c>
      <c r="E54" s="21">
        <f t="shared" si="66"/>
        <v>2.7718585822512662</v>
      </c>
      <c r="F54" s="21">
        <f t="shared" si="67"/>
        <v>0.2779723341348137</v>
      </c>
      <c r="G54" s="21">
        <f t="shared" si="68"/>
        <v>0.28168260588626259</v>
      </c>
      <c r="H54" s="21">
        <f t="shared" si="69"/>
        <v>32.278448959059531</v>
      </c>
      <c r="I54" s="21">
        <f t="shared" si="70"/>
        <v>37.630744055227623</v>
      </c>
      <c r="J54" s="21">
        <f t="shared" si="71"/>
        <v>15.776969553295514</v>
      </c>
      <c r="K54" s="21">
        <f t="shared" si="72"/>
        <v>6.5380585885544296</v>
      </c>
      <c r="L54" s="24">
        <v>12</v>
      </c>
      <c r="M54" s="21">
        <f t="shared" si="73"/>
        <v>46.869655019968711</v>
      </c>
      <c r="N54" s="21">
        <f t="shared" si="74"/>
        <v>23.103327063821592</v>
      </c>
      <c r="O54" s="21">
        <f t="shared" si="75"/>
        <v>609030.84181148454</v>
      </c>
      <c r="P54" s="2"/>
      <c r="Q54" s="2"/>
      <c r="R54" s="2"/>
      <c r="S54" s="2"/>
      <c r="T54" s="21">
        <f t="shared" si="76"/>
        <v>0.82723735075675997</v>
      </c>
      <c r="U54" s="21">
        <f t="shared" si="77"/>
        <v>736222.6104205047</v>
      </c>
      <c r="V54" s="2"/>
      <c r="W54" s="15">
        <f t="shared" si="9"/>
        <v>22.550000000000036</v>
      </c>
      <c r="X54" s="16">
        <f t="shared" si="0"/>
        <v>1.2182076696802168E-4</v>
      </c>
      <c r="Y54" s="16">
        <f t="shared" si="1"/>
        <v>3155.3968375731301</v>
      </c>
      <c r="Z54" s="16">
        <f t="shared" si="2"/>
        <v>185643.62078551634</v>
      </c>
      <c r="AA54" s="16">
        <f t="shared" si="3"/>
        <v>0.21818642787501968</v>
      </c>
      <c r="AB54" s="16">
        <f t="shared" si="4"/>
        <v>2837.0066784776614</v>
      </c>
      <c r="AC54" s="16">
        <f t="shared" si="5"/>
        <v>14679.470575559515</v>
      </c>
      <c r="AD54" s="2"/>
      <c r="AE54" s="16">
        <v>185643.62078551561</v>
      </c>
      <c r="AF54" s="16">
        <f t="shared" si="6"/>
        <v>143752.44089478251</v>
      </c>
      <c r="AG54" s="16">
        <f t="shared" si="7"/>
        <v>67800.832371454017</v>
      </c>
      <c r="AH54" s="16">
        <f t="shared" si="8"/>
        <v>83345.930427525265</v>
      </c>
      <c r="AI54" s="16">
        <v>14679.470575559531</v>
      </c>
      <c r="AJ54" s="2"/>
    </row>
    <row r="55" spans="1:36" ht="15">
      <c r="A55" s="28">
        <v>3.92</v>
      </c>
      <c r="B55" s="20">
        <v>1</v>
      </c>
      <c r="C55" s="20">
        <v>1</v>
      </c>
      <c r="D55" s="20">
        <v>1</v>
      </c>
      <c r="E55" s="21">
        <f t="shared" si="66"/>
        <v>2.2632130552233329</v>
      </c>
      <c r="F55" s="21">
        <f t="shared" si="67"/>
        <v>0.34044519062036221</v>
      </c>
      <c r="G55" s="21">
        <f t="shared" si="68"/>
        <v>0.34739033085187776</v>
      </c>
      <c r="H55" s="21">
        <f t="shared" si="69"/>
        <v>39.807999602931815</v>
      </c>
      <c r="I55" s="21">
        <f t="shared" si="70"/>
        <v>35.793424166920502</v>
      </c>
      <c r="J55" s="21">
        <f t="shared" si="71"/>
        <v>14.859143113126445</v>
      </c>
      <c r="K55" s="21">
        <f t="shared" si="72"/>
        <v>5.6370464673798812</v>
      </c>
      <c r="L55" s="22">
        <v>8</v>
      </c>
      <c r="M55" s="21">
        <f t="shared" si="73"/>
        <v>37.845420455933706</v>
      </c>
      <c r="N55" s="21">
        <f t="shared" si="74"/>
        <v>14.591036027374034</v>
      </c>
      <c r="O55" s="21">
        <f t="shared" si="75"/>
        <v>167187.10816795114</v>
      </c>
      <c r="P55" s="2"/>
      <c r="Q55" s="2"/>
      <c r="R55" s="2"/>
      <c r="S55" s="2"/>
      <c r="T55" s="21">
        <f t="shared" si="76"/>
        <v>0.84511888081820408</v>
      </c>
      <c r="U55" s="21">
        <f t="shared" si="77"/>
        <v>197826.73415849911</v>
      </c>
      <c r="V55" s="2"/>
      <c r="W55" s="12">
        <f t="shared" si="9"/>
        <v>22.600000000000037</v>
      </c>
      <c r="X55" s="13">
        <f t="shared" si="0"/>
        <v>2.041348557480662E-7</v>
      </c>
      <c r="Y55" s="13">
        <f t="shared" si="1"/>
        <v>638.41479805829294</v>
      </c>
      <c r="Z55" s="13">
        <f t="shared" si="2"/>
        <v>174149.40246405225</v>
      </c>
      <c r="AA55" s="13">
        <f t="shared" si="3"/>
        <v>13.993339954176244</v>
      </c>
      <c r="AB55" s="13">
        <f t="shared" si="4"/>
        <v>8028.4881625730623</v>
      </c>
      <c r="AC55" s="13">
        <f t="shared" si="5"/>
        <v>15303.167410528007</v>
      </c>
      <c r="AD55" s="2"/>
      <c r="AE55" s="13">
        <v>174149.40246405153</v>
      </c>
      <c r="AF55" s="13">
        <f t="shared" si="6"/>
        <v>138379.10056656389</v>
      </c>
      <c r="AG55" s="13">
        <f t="shared" si="7"/>
        <v>66998.334978285842</v>
      </c>
      <c r="AH55" s="13">
        <f t="shared" si="8"/>
        <v>84576.71283794551</v>
      </c>
      <c r="AI55" s="13">
        <v>15303.167410528025</v>
      </c>
      <c r="AJ55" s="2"/>
    </row>
    <row r="56" spans="1:36" ht="15">
      <c r="A56" s="29" t="s">
        <v>57</v>
      </c>
      <c r="B56" s="23">
        <v>2</v>
      </c>
      <c r="C56" s="23">
        <v>0</v>
      </c>
      <c r="D56" s="23">
        <v>0</v>
      </c>
      <c r="E56" s="21">
        <f t="shared" si="66"/>
        <v>1.96</v>
      </c>
      <c r="F56" s="21">
        <f t="shared" si="67"/>
        <v>0.39311224489795915</v>
      </c>
      <c r="G56" s="21">
        <f t="shared" si="68"/>
        <v>0.40401390307203572</v>
      </c>
      <c r="H56" s="21">
        <f t="shared" si="69"/>
        <v>46.296583021270344</v>
      </c>
      <c r="I56" s="21">
        <f t="shared" si="70"/>
        <v>34.297522352785123</v>
      </c>
      <c r="J56" s="21">
        <f t="shared" si="71"/>
        <v>14.047622320597233</v>
      </c>
      <c r="K56" s="21">
        <f t="shared" si="72"/>
        <v>4.9540625345023841</v>
      </c>
      <c r="L56" s="24">
        <v>6</v>
      </c>
      <c r="M56" s="21">
        <f t="shared" si="73"/>
        <v>63.20733227688951</v>
      </c>
      <c r="N56" s="21">
        <f t="shared" si="74"/>
        <v>10.397077136963517</v>
      </c>
      <c r="O56" s="21">
        <f t="shared" si="75"/>
        <v>249228.34770908864</v>
      </c>
      <c r="P56" s="2"/>
      <c r="Q56" s="2"/>
      <c r="R56" s="2"/>
      <c r="S56" s="2"/>
      <c r="T56" s="21">
        <f t="shared" si="76"/>
        <v>0.86421248931344763</v>
      </c>
      <c r="U56" s="21">
        <f t="shared" si="77"/>
        <v>288387.81062639121</v>
      </c>
      <c r="V56" s="2"/>
      <c r="W56" s="15">
        <f t="shared" si="9"/>
        <v>22.650000000000038</v>
      </c>
      <c r="X56" s="16">
        <f t="shared" si="0"/>
        <v>1.5955847458156673E-10</v>
      </c>
      <c r="Y56" s="16">
        <f t="shared" si="1"/>
        <v>106.74649464160925</v>
      </c>
      <c r="Z56" s="16">
        <f t="shared" si="2"/>
        <v>162125.75656796744</v>
      </c>
      <c r="AA56" s="16">
        <f t="shared" si="3"/>
        <v>419.38926372990232</v>
      </c>
      <c r="AB56" s="16">
        <f t="shared" si="4"/>
        <v>18784.850896413674</v>
      </c>
      <c r="AC56" s="16">
        <f t="shared" si="5"/>
        <v>15832.45595502309</v>
      </c>
      <c r="AD56" s="2"/>
      <c r="AE56" s="16">
        <v>162125.75656796669</v>
      </c>
      <c r="AF56" s="16">
        <f t="shared" si="6"/>
        <v>132195.22525135797</v>
      </c>
      <c r="AG56" s="16">
        <f t="shared" si="7"/>
        <v>65702.962081738267</v>
      </c>
      <c r="AH56" s="16">
        <f t="shared" si="8"/>
        <v>85174.809331711076</v>
      </c>
      <c r="AI56" s="16">
        <v>15832.455955023106</v>
      </c>
      <c r="AJ56" s="2"/>
    </row>
    <row r="57" spans="1:36">
      <c r="A57" s="30">
        <v>0.75</v>
      </c>
      <c r="B57" s="20">
        <v>2</v>
      </c>
      <c r="C57" s="20">
        <v>1</v>
      </c>
      <c r="D57" s="20">
        <v>0</v>
      </c>
      <c r="E57" s="21">
        <f t="shared" si="66"/>
        <v>1.7530772943598349</v>
      </c>
      <c r="F57" s="21">
        <f t="shared" si="67"/>
        <v>0.43951285118969086</v>
      </c>
      <c r="G57" s="21">
        <f t="shared" si="68"/>
        <v>0.45505626213074141</v>
      </c>
      <c r="H57" s="21">
        <f t="shared" si="69"/>
        <v>52.145606522180707</v>
      </c>
      <c r="I57" s="21">
        <f t="shared" si="70"/>
        <v>33.056652153981943</v>
      </c>
      <c r="J57" s="21">
        <f t="shared" si="71"/>
        <v>13.328361240570734</v>
      </c>
      <c r="K57" s="21">
        <f t="shared" si="72"/>
        <v>4.4212887956634059</v>
      </c>
      <c r="L57" s="22">
        <v>24</v>
      </c>
      <c r="M57" s="21">
        <f t="shared" si="73"/>
        <v>15.307002117747802</v>
      </c>
      <c r="N57" s="21">
        <f t="shared" si="74"/>
        <v>7.9335224619963958</v>
      </c>
      <c r="O57" s="21">
        <f t="shared" si="75"/>
        <v>44612.604881631873</v>
      </c>
      <c r="P57" s="2"/>
      <c r="Q57" s="2"/>
      <c r="R57" s="2"/>
      <c r="S57" s="2"/>
      <c r="T57" s="21">
        <f t="shared" si="76"/>
        <v>0.88466160250805836</v>
      </c>
      <c r="U57" s="21">
        <f t="shared" si="77"/>
        <v>50429.005571342743</v>
      </c>
      <c r="V57" s="2"/>
      <c r="W57" s="12">
        <f t="shared" si="9"/>
        <v>22.700000000000038</v>
      </c>
      <c r="X57" s="13">
        <f t="shared" si="0"/>
        <v>5.8174071157941842E-14</v>
      </c>
      <c r="Y57" s="13">
        <f t="shared" si="1"/>
        <v>14.750475413842846</v>
      </c>
      <c r="Z57" s="13">
        <f t="shared" si="2"/>
        <v>149785.61660747661</v>
      </c>
      <c r="AA57" s="13">
        <f t="shared" si="3"/>
        <v>5873.7505999534824</v>
      </c>
      <c r="AB57" s="13">
        <f t="shared" si="4"/>
        <v>36339.780581038227</v>
      </c>
      <c r="AC57" s="13">
        <f t="shared" si="5"/>
        <v>16255.909412220228</v>
      </c>
      <c r="AD57" s="2"/>
      <c r="AE57" s="13">
        <v>149785.61660747579</v>
      </c>
      <c r="AF57" s="13">
        <f t="shared" si="6"/>
        <v>125328.84139950808</v>
      </c>
      <c r="AG57" s="13">
        <f t="shared" si="7"/>
        <v>63943.71197600376</v>
      </c>
      <c r="AH57" s="13">
        <f t="shared" si="8"/>
        <v>85126.642345053711</v>
      </c>
      <c r="AI57" s="13">
        <v>16255.909412220246</v>
      </c>
      <c r="AJ57" s="2"/>
    </row>
    <row r="58" spans="1:36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5">
        <f t="shared" si="9"/>
        <v>22.750000000000039</v>
      </c>
      <c r="X58" s="16">
        <f t="shared" si="0"/>
        <v>9.8934078407292845E-18</v>
      </c>
      <c r="Y58" s="16">
        <f t="shared" si="1"/>
        <v>1.684457786272628</v>
      </c>
      <c r="Z58" s="16">
        <f t="shared" si="2"/>
        <v>137333.4328828594</v>
      </c>
      <c r="AA58" s="16">
        <f t="shared" si="3"/>
        <v>38442.884507119597</v>
      </c>
      <c r="AB58" s="16">
        <f t="shared" si="4"/>
        <v>58124.25733147897</v>
      </c>
      <c r="AC58" s="16">
        <f t="shared" si="5"/>
        <v>16564.192733056625</v>
      </c>
      <c r="AD58" s="2"/>
      <c r="AE58" s="16">
        <v>137333.43288285861</v>
      </c>
      <c r="AF58" s="16">
        <f t="shared" si="6"/>
        <v>117916.95899635945</v>
      </c>
      <c r="AG58" s="16">
        <f t="shared" si="7"/>
        <v>61759.346705598371</v>
      </c>
      <c r="AH58" s="16">
        <f t="shared" si="8"/>
        <v>84433.307689246489</v>
      </c>
      <c r="AI58" s="16">
        <v>16564.192733056643</v>
      </c>
      <c r="AJ58" s="2"/>
    </row>
    <row r="59" spans="1:3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2">
        <f t="shared" si="9"/>
        <v>22.80000000000004</v>
      </c>
      <c r="X59" s="13">
        <f t="shared" si="0"/>
        <v>7.8481851477825818E-22</v>
      </c>
      <c r="Y59" s="13">
        <f t="shared" si="1"/>
        <v>0.15897028893284218</v>
      </c>
      <c r="Z59" s="13">
        <f t="shared" si="2"/>
        <v>124959.85408122803</v>
      </c>
      <c r="AA59" s="13">
        <f t="shared" si="3"/>
        <v>117576.00561873561</v>
      </c>
      <c r="AB59" s="13">
        <f t="shared" si="4"/>
        <v>76865.790978982899</v>
      </c>
      <c r="AC59" s="13">
        <f t="shared" si="5"/>
        <v>16750.404628047672</v>
      </c>
      <c r="AD59" s="2"/>
      <c r="AE59" s="13">
        <v>124959.85408122723</v>
      </c>
      <c r="AF59" s="13">
        <f t="shared" si="6"/>
        <v>110101.06149003131</v>
      </c>
      <c r="AG59" s="13">
        <f t="shared" si="7"/>
        <v>59196.972747570777</v>
      </c>
      <c r="AH59" s="13">
        <f t="shared" si="8"/>
        <v>83110.533105655937</v>
      </c>
      <c r="AI59" s="13">
        <v>16750.40462804769</v>
      </c>
      <c r="AJ59" s="2"/>
    </row>
    <row r="60" spans="1:3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5">
        <f t="shared" si="9"/>
        <v>22.850000000000041</v>
      </c>
      <c r="X60" s="16">
        <f t="shared" si="0"/>
        <v>2.9040189104442912E-26</v>
      </c>
      <c r="Y60" s="16">
        <f t="shared" si="1"/>
        <v>1.2398624679091905E-2</v>
      </c>
      <c r="Z60" s="16">
        <f t="shared" si="2"/>
        <v>112837.33265915897</v>
      </c>
      <c r="AA60" s="16">
        <f t="shared" si="3"/>
        <v>168044.26964331363</v>
      </c>
      <c r="AB60" s="16">
        <f t="shared" si="4"/>
        <v>84044.51048487876</v>
      </c>
      <c r="AC60" s="16">
        <f t="shared" si="5"/>
        <v>16810.33439110608</v>
      </c>
      <c r="AD60" s="2"/>
      <c r="AE60" s="16">
        <v>112837.33265915816</v>
      </c>
      <c r="AF60" s="16">
        <f t="shared" si="6"/>
        <v>102022.68091125146</v>
      </c>
      <c r="AG60" s="16">
        <f t="shared" si="7"/>
        <v>56310.354038660931</v>
      </c>
      <c r="AH60" s="16">
        <f t="shared" si="8"/>
        <v>81188.085147785619</v>
      </c>
      <c r="AI60" s="16">
        <v>16810.334391106098</v>
      </c>
      <c r="AJ60" s="2"/>
    </row>
    <row r="61" spans="1:3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2">
        <f t="shared" si="9"/>
        <v>22.900000000000041</v>
      </c>
      <c r="X61" s="13">
        <f t="shared" si="0"/>
        <v>5.0122937215312785E-31</v>
      </c>
      <c r="Y61" s="13">
        <f t="shared" si="1"/>
        <v>7.9915824003906177E-4</v>
      </c>
      <c r="Z61" s="13">
        <f t="shared" si="2"/>
        <v>101116.76854478562</v>
      </c>
      <c r="AA61" s="13">
        <f t="shared" si="3"/>
        <v>112235.69071087234</v>
      </c>
      <c r="AB61" s="13">
        <f t="shared" si="4"/>
        <v>75977.70500051626</v>
      </c>
      <c r="AC61" s="13">
        <f t="shared" si="5"/>
        <v>16742.620189531688</v>
      </c>
      <c r="AD61" s="2"/>
      <c r="AE61" s="13">
        <v>101116.76854478483</v>
      </c>
      <c r="AF61" s="13">
        <f t="shared" si="6"/>
        <v>93819.247880732903</v>
      </c>
      <c r="AG61" s="13">
        <f t="shared" si="7"/>
        <v>53158.041614221685</v>
      </c>
      <c r="AH61" s="13">
        <f t="shared" si="8"/>
        <v>78708.655625778149</v>
      </c>
      <c r="AI61" s="13">
        <v>16742.620189531706</v>
      </c>
      <c r="AJ61" s="2"/>
    </row>
    <row r="62" spans="1:36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5">
        <f t="shared" si="9"/>
        <v>22.950000000000042</v>
      </c>
      <c r="X62" s="16">
        <f t="shared" si="0"/>
        <v>4.0353430279117046E-36</v>
      </c>
      <c r="Y62" s="16">
        <f t="shared" si="1"/>
        <v>4.2569031362386468E-5</v>
      </c>
      <c r="Z62" s="16">
        <f t="shared" si="2"/>
        <v>89925.243314107269</v>
      </c>
      <c r="AA62" s="16">
        <f t="shared" si="3"/>
        <v>35030.031693963225</v>
      </c>
      <c r="AB62" s="16">
        <f t="shared" si="4"/>
        <v>56788.913232325809</v>
      </c>
      <c r="AC62" s="16">
        <f t="shared" si="5"/>
        <v>16548.800510498986</v>
      </c>
      <c r="AD62" s="2"/>
      <c r="AE62" s="16">
        <v>89925.243314106556</v>
      </c>
      <c r="AF62" s="16">
        <f t="shared" si="6"/>
        <v>85620.380284954037</v>
      </c>
      <c r="AG62" s="16">
        <f t="shared" si="7"/>
        <v>49801.410453724973</v>
      </c>
      <c r="AH62" s="16">
        <f t="shared" si="8"/>
        <v>75726.285785724191</v>
      </c>
      <c r="AI62" s="16">
        <v>16548.800510499004</v>
      </c>
      <c r="AJ62" s="2"/>
    </row>
    <row r="63" spans="1:36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12">
        <f t="shared" si="9"/>
        <v>23.000000000000043</v>
      </c>
      <c r="X63" s="13">
        <f t="shared" si="0"/>
        <v>1.5154139342121313E-41</v>
      </c>
      <c r="Y63" s="13">
        <f t="shared" si="1"/>
        <v>1.873943413751055E-6</v>
      </c>
      <c r="Z63" s="13">
        <f t="shared" si="2"/>
        <v>79364.837206061522</v>
      </c>
      <c r="AA63" s="13">
        <f t="shared" si="3"/>
        <v>5109.1934582458462</v>
      </c>
      <c r="AB63" s="13">
        <f t="shared" si="4"/>
        <v>35094.698197522594</v>
      </c>
      <c r="AC63" s="13">
        <f t="shared" si="5"/>
        <v>16233.256049982407</v>
      </c>
      <c r="AD63" s="2"/>
      <c r="AE63" s="13">
        <v>79364.837206060838</v>
      </c>
      <c r="AF63" s="13">
        <f t="shared" si="6"/>
        <v>77544.740646156919</v>
      </c>
      <c r="AG63" s="13">
        <f t="shared" si="7"/>
        <v>46302.694846516053</v>
      </c>
      <c r="AH63" s="13">
        <f t="shared" si="8"/>
        <v>72304.409435736714</v>
      </c>
      <c r="AI63" s="13">
        <v>16233.256049982423</v>
      </c>
      <c r="AJ63" s="2"/>
    </row>
    <row r="64" spans="1:36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15">
        <f t="shared" si="9"/>
        <v>23.050000000000043</v>
      </c>
      <c r="X64" s="16">
        <f t="shared" si="0"/>
        <v>2.6545381239271732E-47</v>
      </c>
      <c r="Y64" s="16">
        <f t="shared" si="1"/>
        <v>6.8174332640303094E-8</v>
      </c>
      <c r="Z64" s="16">
        <f t="shared" si="2"/>
        <v>69512.467761293665</v>
      </c>
      <c r="AA64" s="16">
        <f t="shared" si="3"/>
        <v>348.23020231521537</v>
      </c>
      <c r="AB64" s="16">
        <f t="shared" si="4"/>
        <v>17931.640934430408</v>
      </c>
      <c r="AC64" s="16">
        <f t="shared" si="5"/>
        <v>15803.045109298157</v>
      </c>
      <c r="AD64" s="2"/>
      <c r="AE64" s="16">
        <v>69512.467761293054</v>
      </c>
      <c r="AF64" s="16">
        <f t="shared" si="6"/>
        <v>69697.553368756533</v>
      </c>
      <c r="AG64" s="16">
        <f t="shared" si="7"/>
        <v>42723.108905314919</v>
      </c>
      <c r="AH64" s="16">
        <f t="shared" si="8"/>
        <v>68513.613903750185</v>
      </c>
      <c r="AI64" s="16">
        <v>15803.045109298175</v>
      </c>
      <c r="AJ64" s="2"/>
    </row>
    <row r="65" spans="1:36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12">
        <f t="shared" si="9"/>
        <v>23.100000000000044</v>
      </c>
      <c r="X65" s="13">
        <f t="shared" si="0"/>
        <v>2.1689699260726575E-53</v>
      </c>
      <c r="Y65" s="13">
        <f t="shared" si="1"/>
        <v>2.0496845907428345E-9</v>
      </c>
      <c r="Z65" s="13">
        <f t="shared" si="2"/>
        <v>60420.644328794297</v>
      </c>
      <c r="AA65" s="13">
        <f t="shared" si="3"/>
        <v>11.091308710612138</v>
      </c>
      <c r="AB65" s="13">
        <f t="shared" si="4"/>
        <v>7575.287560875714</v>
      </c>
      <c r="AC65" s="13">
        <f t="shared" si="5"/>
        <v>15267.641136330443</v>
      </c>
      <c r="AD65" s="2"/>
      <c r="AE65" s="13">
        <v>60420.644328793736</v>
      </c>
      <c r="AF65" s="13">
        <f t="shared" si="6"/>
        <v>62168.832031901635</v>
      </c>
      <c r="AG65" s="13">
        <f t="shared" si="7"/>
        <v>39121.129354406745</v>
      </c>
      <c r="AH65" s="13">
        <f t="shared" si="8"/>
        <v>64429.22898132859</v>
      </c>
      <c r="AI65" s="13">
        <v>15267.64113633046</v>
      </c>
      <c r="AJ65" s="2"/>
    </row>
    <row r="66" spans="1:36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5">
        <f t="shared" si="9"/>
        <v>23.150000000000045</v>
      </c>
      <c r="X66" s="16">
        <f t="shared" si="0"/>
        <v>8.2665627424388215E-60</v>
      </c>
      <c r="Y66" s="16">
        <f t="shared" si="1"/>
        <v>5.0927797585848756E-11</v>
      </c>
      <c r="Z66" s="16">
        <f t="shared" si="2"/>
        <v>52118.999074454194</v>
      </c>
      <c r="AA66" s="16">
        <f t="shared" si="3"/>
        <v>0.16508264635841602</v>
      </c>
      <c r="AB66" s="16">
        <f t="shared" si="4"/>
        <v>2645.9326212764431</v>
      </c>
      <c r="AC66" s="16">
        <f t="shared" si="5"/>
        <v>14638.58603917558</v>
      </c>
      <c r="AD66" s="2"/>
      <c r="AE66" s="16">
        <v>52118.999074453648</v>
      </c>
      <c r="AF66" s="16">
        <f t="shared" si="6"/>
        <v>55032.326559563386</v>
      </c>
      <c r="AG66" s="16">
        <f t="shared" si="7"/>
        <v>35551.004313978541</v>
      </c>
      <c r="AH66" s="16">
        <f t="shared" si="8"/>
        <v>60128.858341526953</v>
      </c>
      <c r="AI66" s="16">
        <v>14638.586039175596</v>
      </c>
      <c r="AJ66" s="2"/>
    </row>
    <row r="67" spans="1:3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2">
        <f t="shared" si="9"/>
        <v>23.200000000000045</v>
      </c>
      <c r="X67" s="13">
        <f t="shared" si="0"/>
        <v>1.4696139813202964E-66</v>
      </c>
      <c r="Y67" s="13">
        <f t="shared" si="1"/>
        <v>1.0457418108574774E-12</v>
      </c>
      <c r="Z67" s="13">
        <f t="shared" si="2"/>
        <v>44616.433353335357</v>
      </c>
      <c r="AA67" s="13">
        <f t="shared" si="3"/>
        <v>1.1482126349950867E-3</v>
      </c>
      <c r="AB67" s="13">
        <f t="shared" si="4"/>
        <v>764.11549317390563</v>
      </c>
      <c r="AC67" s="13">
        <f t="shared" si="5"/>
        <v>13929.076983189327</v>
      </c>
      <c r="AD67" s="2"/>
      <c r="AE67" s="13">
        <v>44616.433353334869</v>
      </c>
      <c r="AF67" s="13">
        <f t="shared" si="6"/>
        <v>48345.162982754562</v>
      </c>
      <c r="AG67" s="13">
        <f t="shared" si="7"/>
        <v>32061.535628245962</v>
      </c>
      <c r="AH67" s="13">
        <f t="shared" si="8"/>
        <v>55689.965316324997</v>
      </c>
      <c r="AI67" s="13">
        <v>13929.076983189343</v>
      </c>
      <c r="AJ67" s="2"/>
    </row>
    <row r="68" spans="1:3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15">
        <f t="shared" si="9"/>
        <v>23.250000000000046</v>
      </c>
      <c r="X68" s="16">
        <f t="shared" si="0"/>
        <v>1.2186765553707013E-73</v>
      </c>
      <c r="Y68" s="16">
        <f t="shared" si="1"/>
        <v>1.7745807562204706E-14</v>
      </c>
      <c r="Z68" s="16">
        <f t="shared" si="2"/>
        <v>37903.708336626703</v>
      </c>
      <c r="AA68" s="16">
        <f t="shared" si="3"/>
        <v>3.7320331387881935E-6</v>
      </c>
      <c r="AB68" s="16">
        <f t="shared" si="4"/>
        <v>182.44829029044294</v>
      </c>
      <c r="AC68" s="16">
        <f t="shared" si="5"/>
        <v>13153.507305727937</v>
      </c>
      <c r="AD68" s="2"/>
      <c r="AE68" s="16">
        <v>37903.708336626267</v>
      </c>
      <c r="AF68" s="16">
        <f t="shared" si="6"/>
        <v>42148.116691233205</v>
      </c>
      <c r="AG68" s="16">
        <f t="shared" si="7"/>
        <v>28695.164600836786</v>
      </c>
      <c r="AH68" s="16">
        <f t="shared" si="8"/>
        <v>51187.615888914086</v>
      </c>
      <c r="AI68" s="16">
        <v>13153.507305727951</v>
      </c>
      <c r="AJ68" s="2"/>
    </row>
    <row r="69" spans="1:3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2">
        <f t="shared" si="9"/>
        <v>23.300000000000047</v>
      </c>
      <c r="X69" s="13">
        <f t="shared" si="0"/>
        <v>4.7139015750623301E-81</v>
      </c>
      <c r="Y69" s="13">
        <f t="shared" si="1"/>
        <v>2.488678415605621E-16</v>
      </c>
      <c r="Z69" s="13">
        <f t="shared" si="2"/>
        <v>31956.309750807781</v>
      </c>
      <c r="AA69" s="13">
        <f t="shared" si="3"/>
        <v>5.6685362966257901E-9</v>
      </c>
      <c r="AB69" s="13">
        <f t="shared" si="4"/>
        <v>36.018129738128785</v>
      </c>
      <c r="AC69" s="13">
        <f t="shared" si="5"/>
        <v>12326.983786280207</v>
      </c>
      <c r="AD69" s="2"/>
      <c r="AE69" s="13">
        <v>31956.309750807399</v>
      </c>
      <c r="AF69" s="13">
        <f t="shared" si="6"/>
        <v>36466.435045048645</v>
      </c>
      <c r="AG69" s="13">
        <f t="shared" si="7"/>
        <v>25487.373076770902</v>
      </c>
      <c r="AH69" s="13">
        <f t="shared" si="8"/>
        <v>46692.467250407368</v>
      </c>
      <c r="AI69" s="13">
        <v>12326.983786280218</v>
      </c>
      <c r="AJ69" s="2"/>
    </row>
    <row r="70" spans="1:3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5">
        <f t="shared" si="9"/>
        <v>23.350000000000048</v>
      </c>
      <c r="X70" s="16">
        <f t="shared" si="0"/>
        <v>8.5051002490311131E-89</v>
      </c>
      <c r="Y70" s="16">
        <f t="shared" si="1"/>
        <v>2.8843204744061792E-18</v>
      </c>
      <c r="Z70" s="16">
        <f t="shared" si="2"/>
        <v>26737.426970463195</v>
      </c>
      <c r="AA70" s="16">
        <f t="shared" si="3"/>
        <v>4.0234503162762996E-12</v>
      </c>
      <c r="AB70" s="16">
        <f t="shared" si="4"/>
        <v>5.8789949321857318</v>
      </c>
      <c r="AC70" s="16">
        <f t="shared" si="5"/>
        <v>11464.842736042854</v>
      </c>
      <c r="AD70" s="2"/>
      <c r="AE70" s="16">
        <v>26737.426970462853</v>
      </c>
      <c r="AF70" s="16">
        <f t="shared" si="6"/>
        <v>31311.10782746195</v>
      </c>
      <c r="AG70" s="16">
        <f t="shared" si="7"/>
        <v>22466.394827522847</v>
      </c>
      <c r="AH70" s="16">
        <f t="shared" si="8"/>
        <v>42269.071584191239</v>
      </c>
      <c r="AI70" s="16">
        <v>11464.842736042867</v>
      </c>
      <c r="AJ70" s="2"/>
    </row>
    <row r="71" spans="1:3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2">
        <f t="shared" si="9"/>
        <v>23.400000000000048</v>
      </c>
      <c r="X71" s="13">
        <f t="shared" si="0"/>
        <v>7.1578935643037787E-97</v>
      </c>
      <c r="Y71" s="13">
        <f t="shared" si="1"/>
        <v>2.7626124370961916E-20</v>
      </c>
      <c r="Z71" s="13">
        <f t="shared" si="2"/>
        <v>22200.904535974507</v>
      </c>
      <c r="AA71" s="13">
        <f t="shared" si="3"/>
        <v>1.3345308701921173E-15</v>
      </c>
      <c r="AB71" s="13">
        <f t="shared" si="4"/>
        <v>0.79338791543577258</v>
      </c>
      <c r="AC71" s="13">
        <f t="shared" si="5"/>
        <v>10582.186266732</v>
      </c>
      <c r="AD71" s="2"/>
      <c r="AE71" s="13">
        <v>22200.904535974234</v>
      </c>
      <c r="AF71" s="13">
        <f t="shared" si="6"/>
        <v>26680.474480239158</v>
      </c>
      <c r="AG71" s="13">
        <f t="shared" si="7"/>
        <v>19653.217160656943</v>
      </c>
      <c r="AH71" s="13">
        <f t="shared" si="8"/>
        <v>37974.543386592326</v>
      </c>
      <c r="AI71" s="13">
        <v>10582.186266732011</v>
      </c>
      <c r="AJ71" s="2"/>
    </row>
    <row r="72" spans="1:3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15">
        <f t="shared" si="9"/>
        <v>23.450000000000049</v>
      </c>
      <c r="X72" s="16">
        <f t="shared" si="0"/>
        <v>2.8099455747604073E-105</v>
      </c>
      <c r="Y72" s="16">
        <f t="shared" si="1"/>
        <v>2.1867449418467661E-22</v>
      </c>
      <c r="Z72" s="16">
        <f t="shared" si="2"/>
        <v>18294.047234401871</v>
      </c>
      <c r="AA72" s="16">
        <f t="shared" si="3"/>
        <v>2.0685254867836096E-19</v>
      </c>
      <c r="AB72" s="16">
        <f t="shared" si="4"/>
        <v>8.852555214680681E-2</v>
      </c>
      <c r="AC72" s="16">
        <f t="shared" si="5"/>
        <v>9693.4578052189318</v>
      </c>
      <c r="AD72" s="2"/>
      <c r="AE72" s="16">
        <v>18294.047234401638</v>
      </c>
      <c r="AF72" s="16">
        <f t="shared" si="6"/>
        <v>22562.055000969911</v>
      </c>
      <c r="AG72" s="16">
        <f t="shared" si="7"/>
        <v>17061.840357616704</v>
      </c>
      <c r="AH72" s="16">
        <f t="shared" si="8"/>
        <v>33857.61620426739</v>
      </c>
      <c r="AI72" s="16">
        <v>9693.4578052189427</v>
      </c>
      <c r="AJ72" s="2"/>
    </row>
    <row r="73" spans="1:3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12">
        <f t="shared" si="9"/>
        <v>23.50000000000005</v>
      </c>
      <c r="X73" s="13">
        <f t="shared" si="0"/>
        <v>5.1453799852230749E-114</v>
      </c>
      <c r="Y73" s="13">
        <f t="shared" si="1"/>
        <v>1.4304675712629288E-24</v>
      </c>
      <c r="Z73" s="13">
        <f t="shared" si="2"/>
        <v>14960.185944186789</v>
      </c>
      <c r="AA73" s="13">
        <f t="shared" si="3"/>
        <v>1.498288336936089E-23</v>
      </c>
      <c r="AB73" s="13">
        <f t="shared" si="4"/>
        <v>8.1668066705822533E-3</v>
      </c>
      <c r="AC73" s="13">
        <f t="shared" si="5"/>
        <v>8812.0726590250397</v>
      </c>
      <c r="AD73" s="2"/>
      <c r="AE73" s="13">
        <v>14960.185944186576</v>
      </c>
      <c r="AF73" s="13">
        <f t="shared" si="6"/>
        <v>18934.4959519724</v>
      </c>
      <c r="AG73" s="13">
        <f t="shared" si="7"/>
        <v>14699.753437998268</v>
      </c>
      <c r="AH73" s="13">
        <f t="shared" si="8"/>
        <v>29958.092710444889</v>
      </c>
      <c r="AI73" s="13">
        <v>8812.0726590250488</v>
      </c>
      <c r="AJ73" s="2"/>
    </row>
    <row r="74" spans="1:3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15">
        <f t="shared" si="9"/>
        <v>23.55000000000005</v>
      </c>
      <c r="X74" s="16">
        <f t="shared" si="0"/>
        <v>4.3948481105281028E-123</v>
      </c>
      <c r="Y74" s="16">
        <f t="shared" si="1"/>
        <v>7.7332067456053615E-27</v>
      </c>
      <c r="Z74" s="16">
        <f t="shared" si="2"/>
        <v>12140.938402226404</v>
      </c>
      <c r="AA74" s="16">
        <f t="shared" si="3"/>
        <v>5.0714505124973713E-28</v>
      </c>
      <c r="AB74" s="16">
        <f t="shared" si="4"/>
        <v>6.2292602159813896E-4</v>
      </c>
      <c r="AC74" s="16">
        <f t="shared" si="5"/>
        <v>7950.1154850318817</v>
      </c>
      <c r="AD74" s="2"/>
      <c r="AE74" s="16">
        <v>12140.938402226226</v>
      </c>
      <c r="AF74" s="16">
        <f t="shared" si="6"/>
        <v>15769.533032689187</v>
      </c>
      <c r="AG74" s="16">
        <f t="shared" si="7"/>
        <v>12568.579068738411</v>
      </c>
      <c r="AH74" s="16">
        <f t="shared" si="8"/>
        <v>26306.671929084318</v>
      </c>
      <c r="AI74" s="16">
        <v>7950.1154850318899</v>
      </c>
      <c r="AJ74" s="2"/>
    </row>
    <row r="75" spans="1:3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12">
        <f t="shared" si="9"/>
        <v>23.600000000000051</v>
      </c>
      <c r="X75" s="13">
        <f t="shared" si="0"/>
        <v>1.7509637701480759E-132</v>
      </c>
      <c r="Y75" s="13">
        <f t="shared" si="1"/>
        <v>3.4549593628783748E-29</v>
      </c>
      <c r="Z75" s="13">
        <f t="shared" si="2"/>
        <v>9778.12508490043</v>
      </c>
      <c r="AA75" s="13">
        <f t="shared" si="3"/>
        <v>8.0217893919244816E-33</v>
      </c>
      <c r="AB75" s="13">
        <f t="shared" si="4"/>
        <v>3.9284500819666458E-5</v>
      </c>
      <c r="AC75" s="13">
        <f t="shared" si="5"/>
        <v>7118.1121779716059</v>
      </c>
      <c r="AD75" s="2"/>
      <c r="AE75" s="13">
        <v>9778.1250849002772</v>
      </c>
      <c r="AF75" s="13">
        <f t="shared" si="6"/>
        <v>13033.885692788048</v>
      </c>
      <c r="AG75" s="13">
        <f t="shared" si="7"/>
        <v>10664.838127754183</v>
      </c>
      <c r="AH75" s="13">
        <f t="shared" si="8"/>
        <v>22925.120261918713</v>
      </c>
      <c r="AI75" s="13">
        <v>7118.112177971615</v>
      </c>
      <c r="AJ75" s="2"/>
    </row>
    <row r="76" spans="1:3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15">
        <f t="shared" si="9"/>
        <v>23.650000000000052</v>
      </c>
      <c r="X76" s="16">
        <f t="shared" si="0"/>
        <v>3.2539983066862809E-142</v>
      </c>
      <c r="Y76" s="16">
        <f t="shared" si="1"/>
        <v>1.2756395751334557E-31</v>
      </c>
      <c r="Z76" s="16">
        <f t="shared" si="2"/>
        <v>7815.3240529403056</v>
      </c>
      <c r="AA76" s="16">
        <f t="shared" si="3"/>
        <v>5.9294251317438959E-38</v>
      </c>
      <c r="AB76" s="16">
        <f t="shared" si="4"/>
        <v>2.0483613496085369E-6</v>
      </c>
      <c r="AC76" s="16">
        <f t="shared" si="5"/>
        <v>6324.8792884510158</v>
      </c>
      <c r="AD76" s="2"/>
      <c r="AE76" s="16">
        <v>7815.324052940181</v>
      </c>
      <c r="AF76" s="16">
        <f t="shared" si="6"/>
        <v>10691.015829480615</v>
      </c>
      <c r="AG76" s="16">
        <f t="shared" si="7"/>
        <v>8980.7852088338896</v>
      </c>
      <c r="AH76" s="16">
        <f t="shared" si="8"/>
        <v>19826.739568622786</v>
      </c>
      <c r="AI76" s="16">
        <v>6324.8792884510231</v>
      </c>
      <c r="AJ76" s="2"/>
    </row>
    <row r="77" spans="1:3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12">
        <f t="shared" si="9"/>
        <v>23.700000000000053</v>
      </c>
      <c r="X77" s="13">
        <f t="shared" si="0"/>
        <v>2.8207484478374056E-152</v>
      </c>
      <c r="Y77" s="13">
        <f t="shared" si="1"/>
        <v>3.8923756142391112E-34</v>
      </c>
      <c r="Z77" s="13">
        <f t="shared" si="2"/>
        <v>6199.0688600244121</v>
      </c>
      <c r="AA77" s="13">
        <f t="shared" si="3"/>
        <v>2.048123753918158E-43</v>
      </c>
      <c r="AB77" s="13">
        <f t="shared" si="4"/>
        <v>8.8306459691564504E-8</v>
      </c>
      <c r="AC77" s="13">
        <f t="shared" si="5"/>
        <v>5577.4498935748989</v>
      </c>
      <c r="AD77" s="2"/>
      <c r="AE77" s="13">
        <v>6199.0688600243102</v>
      </c>
      <c r="AF77" s="13">
        <f t="shared" si="6"/>
        <v>8702.7002892758501</v>
      </c>
      <c r="AG77" s="13">
        <f t="shared" si="7"/>
        <v>7505.2697540737117</v>
      </c>
      <c r="AH77" s="13">
        <f t="shared" si="8"/>
        <v>17017.076334042606</v>
      </c>
      <c r="AI77" s="13">
        <v>5577.4498935749052</v>
      </c>
      <c r="AJ77" s="2"/>
    </row>
    <row r="78" spans="1:3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15">
        <f t="shared" si="9"/>
        <v>23.750000000000053</v>
      </c>
      <c r="X78" s="16">
        <f t="shared" si="0"/>
        <v>1.1405603391286512E-162</v>
      </c>
      <c r="Y78" s="16">
        <f t="shared" si="1"/>
        <v>9.8152919059143041E-37</v>
      </c>
      <c r="Z78" s="16">
        <f t="shared" si="2"/>
        <v>4879.7098528300421</v>
      </c>
      <c r="AA78" s="16">
        <f t="shared" si="3"/>
        <v>3.305994066314757E-49</v>
      </c>
      <c r="AB78" s="16">
        <f t="shared" si="4"/>
        <v>3.1475956943391535E-9</v>
      </c>
      <c r="AC78" s="16">
        <f t="shared" si="5"/>
        <v>4881.0711257355033</v>
      </c>
      <c r="AD78" s="2"/>
      <c r="AE78" s="16">
        <v>4879.7098528299621</v>
      </c>
      <c r="AF78" s="16">
        <f t="shared" si="6"/>
        <v>7030.3844029445727</v>
      </c>
      <c r="AG78" s="16">
        <f t="shared" si="7"/>
        <v>6224.5829385996622</v>
      </c>
      <c r="AH78" s="16">
        <f t="shared" si="8"/>
        <v>14494.81102105289</v>
      </c>
      <c r="AI78" s="16">
        <v>4881.0711257355088</v>
      </c>
      <c r="AJ78" s="2"/>
    </row>
    <row r="79" spans="1:3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12">
        <f t="shared" si="9"/>
        <v>23.800000000000054</v>
      </c>
      <c r="X79" s="13">
        <f t="shared" si="0"/>
        <v>2.1511913666587015E-173</v>
      </c>
      <c r="Y79" s="13">
        <f t="shared" si="1"/>
        <v>2.0454714170454712E-39</v>
      </c>
      <c r="Z79" s="13">
        <f t="shared" si="2"/>
        <v>3811.971170501371</v>
      </c>
      <c r="AA79" s="13">
        <f t="shared" si="3"/>
        <v>2.493734510877741E-55</v>
      </c>
      <c r="AB79" s="13">
        <f t="shared" si="4"/>
        <v>9.276111900163547E-11</v>
      </c>
      <c r="AC79" s="13">
        <f t="shared" si="5"/>
        <v>4239.2655081913326</v>
      </c>
      <c r="AD79" s="2"/>
      <c r="AE79" s="13">
        <v>3811.9711705013051</v>
      </c>
      <c r="AF79" s="13">
        <f t="shared" si="6"/>
        <v>5636.3000683800647</v>
      </c>
      <c r="AG79" s="13">
        <f t="shared" si="7"/>
        <v>5123.2572685732075</v>
      </c>
      <c r="AH79" s="13">
        <f t="shared" si="8"/>
        <v>12252.765832790201</v>
      </c>
      <c r="AI79" s="13">
        <v>4239.2655081913372</v>
      </c>
      <c r="AJ79" s="2"/>
    </row>
    <row r="80" spans="1:3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15">
        <f t="shared" si="9"/>
        <v>23.850000000000055</v>
      </c>
      <c r="X80" s="16">
        <f t="shared" si="0"/>
        <v>1.8925471123703762E-184</v>
      </c>
      <c r="Y80" s="16">
        <f t="shared" si="1"/>
        <v>3.5227784296240146E-42</v>
      </c>
      <c r="Z80" s="16">
        <f t="shared" si="2"/>
        <v>2955.243589874206</v>
      </c>
      <c r="AA80" s="16">
        <f t="shared" si="3"/>
        <v>8.7902379575195761E-62</v>
      </c>
      <c r="AB80" s="16">
        <f t="shared" si="4"/>
        <v>2.26023493415472E-12</v>
      </c>
      <c r="AC80" s="16">
        <f t="shared" si="5"/>
        <v>3653.9459741641645</v>
      </c>
      <c r="AD80" s="2"/>
      <c r="AE80" s="16">
        <v>2955.2435898741523</v>
      </c>
      <c r="AF80" s="16">
        <f t="shared" si="6"/>
        <v>4484.346170447503</v>
      </c>
      <c r="AG80" s="16">
        <f t="shared" si="7"/>
        <v>4184.793446016417</v>
      </c>
      <c r="AH80" s="16">
        <f t="shared" si="8"/>
        <v>10278.971816431391</v>
      </c>
      <c r="AI80" s="16">
        <v>3653.9459741641685</v>
      </c>
      <c r="AJ80" s="2"/>
    </row>
    <row r="81" spans="1:3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12">
        <f t="shared" si="9"/>
        <v>23.900000000000055</v>
      </c>
      <c r="X81" s="13">
        <f t="shared" si="0"/>
        <v>7.7664262999030988E-196</v>
      </c>
      <c r="Y81" s="13">
        <f t="shared" si="1"/>
        <v>5.0139380061746518E-45</v>
      </c>
      <c r="Z81" s="13">
        <f t="shared" si="2"/>
        <v>2273.6574234230202</v>
      </c>
      <c r="AA81" s="13">
        <f t="shared" si="3"/>
        <v>1.447949178126826E-68</v>
      </c>
      <c r="AB81" s="13">
        <f t="shared" si="4"/>
        <v>4.5534624004510716E-14</v>
      </c>
      <c r="AC81" s="13">
        <f t="shared" si="5"/>
        <v>3125.5730144329195</v>
      </c>
      <c r="AD81" s="2"/>
      <c r="AE81" s="13">
        <v>2273.6574234229788</v>
      </c>
      <c r="AF81" s="13">
        <f t="shared" si="6"/>
        <v>3540.7408792818192</v>
      </c>
      <c r="AG81" s="13">
        <f t="shared" si="7"/>
        <v>3392.296809732592</v>
      </c>
      <c r="AH81" s="13">
        <f t="shared" si="8"/>
        <v>8557.7418684985951</v>
      </c>
      <c r="AI81" s="13">
        <v>3125.5730144329227</v>
      </c>
      <c r="AJ81" s="2"/>
    </row>
    <row r="82" spans="1:3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15">
        <f t="shared" si="9"/>
        <v>23.950000000000056</v>
      </c>
      <c r="X82" s="16">
        <f t="shared" si="0"/>
        <v>1.4866290801581511E-207</v>
      </c>
      <c r="Y82" s="16">
        <f t="shared" si="1"/>
        <v>5.8975863659477873E-48</v>
      </c>
      <c r="Z82" s="16">
        <f t="shared" si="2"/>
        <v>1735.980502918316</v>
      </c>
      <c r="AA82" s="16">
        <f t="shared" si="3"/>
        <v>1.114572378591251E-75</v>
      </c>
      <c r="AB82" s="16">
        <f t="shared" si="4"/>
        <v>7.5845617961866927E-16</v>
      </c>
      <c r="AC82" s="16">
        <f t="shared" si="5"/>
        <v>2653.3417961273044</v>
      </c>
      <c r="AD82" s="2"/>
      <c r="AE82" s="16">
        <v>1735.980502918283</v>
      </c>
      <c r="AF82" s="16">
        <f t="shared" si="6"/>
        <v>2774.4643542362046</v>
      </c>
      <c r="AG82" s="16">
        <f t="shared" si="7"/>
        <v>2729.0130731072618</v>
      </c>
      <c r="AH82" s="16">
        <f t="shared" si="8"/>
        <v>7070.7039750879412</v>
      </c>
      <c r="AI82" s="16">
        <v>2653.3417961273071</v>
      </c>
      <c r="AJ82" s="2"/>
    </row>
    <row r="83" spans="1:3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12">
        <f t="shared" si="9"/>
        <v>24.000000000000057</v>
      </c>
      <c r="X83" s="13">
        <f t="shared" si="0"/>
        <v>1.3273666291913429E-219</v>
      </c>
      <c r="Y83" s="13">
        <f t="shared" si="1"/>
        <v>5.7328605434124079E-51</v>
      </c>
      <c r="Z83" s="13">
        <f t="shared" si="2"/>
        <v>1315.3845180446299</v>
      </c>
      <c r="AA83" s="13">
        <f t="shared" si="3"/>
        <v>4.0092718439920384E-83</v>
      </c>
      <c r="AB83" s="13">
        <f t="shared" si="4"/>
        <v>1.0445273140861036E-17</v>
      </c>
      <c r="AC83" s="13">
        <f t="shared" si="5"/>
        <v>2235.3872549555349</v>
      </c>
      <c r="AD83" s="2"/>
      <c r="AE83" s="13">
        <v>1315.384518044606</v>
      </c>
      <c r="AF83" s="13">
        <f t="shared" si="6"/>
        <v>2157.5165894484994</v>
      </c>
      <c r="AG83" s="13">
        <f t="shared" si="7"/>
        <v>2178.7597491191268</v>
      </c>
      <c r="AH83" s="13">
        <f t="shared" si="8"/>
        <v>5797.7581306807515</v>
      </c>
      <c r="AI83" s="13">
        <v>2235.3872549555376</v>
      </c>
      <c r="AJ83" s="2"/>
    </row>
    <row r="84" spans="1:3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15">
        <f t="shared" si="9"/>
        <v>24.050000000000058</v>
      </c>
      <c r="X84" s="16">
        <f t="shared" si="0"/>
        <v>5.5282291781261832E-232</v>
      </c>
      <c r="Y84" s="16">
        <f t="shared" si="1"/>
        <v>4.6054297628113008E-54</v>
      </c>
      <c r="Z84" s="16">
        <f t="shared" si="2"/>
        <v>989.11930307986654</v>
      </c>
      <c r="AA84" s="16">
        <f t="shared" si="3"/>
        <v>6.7394584873276985E-91</v>
      </c>
      <c r="AB84" s="16">
        <f t="shared" si="4"/>
        <v>1.1893499968561488E-19</v>
      </c>
      <c r="AC84" s="16">
        <f t="shared" si="5"/>
        <v>1868.9959722488175</v>
      </c>
      <c r="AD84" s="2"/>
      <c r="AE84" s="16">
        <v>989.11930307984596</v>
      </c>
      <c r="AF84" s="16">
        <f t="shared" si="6"/>
        <v>1665.0187479838321</v>
      </c>
      <c r="AG84" s="16">
        <f t="shared" si="7"/>
        <v>1726.2553034132684</v>
      </c>
      <c r="AH84" s="16">
        <f t="shared" si="8"/>
        <v>4717.9300494298423</v>
      </c>
      <c r="AI84" s="16">
        <v>1868.9959722488195</v>
      </c>
      <c r="AJ84" s="2"/>
    </row>
    <row r="85" spans="1:3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12">
        <f t="shared" si="9"/>
        <v>24.100000000000058</v>
      </c>
      <c r="X85" s="13">
        <f t="shared" si="0"/>
        <v>1.0739598741316023E-244</v>
      </c>
      <c r="Y85" s="13">
        <f t="shared" si="1"/>
        <v>3.0575295807452732E-57</v>
      </c>
      <c r="Z85" s="13">
        <f t="shared" si="2"/>
        <v>738.12972929718967</v>
      </c>
      <c r="AA85" s="13">
        <f t="shared" si="3"/>
        <v>5.2940345536584965E-99</v>
      </c>
      <c r="AB85" s="13">
        <f t="shared" si="4"/>
        <v>1.1196959775042498E-21</v>
      </c>
      <c r="AC85" s="13">
        <f t="shared" si="5"/>
        <v>1550.8149648401293</v>
      </c>
      <c r="AD85" s="2"/>
      <c r="AE85" s="13">
        <v>738.12972929717432</v>
      </c>
      <c r="AF85" s="13">
        <f t="shared" si="6"/>
        <v>1275.1876622872705</v>
      </c>
      <c r="AG85" s="13">
        <f t="shared" si="7"/>
        <v>1357.3525505804976</v>
      </c>
      <c r="AH85" s="13">
        <f t="shared" si="8"/>
        <v>3810.1043219693511</v>
      </c>
      <c r="AI85" s="13">
        <v>1550.8149648401309</v>
      </c>
      <c r="AJ85" s="2"/>
    </row>
    <row r="86" spans="1:3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15">
        <f t="shared" si="9"/>
        <v>24.150000000000059</v>
      </c>
      <c r="X86" s="16">
        <f t="shared" si="0"/>
        <v>9.7318844656293953E-258</v>
      </c>
      <c r="Y86" s="16">
        <f t="shared" si="1"/>
        <v>1.6775400201564585E-60</v>
      </c>
      <c r="Z86" s="16">
        <f t="shared" si="2"/>
        <v>546.6442527697277</v>
      </c>
      <c r="AA86" s="16">
        <f t="shared" si="3"/>
        <v>1.9433490444274896E-107</v>
      </c>
      <c r="AB86" s="16">
        <f t="shared" si="4"/>
        <v>8.7154763331612153E-24</v>
      </c>
      <c r="AC86" s="16">
        <f t="shared" si="5"/>
        <v>1277.0491829274688</v>
      </c>
      <c r="AD86" s="2"/>
      <c r="AE86" s="16">
        <v>546.64425276971576</v>
      </c>
      <c r="AF86" s="16">
        <f t="shared" si="6"/>
        <v>969.21263320604351</v>
      </c>
      <c r="AG86" s="16">
        <f t="shared" si="7"/>
        <v>1059.1860590395784</v>
      </c>
      <c r="AH86" s="16">
        <f t="shared" si="8"/>
        <v>3053.628511875766</v>
      </c>
      <c r="AI86" s="16">
        <v>1277.0491829274702</v>
      </c>
      <c r="AJ86" s="2"/>
    </row>
    <row r="87" spans="1:3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12">
        <f t="shared" si="9"/>
        <v>24.20000000000006</v>
      </c>
      <c r="X87" s="13">
        <f t="shared" si="0"/>
        <v>4.1135114097113939E-271</v>
      </c>
      <c r="Y87" s="13">
        <f t="shared" si="1"/>
        <v>7.6063591931959574E-64</v>
      </c>
      <c r="Z87" s="13">
        <f t="shared" si="2"/>
        <v>401.75837989039672</v>
      </c>
      <c r="AA87" s="13">
        <f t="shared" si="3"/>
        <v>3.3336278925598669E-116</v>
      </c>
      <c r="AB87" s="13">
        <f t="shared" si="4"/>
        <v>5.6089646823992435E-26</v>
      </c>
      <c r="AC87" s="13">
        <f t="shared" si="5"/>
        <v>1043.6413710111387</v>
      </c>
      <c r="AD87" s="2"/>
      <c r="AE87" s="13">
        <v>401.75837989038803</v>
      </c>
      <c r="AF87" s="13">
        <f t="shared" si="6"/>
        <v>731.06168046236996</v>
      </c>
      <c r="AG87" s="13">
        <f t="shared" si="7"/>
        <v>820.24540036112489</v>
      </c>
      <c r="AH87" s="13">
        <f t="shared" si="8"/>
        <v>2428.787407639717</v>
      </c>
      <c r="AI87" s="13">
        <v>1043.6413710111399</v>
      </c>
      <c r="AJ87" s="2"/>
    </row>
    <row r="88" spans="1:3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15">
        <f t="shared" si="9"/>
        <v>24.25000000000006</v>
      </c>
      <c r="X88" s="16">
        <f t="shared" si="0"/>
        <v>8.1102705247575427E-285</v>
      </c>
      <c r="Y88" s="16">
        <f t="shared" si="1"/>
        <v>2.8502469443408895E-67</v>
      </c>
      <c r="Z88" s="16">
        <f t="shared" si="2"/>
        <v>293.03073229125329</v>
      </c>
      <c r="AA88" s="16">
        <f t="shared" si="3"/>
        <v>2.6723030161378066E-125</v>
      </c>
      <c r="AB88" s="16">
        <f t="shared" si="4"/>
        <v>2.9845224535551713E-28</v>
      </c>
      <c r="AC88" s="16">
        <f t="shared" si="5"/>
        <v>846.42985343564362</v>
      </c>
      <c r="AD88" s="2"/>
      <c r="AE88" s="16">
        <v>293.03073229124669</v>
      </c>
      <c r="AF88" s="16">
        <f t="shared" si="6"/>
        <v>547.2414241316236</v>
      </c>
      <c r="AG88" s="16">
        <f t="shared" si="7"/>
        <v>630.38708432477586</v>
      </c>
      <c r="AH88" s="16">
        <f t="shared" si="8"/>
        <v>1917.1529788425314</v>
      </c>
      <c r="AI88" s="16">
        <v>846.42985343564453</v>
      </c>
      <c r="AJ88" s="2"/>
    </row>
    <row r="89" spans="1:3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12">
        <f t="shared" si="9"/>
        <v>24.300000000000061</v>
      </c>
      <c r="X89" s="13">
        <f t="shared" si="0"/>
        <v>7.4587293384744337E-299</v>
      </c>
      <c r="Y89" s="13">
        <f t="shared" si="1"/>
        <v>8.8265272335290391E-71</v>
      </c>
      <c r="Z89" s="13">
        <f t="shared" si="2"/>
        <v>212.10429628708704</v>
      </c>
      <c r="AA89" s="13">
        <f t="shared" si="3"/>
        <v>1.0010518049264972E-134</v>
      </c>
      <c r="AB89" s="13">
        <f t="shared" si="4"/>
        <v>1.3130085779728163E-30</v>
      </c>
      <c r="AC89" s="13">
        <f t="shared" si="5"/>
        <v>681.28163334800104</v>
      </c>
      <c r="AD89" s="2"/>
      <c r="AE89" s="13">
        <v>212.10429628708206</v>
      </c>
      <c r="AF89" s="13">
        <f t="shared" si="6"/>
        <v>406.5312153963576</v>
      </c>
      <c r="AG89" s="13">
        <f t="shared" si="7"/>
        <v>480.79812403979486</v>
      </c>
      <c r="AH89" s="13">
        <f t="shared" si="8"/>
        <v>1501.8204038823189</v>
      </c>
      <c r="AI89" s="13">
        <v>681.28163334800172</v>
      </c>
      <c r="AJ89" s="2"/>
    </row>
    <row r="90" spans="1:3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15">
        <f t="shared" si="9"/>
        <v>24.350000000000062</v>
      </c>
      <c r="X90" s="16">
        <f t="shared" si="0"/>
        <v>0</v>
      </c>
      <c r="Y90" s="16">
        <f t="shared" si="1"/>
        <v>2.2589101688460106E-74</v>
      </c>
      <c r="Z90" s="16">
        <f t="shared" si="2"/>
        <v>152.36100520747786</v>
      </c>
      <c r="AA90" s="16">
        <f t="shared" si="3"/>
        <v>1.7523855957940462E-144</v>
      </c>
      <c r="AB90" s="16">
        <f t="shared" si="4"/>
        <v>4.775961792531042E-33</v>
      </c>
      <c r="AC90" s="16">
        <f t="shared" si="5"/>
        <v>544.19984303843341</v>
      </c>
      <c r="AD90" s="2"/>
      <c r="AE90" s="16">
        <v>152.36100520747456</v>
      </c>
      <c r="AF90" s="16">
        <f t="shared" si="6"/>
        <v>299.70833591138415</v>
      </c>
      <c r="AG90" s="16">
        <f t="shared" si="7"/>
        <v>363.92356444805307</v>
      </c>
      <c r="AH90" s="16">
        <f t="shared" si="8"/>
        <v>1167.5438422264992</v>
      </c>
      <c r="AI90" s="16">
        <v>544.19984303843398</v>
      </c>
      <c r="AJ90" s="2"/>
    </row>
    <row r="91" spans="1:3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12">
        <f t="shared" si="9"/>
        <v>24.400000000000063</v>
      </c>
      <c r="X91" s="13">
        <f t="shared" si="0"/>
        <v>0</v>
      </c>
      <c r="Y91" s="13">
        <f t="shared" si="1"/>
        <v>4.7775998628006903E-78</v>
      </c>
      <c r="Z91" s="13">
        <f t="shared" si="2"/>
        <v>108.6141134810044</v>
      </c>
      <c r="AA91" s="13">
        <f t="shared" si="3"/>
        <v>1.4335243257209695E-154</v>
      </c>
      <c r="AB91" s="13">
        <f t="shared" si="4"/>
        <v>1.4363315225717103E-35</v>
      </c>
      <c r="AC91" s="13">
        <f t="shared" si="5"/>
        <v>431.40598522159451</v>
      </c>
      <c r="AD91" s="2"/>
      <c r="AE91" s="13">
        <v>108.61411348100175</v>
      </c>
      <c r="AF91" s="13">
        <f t="shared" si="6"/>
        <v>219.2773308873758</v>
      </c>
      <c r="AG91" s="13">
        <f t="shared" si="7"/>
        <v>273.36917725493623</v>
      </c>
      <c r="AH91" s="13">
        <f t="shared" si="8"/>
        <v>900.78751974598856</v>
      </c>
      <c r="AI91" s="13">
        <v>431.40598522159496</v>
      </c>
      <c r="AJ91" s="2"/>
    </row>
    <row r="92" spans="1:3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15">
        <f t="shared" si="9"/>
        <v>24.450000000000063</v>
      </c>
      <c r="X92" s="16">
        <f t="shared" si="0"/>
        <v>0</v>
      </c>
      <c r="Y92" s="16">
        <f t="shared" si="1"/>
        <v>8.350688904634176E-82</v>
      </c>
      <c r="Z92" s="16">
        <f t="shared" si="2"/>
        <v>76.839895055051201</v>
      </c>
      <c r="AA92" s="16">
        <f t="shared" si="3"/>
        <v>5.4800273973736653E-165</v>
      </c>
      <c r="AB92" s="16">
        <f t="shared" si="4"/>
        <v>3.5714872787671639E-38</v>
      </c>
      <c r="AC92" s="16">
        <f t="shared" si="5"/>
        <v>339.39851887060615</v>
      </c>
      <c r="AD92" s="2"/>
      <c r="AE92" s="16">
        <v>76.839895055049325</v>
      </c>
      <c r="AF92" s="16">
        <f t="shared" si="6"/>
        <v>159.21304190698865</v>
      </c>
      <c r="AG92" s="16">
        <f t="shared" si="7"/>
        <v>203.78906135550585</v>
      </c>
      <c r="AH92" s="16">
        <f t="shared" si="8"/>
        <v>689.70835796593951</v>
      </c>
      <c r="AI92" s="16">
        <v>339.39851887060655</v>
      </c>
      <c r="AJ92" s="2"/>
    </row>
    <row r="93" spans="1:3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2">
        <f t="shared" si="9"/>
        <v>24.500000000000064</v>
      </c>
      <c r="X93" s="13">
        <f t="shared" si="0"/>
        <v>0</v>
      </c>
      <c r="Y93" s="13">
        <f t="shared" si="1"/>
        <v>1.2062478555612251E-85</v>
      </c>
      <c r="Z93" s="13">
        <f t="shared" si="2"/>
        <v>53.947998036384021</v>
      </c>
      <c r="AA93" s="13">
        <f t="shared" si="3"/>
        <v>9.7895485163432942E-176</v>
      </c>
      <c r="AB93" s="13">
        <f t="shared" si="4"/>
        <v>7.3425022940797217E-41</v>
      </c>
      <c r="AC93" s="13">
        <f t="shared" si="5"/>
        <v>264.99015675593864</v>
      </c>
      <c r="AD93" s="2"/>
      <c r="AE93" s="13">
        <v>53.947998036382614</v>
      </c>
      <c r="AF93" s="13">
        <f t="shared" si="6"/>
        <v>114.72380265831059</v>
      </c>
      <c r="AG93" s="13">
        <f t="shared" si="7"/>
        <v>150.76625505606077</v>
      </c>
      <c r="AH93" s="13">
        <f t="shared" si="8"/>
        <v>524.08602934214684</v>
      </c>
      <c r="AI93" s="13">
        <v>264.99015675593893</v>
      </c>
      <c r="AJ93" s="2"/>
    </row>
    <row r="94" spans="1:3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5">
        <f t="shared" si="9"/>
        <v>24.550000000000065</v>
      </c>
      <c r="X94" s="16">
        <f t="shared" si="0"/>
        <v>0</v>
      </c>
      <c r="Y94" s="16">
        <f t="shared" si="1"/>
        <v>1.4399669418809044E-89</v>
      </c>
      <c r="Z94" s="16">
        <f t="shared" si="2"/>
        <v>37.588238318916979</v>
      </c>
      <c r="AA94" s="16">
        <f t="shared" si="3"/>
        <v>8.1723106504112676E-187</v>
      </c>
      <c r="AB94" s="16">
        <f t="shared" si="4"/>
        <v>1.2480720050996837E-43</v>
      </c>
      <c r="AC94" s="16">
        <f t="shared" si="5"/>
        <v>205.3267647018921</v>
      </c>
      <c r="AD94" s="2"/>
      <c r="AE94" s="16">
        <v>37.588238318916062</v>
      </c>
      <c r="AF94" s="16">
        <f t="shared" si="6"/>
        <v>82.038633439404023</v>
      </c>
      <c r="AG94" s="16">
        <f t="shared" si="7"/>
        <v>110.6928019554236</v>
      </c>
      <c r="AH94" s="16">
        <f t="shared" si="8"/>
        <v>395.2152027824946</v>
      </c>
      <c r="AI94" s="16">
        <v>205.32676470189233</v>
      </c>
      <c r="AJ94" s="2"/>
    </row>
    <row r="95" spans="1:3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12">
        <f t="shared" si="9"/>
        <v>24.600000000000065</v>
      </c>
      <c r="X95" s="13">
        <f t="shared" si="0"/>
        <v>0</v>
      </c>
      <c r="Y95" s="13">
        <f t="shared" si="1"/>
        <v>1.4205947574777867E-93</v>
      </c>
      <c r="Z95" s="13">
        <f t="shared" si="2"/>
        <v>25.990622366529042</v>
      </c>
      <c r="AA95" s="13">
        <f t="shared" si="3"/>
        <v>3.1880809579277917E-198</v>
      </c>
      <c r="AB95" s="13">
        <f t="shared" si="4"/>
        <v>1.7540249248923751E-46</v>
      </c>
      <c r="AC95" s="13">
        <f t="shared" si="5"/>
        <v>157.89101218107746</v>
      </c>
      <c r="AD95" s="2"/>
      <c r="AE95" s="13">
        <v>25.99062236652836</v>
      </c>
      <c r="AF95" s="13">
        <f t="shared" si="6"/>
        <v>58.22014612713685</v>
      </c>
      <c r="AG95" s="13">
        <f t="shared" si="7"/>
        <v>80.654122296764783</v>
      </c>
      <c r="AH95" s="13">
        <f t="shared" si="8"/>
        <v>295.77309601033824</v>
      </c>
      <c r="AI95" s="13">
        <v>157.89101218107763</v>
      </c>
      <c r="AJ95" s="2"/>
    </row>
    <row r="96" spans="1:3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15">
        <f t="shared" si="9"/>
        <v>24.650000000000066</v>
      </c>
      <c r="X96" s="16">
        <f t="shared" si="0"/>
        <v>0</v>
      </c>
      <c r="Y96" s="16">
        <f t="shared" si="1"/>
        <v>1.1582161371347886E-97</v>
      </c>
      <c r="Z96" s="16">
        <f t="shared" si="2"/>
        <v>17.834849764276314</v>
      </c>
      <c r="AA96" s="16">
        <f t="shared" si="3"/>
        <v>5.8118726070582509E-210</v>
      </c>
      <c r="AB96" s="16">
        <f t="shared" si="4"/>
        <v>2.0381326520219055E-49</v>
      </c>
      <c r="AC96" s="16">
        <f t="shared" si="5"/>
        <v>120.49395964413654</v>
      </c>
      <c r="AD96" s="2"/>
      <c r="AE96" s="16">
        <v>17.834849764275848</v>
      </c>
      <c r="AF96" s="16">
        <f t="shared" si="6"/>
        <v>41.003238067057787</v>
      </c>
      <c r="AG96" s="16">
        <f t="shared" si="7"/>
        <v>58.321100869565434</v>
      </c>
      <c r="AH96" s="16">
        <f t="shared" si="8"/>
        <v>219.67349412053937</v>
      </c>
      <c r="AI96" s="16">
        <v>120.49395964413667</v>
      </c>
      <c r="AJ96" s="2"/>
    </row>
    <row r="97" spans="1:3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12">
        <f t="shared" si="9"/>
        <v>24.700000000000067</v>
      </c>
      <c r="X97" s="13">
        <f t="shared" si="0"/>
        <v>0</v>
      </c>
      <c r="Y97" s="13">
        <f t="shared" si="1"/>
        <v>7.8038827133671321E-102</v>
      </c>
      <c r="Z97" s="13">
        <f t="shared" si="2"/>
        <v>12.145357426229017</v>
      </c>
      <c r="AA97" s="13">
        <f t="shared" si="3"/>
        <v>4.9511388024800817E-222</v>
      </c>
      <c r="AB97" s="13">
        <f t="shared" si="4"/>
        <v>1.9580767043229231E-52</v>
      </c>
      <c r="AC97" s="13">
        <f t="shared" si="5"/>
        <v>91.257625941066891</v>
      </c>
      <c r="AD97" s="2"/>
      <c r="AE97" s="13">
        <v>12.14535742622872</v>
      </c>
      <c r="AF97" s="13">
        <f t="shared" si="6"/>
        <v>28.658470491835836</v>
      </c>
      <c r="AG97" s="13">
        <f t="shared" si="7"/>
        <v>41.852057367451437</v>
      </c>
      <c r="AH97" s="13">
        <f t="shared" si="8"/>
        <v>161.91631605492199</v>
      </c>
      <c r="AI97" s="13">
        <v>91.257625941066991</v>
      </c>
      <c r="AJ97" s="2"/>
    </row>
    <row r="98" spans="1:3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15">
        <f t="shared" si="9"/>
        <v>24.750000000000068</v>
      </c>
      <c r="X98" s="16">
        <f t="shared" si="0"/>
        <v>0</v>
      </c>
      <c r="Y98" s="16">
        <f t="shared" si="1"/>
        <v>4.3454381604484736E-106</v>
      </c>
      <c r="Z98" s="16">
        <f t="shared" si="2"/>
        <v>8.2080352675566886</v>
      </c>
      <c r="AA98" s="16">
        <f t="shared" si="3"/>
        <v>1.9710443108422959E-234</v>
      </c>
      <c r="AB98" s="16">
        <f t="shared" si="4"/>
        <v>1.5553478100790289E-55</v>
      </c>
      <c r="AC98" s="16">
        <f t="shared" si="5"/>
        <v>68.591307148406841</v>
      </c>
      <c r="AD98" s="2"/>
      <c r="AE98" s="16">
        <v>8.2080352675564594</v>
      </c>
      <c r="AF98" s="16">
        <f t="shared" si="6"/>
        <v>19.878236431833109</v>
      </c>
      <c r="AG98" s="16">
        <f t="shared" si="7"/>
        <v>29.805737058917295</v>
      </c>
      <c r="AH98" s="16">
        <f t="shared" si="8"/>
        <v>118.43976468712457</v>
      </c>
      <c r="AI98" s="16">
        <v>68.591307148406926</v>
      </c>
      <c r="AJ98" s="2"/>
    </row>
    <row r="99" spans="1:3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12">
        <f t="shared" si="9"/>
        <v>24.800000000000068</v>
      </c>
      <c r="X99" s="13">
        <f t="shared" si="0"/>
        <v>0</v>
      </c>
      <c r="Y99" s="13">
        <f t="shared" si="1"/>
        <v>1.9996690844178688E-110</v>
      </c>
      <c r="Z99" s="13">
        <f t="shared" si="2"/>
        <v>5.5049857124236992</v>
      </c>
      <c r="AA99" s="13">
        <f t="shared" si="3"/>
        <v>3.6668229787368827E-247</v>
      </c>
      <c r="AB99" s="13">
        <f t="shared" si="4"/>
        <v>1.0214706938811565E-58</v>
      </c>
      <c r="AC99" s="13">
        <f t="shared" si="5"/>
        <v>51.164061804485733</v>
      </c>
      <c r="AD99" s="2"/>
      <c r="AE99" s="13">
        <v>5.5049857124235357</v>
      </c>
      <c r="AF99" s="13">
        <f t="shared" si="6"/>
        <v>13.683357861782836</v>
      </c>
      <c r="AG99" s="13">
        <f t="shared" si="7"/>
        <v>21.065650517239703</v>
      </c>
      <c r="AH99" s="13">
        <f t="shared" si="8"/>
        <v>85.980194490050138</v>
      </c>
      <c r="AI99" s="13">
        <v>51.164061804485783</v>
      </c>
      <c r="AJ99" s="2"/>
    </row>
    <row r="100" spans="1:3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15">
        <f t="shared" si="9"/>
        <v>24.850000000000069</v>
      </c>
      <c r="X100" s="16">
        <f t="shared" si="0"/>
        <v>0</v>
      </c>
      <c r="Y100" s="16">
        <f t="shared" si="1"/>
        <v>7.604740672981361E-115</v>
      </c>
      <c r="Z100" s="16">
        <f t="shared" si="2"/>
        <v>3.6640487829644157</v>
      </c>
      <c r="AA100" s="16">
        <f t="shared" si="3"/>
        <v>3.1877611343613807E-260</v>
      </c>
      <c r="AB100" s="16">
        <f t="shared" si="4"/>
        <v>5.546574720600105E-62</v>
      </c>
      <c r="AC100" s="16">
        <f t="shared" si="5"/>
        <v>37.875377765783725</v>
      </c>
      <c r="AD100" s="2"/>
      <c r="AE100" s="16">
        <v>3.664048782964314</v>
      </c>
      <c r="AF100" s="16">
        <f t="shared" si="6"/>
        <v>9.3475437961173018</v>
      </c>
      <c r="AG100" s="16">
        <f t="shared" si="7"/>
        <v>14.775488186998125</v>
      </c>
      <c r="AH100" s="16">
        <f t="shared" si="8"/>
        <v>61.943148464281037</v>
      </c>
      <c r="AI100" s="16">
        <v>37.875377765783767</v>
      </c>
      <c r="AJ100" s="2"/>
    </row>
    <row r="101" spans="1:3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12">
        <f t="shared" si="9"/>
        <v>24.90000000000007</v>
      </c>
      <c r="X101" s="13">
        <f t="shared" si="0"/>
        <v>0</v>
      </c>
      <c r="Y101" s="13">
        <f t="shared" si="1"/>
        <v>2.3900798122217384E-119</v>
      </c>
      <c r="Z101" s="13">
        <f t="shared" si="2"/>
        <v>2.4202173334172419</v>
      </c>
      <c r="AA101" s="13">
        <f t="shared" si="3"/>
        <v>1.2950420463697512E-273</v>
      </c>
      <c r="AB101" s="13">
        <f t="shared" si="4"/>
        <v>2.4901435995891088E-65</v>
      </c>
      <c r="AC101" s="13">
        <f t="shared" si="5"/>
        <v>27.825626677681846</v>
      </c>
      <c r="AD101" s="2"/>
      <c r="AE101" s="13">
        <v>2.4202173334171704</v>
      </c>
      <c r="AF101" s="13">
        <f t="shared" si="6"/>
        <v>6.3371257046454401</v>
      </c>
      <c r="AG101" s="13">
        <f t="shared" si="7"/>
        <v>10.284916218675404</v>
      </c>
      <c r="AH101" s="13">
        <f t="shared" si="8"/>
        <v>44.287594746062616</v>
      </c>
      <c r="AI101" s="13">
        <v>27.825626677681875</v>
      </c>
      <c r="AJ101" s="2"/>
    </row>
    <row r="102" spans="1:3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15">
        <f t="shared" si="9"/>
        <v>24.95000000000007</v>
      </c>
      <c r="X102" s="16">
        <f t="shared" si="0"/>
        <v>0</v>
      </c>
      <c r="Y102" s="16">
        <f t="shared" si="1"/>
        <v>6.2078628934025856E-124</v>
      </c>
      <c r="Z102" s="16">
        <f t="shared" si="2"/>
        <v>1.5864834849308116</v>
      </c>
      <c r="AA102" s="16">
        <f t="shared" si="3"/>
        <v>2.4585793926343498E-287</v>
      </c>
      <c r="AB102" s="16">
        <f t="shared" si="4"/>
        <v>9.2432454229036189E-69</v>
      </c>
      <c r="AC102" s="16">
        <f t="shared" si="5"/>
        <v>20.287519852000365</v>
      </c>
      <c r="AD102" s="2"/>
      <c r="AE102" s="16">
        <v>1.5864834849307616</v>
      </c>
      <c r="AF102" s="16">
        <f t="shared" si="6"/>
        <v>4.2636065945069941</v>
      </c>
      <c r="AG102" s="16">
        <f t="shared" si="7"/>
        <v>7.1047963283399955</v>
      </c>
      <c r="AH102" s="16">
        <f t="shared" si="8"/>
        <v>31.424246903849568</v>
      </c>
      <c r="AI102" s="16">
        <v>20.287519852000386</v>
      </c>
      <c r="AJ102" s="2"/>
    </row>
    <row r="103" spans="1:3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12">
        <f t="shared" si="9"/>
        <v>25.000000000000071</v>
      </c>
      <c r="X103" s="13">
        <f t="shared" si="0"/>
        <v>0</v>
      </c>
      <c r="Y103" s="13">
        <f t="shared" si="1"/>
        <v>1.3325194215693432E-128</v>
      </c>
      <c r="Z103" s="13">
        <f t="shared" si="2"/>
        <v>1.032059682802595</v>
      </c>
      <c r="AA103" s="13">
        <f t="shared" si="3"/>
        <v>2.181156741526318E-301</v>
      </c>
      <c r="AB103" s="13">
        <f t="shared" si="4"/>
        <v>2.8367766536323749E-72</v>
      </c>
      <c r="AC103" s="13">
        <f t="shared" si="5"/>
        <v>14.67942296517643</v>
      </c>
      <c r="AD103" s="2"/>
      <c r="AE103" s="13">
        <v>1.0320596828025645</v>
      </c>
      <c r="AF103" s="13">
        <f t="shared" si="6"/>
        <v>2.8467669717626953</v>
      </c>
      <c r="AG103" s="13">
        <f t="shared" si="7"/>
        <v>4.8707345551379193</v>
      </c>
      <c r="AH103" s="13">
        <f t="shared" si="8"/>
        <v>22.127972750713226</v>
      </c>
      <c r="AI103" s="13">
        <v>14.679422965176446</v>
      </c>
      <c r="AJ103" s="2"/>
    </row>
    <row r="104" spans="1:3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15">
        <f t="shared" si="9"/>
        <v>25.050000000000072</v>
      </c>
      <c r="X104" s="16">
        <f t="shared" si="0"/>
        <v>0</v>
      </c>
      <c r="Y104" s="16">
        <f t="shared" si="1"/>
        <v>2.3637780574811704E-133</v>
      </c>
      <c r="Z104" s="16">
        <f t="shared" si="2"/>
        <v>0.66628822572911028</v>
      </c>
      <c r="AA104" s="16">
        <f t="shared" si="3"/>
        <v>0</v>
      </c>
      <c r="AB104" s="16">
        <f t="shared" si="4"/>
        <v>7.1982408088767445E-76</v>
      </c>
      <c r="AC104" s="16">
        <f t="shared" si="5"/>
        <v>10.541078153540223</v>
      </c>
      <c r="AD104" s="2"/>
      <c r="AE104" s="16">
        <v>0.66628822572909163</v>
      </c>
      <c r="AF104" s="16">
        <f t="shared" si="6"/>
        <v>1.886325786427919</v>
      </c>
      <c r="AG104" s="16">
        <f t="shared" si="7"/>
        <v>3.3138225326262933</v>
      </c>
      <c r="AH104" s="16">
        <f t="shared" si="8"/>
        <v>15.463661807945771</v>
      </c>
      <c r="AI104" s="16">
        <v>10.541078153540235</v>
      </c>
      <c r="AJ104" s="2"/>
    </row>
    <row r="105" spans="1:3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12">
        <f t="shared" si="9"/>
        <v>25.100000000000072</v>
      </c>
      <c r="X105" s="13">
        <f t="shared" si="0"/>
        <v>0</v>
      </c>
      <c r="Y105" s="13">
        <f t="shared" si="1"/>
        <v>3.4653057903291046E-138</v>
      </c>
      <c r="Z105" s="13">
        <f t="shared" si="2"/>
        <v>0.42688169606804854</v>
      </c>
      <c r="AA105" s="13">
        <f t="shared" si="3"/>
        <v>0</v>
      </c>
      <c r="AB105" s="13">
        <f t="shared" si="4"/>
        <v>1.5101780941345292E-79</v>
      </c>
      <c r="AC105" s="13">
        <f t="shared" si="5"/>
        <v>7.5120263922667245</v>
      </c>
      <c r="AD105" s="2"/>
      <c r="AE105" s="13">
        <v>0.42688169606803511</v>
      </c>
      <c r="AF105" s="13">
        <f t="shared" si="6"/>
        <v>1.2404277539602409</v>
      </c>
      <c r="AG105" s="13">
        <f t="shared" si="7"/>
        <v>2.2374636389237352</v>
      </c>
      <c r="AH105" s="13">
        <f t="shared" si="8"/>
        <v>10.724499263008726</v>
      </c>
      <c r="AI105" s="13">
        <v>7.5120263922667325</v>
      </c>
      <c r="AJ105" s="2"/>
    </row>
    <row r="106" spans="1:3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15">
        <f t="shared" si="9"/>
        <v>25.150000000000073</v>
      </c>
      <c r="X106" s="16">
        <f t="shared" si="0"/>
        <v>0</v>
      </c>
      <c r="Y106" s="16">
        <f t="shared" si="1"/>
        <v>4.1983452499441002E-143</v>
      </c>
      <c r="Z106" s="16">
        <f t="shared" si="2"/>
        <v>0.2714194692075102</v>
      </c>
      <c r="AA106" s="16">
        <f t="shared" si="3"/>
        <v>0</v>
      </c>
      <c r="AB106" s="16">
        <f t="shared" si="4"/>
        <v>2.6195731411826796E-83</v>
      </c>
      <c r="AC106" s="16">
        <f t="shared" si="5"/>
        <v>5.3128211922440887</v>
      </c>
      <c r="AD106" s="2"/>
      <c r="AE106" s="16">
        <v>0.27141946920750165</v>
      </c>
      <c r="AF106" s="16">
        <f t="shared" si="6"/>
        <v>0.80949885327277293</v>
      </c>
      <c r="AG106" s="16">
        <f t="shared" si="7"/>
        <v>1.4992521527199079</v>
      </c>
      <c r="AH106" s="16">
        <f t="shared" si="8"/>
        <v>7.3813478118649796</v>
      </c>
      <c r="AI106" s="16">
        <v>5.312821192244094</v>
      </c>
      <c r="AJ106" s="2"/>
    </row>
    <row r="107" spans="1:3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2">
        <f t="shared" si="9"/>
        <v>25.200000000000074</v>
      </c>
      <c r="X107" s="13">
        <f t="shared" si="0"/>
        <v>0</v>
      </c>
      <c r="Y107" s="13">
        <f t="shared" si="1"/>
        <v>4.2035522838561923E-148</v>
      </c>
      <c r="Z107" s="13">
        <f t="shared" si="2"/>
        <v>0.1712625984529953</v>
      </c>
      <c r="AA107" s="13">
        <f t="shared" si="3"/>
        <v>0</v>
      </c>
      <c r="AB107" s="13">
        <f t="shared" si="4"/>
        <v>3.7569330783555845E-87</v>
      </c>
      <c r="AC107" s="13">
        <f t="shared" si="5"/>
        <v>3.7289736695072593</v>
      </c>
      <c r="AD107" s="2"/>
      <c r="AE107" s="13">
        <v>0.17126259845298991</v>
      </c>
      <c r="AF107" s="13">
        <f t="shared" si="6"/>
        <v>0.52426515182359601</v>
      </c>
      <c r="AG107" s="13">
        <f t="shared" si="7"/>
        <v>0.99697743989048626</v>
      </c>
      <c r="AH107" s="13">
        <f t="shared" si="8"/>
        <v>5.0418309707833888</v>
      </c>
      <c r="AI107" s="13">
        <v>3.7289736695072637</v>
      </c>
      <c r="AJ107" s="2"/>
    </row>
    <row r="108" spans="1:3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15">
        <f t="shared" si="9"/>
        <v>25.250000000000075</v>
      </c>
      <c r="X108" s="16">
        <f t="shared" si="0"/>
        <v>0</v>
      </c>
      <c r="Y108" s="16">
        <f t="shared" si="1"/>
        <v>3.4782154145678278E-153</v>
      </c>
      <c r="Z108" s="16">
        <f t="shared" si="2"/>
        <v>0.10724378414865547</v>
      </c>
      <c r="AA108" s="16">
        <f t="shared" si="3"/>
        <v>0</v>
      </c>
      <c r="AB108" s="16">
        <f t="shared" si="4"/>
        <v>4.4548897132000391E-91</v>
      </c>
      <c r="AC108" s="16">
        <f t="shared" si="5"/>
        <v>2.5974635192359585</v>
      </c>
      <c r="AD108" s="2"/>
      <c r="AE108" s="16">
        <v>0.10724378414865192</v>
      </c>
      <c r="AF108" s="16">
        <f t="shared" si="6"/>
        <v>0.33695797058273302</v>
      </c>
      <c r="AG108" s="16">
        <f t="shared" si="7"/>
        <v>0.65794249287351814</v>
      </c>
      <c r="AH108" s="16">
        <f t="shared" si="8"/>
        <v>3.4177072449262105</v>
      </c>
      <c r="AI108" s="16">
        <v>2.5974635192359612</v>
      </c>
      <c r="AJ108" s="2"/>
    </row>
    <row r="109" spans="1:3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12">
        <f t="shared" si="9"/>
        <v>25.300000000000075</v>
      </c>
      <c r="X109" s="13">
        <f t="shared" si="0"/>
        <v>0</v>
      </c>
      <c r="Y109" s="13">
        <f t="shared" si="1"/>
        <v>2.3784729438507034E-158</v>
      </c>
      <c r="Z109" s="13">
        <f t="shared" si="2"/>
        <v>6.6645341774099864E-2</v>
      </c>
      <c r="AA109" s="13">
        <f t="shared" si="3"/>
        <v>0</v>
      </c>
      <c r="AB109" s="13">
        <f t="shared" si="4"/>
        <v>4.3675815470973523E-95</v>
      </c>
      <c r="AC109" s="13">
        <f t="shared" si="5"/>
        <v>1.7955835554193469</v>
      </c>
      <c r="AD109" s="2"/>
      <c r="AE109" s="13">
        <v>6.6645341774097533E-2</v>
      </c>
      <c r="AF109" s="13">
        <f t="shared" si="6"/>
        <v>0.21492674762037578</v>
      </c>
      <c r="AG109" s="13">
        <f t="shared" si="7"/>
        <v>0.43090595513303381</v>
      </c>
      <c r="AH109" s="13">
        <f t="shared" si="8"/>
        <v>2.2991928590428414</v>
      </c>
      <c r="AI109" s="13">
        <v>1.7955835554193489</v>
      </c>
      <c r="AJ109" s="2"/>
    </row>
    <row r="110" spans="1:3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15">
        <f t="shared" si="9"/>
        <v>25.350000000000076</v>
      </c>
      <c r="X110" s="16">
        <f t="shared" si="0"/>
        <v>0</v>
      </c>
      <c r="Y110" s="16">
        <f t="shared" si="1"/>
        <v>1.344131236076226E-163</v>
      </c>
      <c r="Z110" s="16">
        <f t="shared" si="2"/>
        <v>4.1101298044311001E-2</v>
      </c>
      <c r="AA110" s="16">
        <f t="shared" si="3"/>
        <v>0</v>
      </c>
      <c r="AB110" s="16">
        <f t="shared" si="4"/>
        <v>3.5403455729433705E-99</v>
      </c>
      <c r="AC110" s="16">
        <f t="shared" si="5"/>
        <v>1.2318499342118399</v>
      </c>
      <c r="AD110" s="2"/>
      <c r="AE110" s="16">
        <v>4.1101298044309564E-2</v>
      </c>
      <c r="AF110" s="16">
        <f t="shared" si="6"/>
        <v>0.13604894853124708</v>
      </c>
      <c r="AG110" s="16">
        <f t="shared" si="7"/>
        <v>0.28007156057026583</v>
      </c>
      <c r="AH110" s="16">
        <f t="shared" si="8"/>
        <v>1.5350054097966066</v>
      </c>
      <c r="AI110" s="16">
        <v>1.2318499342118412</v>
      </c>
      <c r="AJ110" s="2"/>
    </row>
    <row r="111" spans="1:3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12">
        <f t="shared" si="9"/>
        <v>25.400000000000077</v>
      </c>
      <c r="X111" s="13">
        <f t="shared" si="0"/>
        <v>0</v>
      </c>
      <c r="Y111" s="13">
        <f t="shared" si="1"/>
        <v>6.2775018605561945E-169</v>
      </c>
      <c r="Z111" s="13">
        <f t="shared" si="2"/>
        <v>2.515529095288185E-2</v>
      </c>
      <c r="AA111" s="13">
        <f t="shared" si="3"/>
        <v>0</v>
      </c>
      <c r="AB111" s="13">
        <f t="shared" si="4"/>
        <v>2.3727438494459807E-103</v>
      </c>
      <c r="AC111" s="13">
        <f t="shared" si="5"/>
        <v>0.83869878271087672</v>
      </c>
      <c r="AD111" s="2"/>
      <c r="AE111" s="13">
        <v>2.5155290952880965E-2</v>
      </c>
      <c r="AF111" s="13">
        <f t="shared" si="6"/>
        <v>8.5465315944252482E-2</v>
      </c>
      <c r="AG111" s="13">
        <f t="shared" si="7"/>
        <v>0.18065395822333422</v>
      </c>
      <c r="AH111" s="13">
        <f t="shared" si="8"/>
        <v>1.01704082063873</v>
      </c>
      <c r="AI111" s="13">
        <v>0.83869878271087772</v>
      </c>
      <c r="AJ111" s="2"/>
    </row>
    <row r="112" spans="1:3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15">
        <f t="shared" si="9"/>
        <v>25.450000000000077</v>
      </c>
      <c r="X112" s="16">
        <f t="shared" si="0"/>
        <v>0</v>
      </c>
      <c r="Y112" s="16">
        <f t="shared" si="1"/>
        <v>2.422890263204919E-174</v>
      </c>
      <c r="Z112" s="16">
        <f t="shared" si="2"/>
        <v>1.5278869469310209E-2</v>
      </c>
      <c r="AA112" s="16">
        <f t="shared" si="3"/>
        <v>0</v>
      </c>
      <c r="AB112" s="16">
        <f t="shared" si="4"/>
        <v>1.3147907036152672E-107</v>
      </c>
      <c r="AC112" s="16">
        <f t="shared" si="5"/>
        <v>0.56669612554700077</v>
      </c>
      <c r="AD112" s="2"/>
      <c r="AE112" s="16">
        <v>1.5278869469309675E-2</v>
      </c>
      <c r="AF112" s="16">
        <f t="shared" si="6"/>
        <v>5.3281274560616751E-2</v>
      </c>
      <c r="AG112" s="16">
        <f t="shared" si="7"/>
        <v>0.11564261589146597</v>
      </c>
      <c r="AH112" s="16">
        <f t="shared" si="8"/>
        <v>0.66874542504368761</v>
      </c>
      <c r="AI112" s="16">
        <v>0.56669612554700133</v>
      </c>
      <c r="AJ112" s="2"/>
    </row>
    <row r="113" spans="1:3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12">
        <f t="shared" si="9"/>
        <v>25.500000000000078</v>
      </c>
      <c r="X113" s="13">
        <f t="shared" si="0"/>
        <v>0</v>
      </c>
      <c r="Y113" s="13">
        <f t="shared" si="1"/>
        <v>7.7282712614862053E-180</v>
      </c>
      <c r="Z113" s="13">
        <f t="shared" si="2"/>
        <v>9.2096084235743624E-3</v>
      </c>
      <c r="AA113" s="13">
        <f t="shared" si="3"/>
        <v>0</v>
      </c>
      <c r="AB113" s="13">
        <f t="shared" si="4"/>
        <v>6.0236948162650233E-112</v>
      </c>
      <c r="AC113" s="13">
        <f t="shared" si="5"/>
        <v>0.38000603763720653</v>
      </c>
      <c r="AD113" s="2"/>
      <c r="AE113" s="13">
        <v>9.2096084235740398E-3</v>
      </c>
      <c r="AF113" s="13">
        <f t="shared" si="6"/>
        <v>3.2964712916278185E-2</v>
      </c>
      <c r="AG113" s="13">
        <f t="shared" si="7"/>
        <v>7.3464966957241251E-2</v>
      </c>
      <c r="AH113" s="13">
        <f t="shared" si="8"/>
        <v>0.43639245084843936</v>
      </c>
      <c r="AI113" s="13">
        <v>0.38000603763720692</v>
      </c>
      <c r="AJ113" s="2"/>
    </row>
    <row r="114" spans="1:3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15">
        <f t="shared" si="9"/>
        <v>25.550000000000079</v>
      </c>
      <c r="X114" s="16">
        <f t="shared" si="0"/>
        <v>0</v>
      </c>
      <c r="Y114" s="16">
        <f t="shared" si="1"/>
        <v>2.0371954064514216E-185</v>
      </c>
      <c r="Z114" s="16">
        <f t="shared" si="2"/>
        <v>5.5090812604618568E-3</v>
      </c>
      <c r="AA114" s="16">
        <f t="shared" si="3"/>
        <v>0</v>
      </c>
      <c r="AB114" s="16">
        <f t="shared" si="4"/>
        <v>2.2817594841830073E-116</v>
      </c>
      <c r="AC114" s="16">
        <f t="shared" si="5"/>
        <v>0.25288715639497067</v>
      </c>
      <c r="AD114" s="2"/>
      <c r="AE114" s="16">
        <v>5.5090812604616434E-3</v>
      </c>
      <c r="AF114" s="16">
        <f t="shared" si="6"/>
        <v>2.0240161828829061E-2</v>
      </c>
      <c r="AG114" s="16">
        <f t="shared" si="7"/>
        <v>4.6316381581281568E-2</v>
      </c>
      <c r="AH114" s="16">
        <f t="shared" si="8"/>
        <v>0.28261004865017419</v>
      </c>
      <c r="AI114" s="16">
        <v>0.25288715639497095</v>
      </c>
      <c r="AJ114" s="2"/>
    </row>
    <row r="115" spans="1:3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12">
        <f t="shared" si="9"/>
        <v>25.60000000000008</v>
      </c>
      <c r="X115" s="13">
        <f t="shared" si="0"/>
        <v>0</v>
      </c>
      <c r="Y115" s="13">
        <f t="shared" si="1"/>
        <v>4.4379738334834404E-191</v>
      </c>
      <c r="Z115" s="13">
        <f t="shared" si="2"/>
        <v>3.2704330300940333E-3</v>
      </c>
      <c r="AA115" s="13">
        <f t="shared" si="3"/>
        <v>0</v>
      </c>
      <c r="AB115" s="13">
        <f t="shared" si="4"/>
        <v>7.1462356912936882E-121</v>
      </c>
      <c r="AC115" s="13">
        <f t="shared" si="5"/>
        <v>0.16701638212662406</v>
      </c>
      <c r="AD115" s="2"/>
      <c r="AE115" s="13">
        <v>3.2704330300939184E-3</v>
      </c>
      <c r="AF115" s="13">
        <f t="shared" si="6"/>
        <v>1.2332997775026592E-2</v>
      </c>
      <c r="AG115" s="13">
        <f t="shared" si="7"/>
        <v>2.8978834460320086E-2</v>
      </c>
      <c r="AH115" s="13">
        <f t="shared" si="8"/>
        <v>0.18163182056966248</v>
      </c>
      <c r="AI115" s="13">
        <v>0.16701638212662426</v>
      </c>
      <c r="AJ115" s="2"/>
    </row>
    <row r="116" spans="1:3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15">
        <f t="shared" si="9"/>
        <v>25.65000000000008</v>
      </c>
      <c r="X116" s="16">
        <f t="shared" si="0"/>
        <v>0</v>
      </c>
      <c r="Y116" s="16">
        <f t="shared" si="1"/>
        <v>7.9898477640214462E-197</v>
      </c>
      <c r="Z116" s="16">
        <f t="shared" si="2"/>
        <v>1.9267235735808074E-3</v>
      </c>
      <c r="AA116" s="16">
        <f t="shared" si="3"/>
        <v>0</v>
      </c>
      <c r="AB116" s="16">
        <f t="shared" si="4"/>
        <v>1.8504841712871083E-125</v>
      </c>
      <c r="AC116" s="16">
        <f t="shared" si="5"/>
        <v>0.10946805290573311</v>
      </c>
      <c r="AD116" s="2"/>
      <c r="AE116" s="16">
        <v>1.9267235735807332E-3</v>
      </c>
      <c r="AF116" s="16">
        <f t="shared" si="6"/>
        <v>7.4578443599220947E-3</v>
      </c>
      <c r="AG116" s="16">
        <f t="shared" si="7"/>
        <v>1.7993645493456206E-2</v>
      </c>
      <c r="AH116" s="16">
        <f t="shared" si="8"/>
        <v>0.11584845277168729</v>
      </c>
      <c r="AI116" s="16">
        <v>0.10946805290573322</v>
      </c>
      <c r="AJ116" s="2"/>
    </row>
    <row r="117" spans="1:3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12">
        <f t="shared" si="9"/>
        <v>25.700000000000081</v>
      </c>
      <c r="X117" s="13">
        <f t="shared" si="0"/>
        <v>0</v>
      </c>
      <c r="Y117" s="13">
        <f t="shared" si="1"/>
        <v>1.1887594704942323E-202</v>
      </c>
      <c r="Z117" s="13">
        <f t="shared" si="2"/>
        <v>1.1264751883954044E-3</v>
      </c>
      <c r="AA117" s="13">
        <f t="shared" si="3"/>
        <v>0</v>
      </c>
      <c r="AB117" s="13">
        <f t="shared" si="4"/>
        <v>3.9618130766687816E-130</v>
      </c>
      <c r="AC117" s="13">
        <f t="shared" si="5"/>
        <v>7.1205204436620678E-2</v>
      </c>
      <c r="AD117" s="2"/>
      <c r="AE117" s="13">
        <v>1.126475188395361E-3</v>
      </c>
      <c r="AF117" s="13">
        <f t="shared" si="6"/>
        <v>4.4755660231308378E-3</v>
      </c>
      <c r="AG117" s="13">
        <f t="shared" si="7"/>
        <v>1.108790154149652E-2</v>
      </c>
      <c r="AH117" s="13">
        <f t="shared" si="8"/>
        <v>7.3330138501829609E-2</v>
      </c>
      <c r="AI117" s="13">
        <v>7.1205204436620761E-2</v>
      </c>
      <c r="AJ117" s="2"/>
    </row>
    <row r="118" spans="1:3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15">
        <f t="shared" si="9"/>
        <v>25.750000000000082</v>
      </c>
      <c r="X118" s="16">
        <f t="shared" si="0"/>
        <v>0</v>
      </c>
      <c r="Y118" s="16">
        <f t="shared" si="1"/>
        <v>1.4616762600543137E-208</v>
      </c>
      <c r="Z118" s="16">
        <f t="shared" si="2"/>
        <v>6.5359981197710951E-4</v>
      </c>
      <c r="AA118" s="16">
        <f t="shared" si="3"/>
        <v>0</v>
      </c>
      <c r="AB118" s="16">
        <f t="shared" si="4"/>
        <v>7.012988961488315E-135</v>
      </c>
      <c r="AC118" s="16">
        <f t="shared" si="5"/>
        <v>4.5965512280419007E-2</v>
      </c>
      <c r="AD118" s="2"/>
      <c r="AE118" s="16">
        <v>6.5359981197708435E-4</v>
      </c>
      <c r="AF118" s="16">
        <f t="shared" si="6"/>
        <v>2.6654627070871071E-3</v>
      </c>
      <c r="AG118" s="16">
        <f t="shared" si="7"/>
        <v>6.7806529529827898E-3</v>
      </c>
      <c r="AH118" s="16">
        <f t="shared" si="8"/>
        <v>4.6064752087064419E-2</v>
      </c>
      <c r="AI118" s="16">
        <v>4.5965512280419056E-2</v>
      </c>
      <c r="AJ118" s="2"/>
    </row>
    <row r="119" spans="1:3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12">
        <f t="shared" si="9"/>
        <v>25.800000000000082</v>
      </c>
      <c r="X119" s="13">
        <f t="shared" si="0"/>
        <v>0</v>
      </c>
      <c r="Y119" s="13">
        <f t="shared" si="1"/>
        <v>1.485286094336073E-214</v>
      </c>
      <c r="Z119" s="13">
        <f t="shared" si="2"/>
        <v>3.7634857455856873E-4</v>
      </c>
      <c r="AA119" s="13">
        <f t="shared" si="3"/>
        <v>0</v>
      </c>
      <c r="AB119" s="13">
        <f t="shared" si="4"/>
        <v>1.0263911463068264E-139</v>
      </c>
      <c r="AC119" s="13">
        <f t="shared" si="5"/>
        <v>2.9447504330114709E-2</v>
      </c>
      <c r="AD119" s="2"/>
      <c r="AE119" s="13">
        <v>3.763485745585542E-4</v>
      </c>
      <c r="AF119" s="13">
        <f t="shared" si="6"/>
        <v>1.5753869478680915E-3</v>
      </c>
      <c r="AG119" s="13">
        <f t="shared" si="7"/>
        <v>4.1151496013735432E-3</v>
      </c>
      <c r="AH119" s="13">
        <f t="shared" si="8"/>
        <v>2.8717652546958843E-2</v>
      </c>
      <c r="AI119" s="13">
        <v>2.944750433011474E-2</v>
      </c>
      <c r="AJ119" s="2"/>
    </row>
    <row r="120" spans="1:3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15">
        <f t="shared" si="9"/>
        <v>25.850000000000083</v>
      </c>
      <c r="X120" s="16">
        <f t="shared" si="0"/>
        <v>0</v>
      </c>
      <c r="Y120" s="16">
        <f t="shared" si="1"/>
        <v>1.2472995192266186E-220</v>
      </c>
      <c r="Z120" s="16">
        <f t="shared" si="2"/>
        <v>2.1505854393163168E-4</v>
      </c>
      <c r="AA120" s="16">
        <f t="shared" si="3"/>
        <v>0</v>
      </c>
      <c r="AB120" s="16">
        <f t="shared" si="4"/>
        <v>1.242004606475434E-144</v>
      </c>
      <c r="AC120" s="16">
        <f t="shared" si="5"/>
        <v>1.8722373577122482E-2</v>
      </c>
      <c r="AD120" s="2"/>
      <c r="AE120" s="16">
        <v>2.150585439316226E-4</v>
      </c>
      <c r="AF120" s="16">
        <f t="shared" si="6"/>
        <v>9.2404232746280028E-4</v>
      </c>
      <c r="AG120" s="16">
        <f t="shared" si="7"/>
        <v>2.4785158148740083E-3</v>
      </c>
      <c r="AH120" s="16">
        <f t="shared" si="8"/>
        <v>1.7767368129068883E-2</v>
      </c>
      <c r="AI120" s="16">
        <v>1.8722373577122503E-2</v>
      </c>
      <c r="AJ120" s="2"/>
    </row>
    <row r="121" spans="1:3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12">
        <f t="shared" si="9"/>
        <v>25.900000000000084</v>
      </c>
      <c r="X121" s="13">
        <f t="shared" si="0"/>
        <v>0</v>
      </c>
      <c r="Y121" s="13">
        <f t="shared" si="1"/>
        <v>8.6563162180062511E-227</v>
      </c>
      <c r="Z121" s="13">
        <f t="shared" si="2"/>
        <v>1.2195825320810403E-4</v>
      </c>
      <c r="AA121" s="13">
        <f t="shared" si="3"/>
        <v>0</v>
      </c>
      <c r="AB121" s="13">
        <f t="shared" si="4"/>
        <v>1.2426078237161598E-149</v>
      </c>
      <c r="AC121" s="13">
        <f t="shared" si="5"/>
        <v>1.1813248555156844E-2</v>
      </c>
      <c r="AD121" s="2"/>
      <c r="AE121" s="13">
        <v>1.2195825320809888E-4</v>
      </c>
      <c r="AF121" s="13">
        <f t="shared" si="6"/>
        <v>5.3788133934291849E-4</v>
      </c>
      <c r="AG121" s="13">
        <f t="shared" si="7"/>
        <v>1.481459269795023E-3</v>
      </c>
      <c r="AH121" s="13">
        <f t="shared" si="8"/>
        <v>1.0909157964311775E-2</v>
      </c>
      <c r="AI121" s="13">
        <v>1.1813248555156858E-2</v>
      </c>
      <c r="AJ121" s="2"/>
    </row>
    <row r="122" spans="1:3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15">
        <f t="shared" si="9"/>
        <v>25.950000000000085</v>
      </c>
      <c r="X122" s="16">
        <f t="shared" si="0"/>
        <v>0</v>
      </c>
      <c r="Y122" s="16">
        <f t="shared" si="1"/>
        <v>4.9647477670962616E-233</v>
      </c>
      <c r="Z122" s="16">
        <f t="shared" si="2"/>
        <v>6.8636283358219523E-5</v>
      </c>
      <c r="AA122" s="16">
        <f t="shared" si="3"/>
        <v>0</v>
      </c>
      <c r="AB122" s="16">
        <f t="shared" si="4"/>
        <v>1.0278873668120152E-154</v>
      </c>
      <c r="AC122" s="16">
        <f t="shared" si="5"/>
        <v>7.3973096670053619E-3</v>
      </c>
      <c r="AD122" s="2"/>
      <c r="AE122" s="16">
        <v>6.8636283358216622E-5</v>
      </c>
      <c r="AF122" s="16">
        <f t="shared" si="6"/>
        <v>3.1072133906396372E-4</v>
      </c>
      <c r="AG122" s="16">
        <f t="shared" si="7"/>
        <v>8.7877904486949787E-4</v>
      </c>
      <c r="AH122" s="16">
        <f t="shared" si="8"/>
        <v>6.6474231551612983E-3</v>
      </c>
      <c r="AI122" s="16">
        <v>7.3973096670053706E-3</v>
      </c>
      <c r="AJ122" s="2"/>
    </row>
    <row r="123" spans="1:3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12">
        <f t="shared" si="9"/>
        <v>26.000000000000085</v>
      </c>
      <c r="X123" s="13">
        <f t="shared" si="0"/>
        <v>0</v>
      </c>
      <c r="Y123" s="13">
        <f t="shared" si="1"/>
        <v>2.3532224530234736E-239</v>
      </c>
      <c r="Z123" s="13">
        <f t="shared" si="2"/>
        <v>3.8334022248219688E-5</v>
      </c>
      <c r="AA123" s="13">
        <f t="shared" si="3"/>
        <v>0</v>
      </c>
      <c r="AB123" s="13">
        <f t="shared" si="4"/>
        <v>7.0300358670590728E-160</v>
      </c>
      <c r="AC123" s="13">
        <f t="shared" si="5"/>
        <v>4.5969976322548251E-3</v>
      </c>
      <c r="AD123" s="2"/>
      <c r="AE123" s="13">
        <v>3.8334022248218068E-5</v>
      </c>
      <c r="AF123" s="13">
        <f t="shared" si="6"/>
        <v>1.7813352909122889E-4</v>
      </c>
      <c r="AG123" s="13">
        <f t="shared" si="7"/>
        <v>5.1732280524261821E-4</v>
      </c>
      <c r="AH123" s="13">
        <f t="shared" si="8"/>
        <v>4.0198457285145206E-3</v>
      </c>
      <c r="AI123" s="13">
        <v>4.5969976322548303E-3</v>
      </c>
      <c r="AJ123" s="2"/>
    </row>
    <row r="124" spans="1:3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15">
        <f t="shared" si="9"/>
        <v>26.050000000000086</v>
      </c>
      <c r="X124" s="16">
        <f t="shared" si="0"/>
        <v>0</v>
      </c>
      <c r="Y124" s="16">
        <f t="shared" si="1"/>
        <v>9.2178682397733941E-246</v>
      </c>
      <c r="Z124" s="16">
        <f t="shared" si="2"/>
        <v>2.1247267822149334E-5</v>
      </c>
      <c r="AA124" s="16">
        <f t="shared" si="3"/>
        <v>0</v>
      </c>
      <c r="AB124" s="16">
        <f t="shared" si="4"/>
        <v>3.9753019413039824E-165</v>
      </c>
      <c r="AC124" s="16">
        <f t="shared" si="5"/>
        <v>2.8351156756949154E-3</v>
      </c>
      <c r="AD124" s="2"/>
      <c r="AE124" s="16">
        <v>2.1247267822148439E-5</v>
      </c>
      <c r="AF124" s="16">
        <f t="shared" si="6"/>
        <v>1.0134684985231918E-4</v>
      </c>
      <c r="AG124" s="16">
        <f t="shared" si="7"/>
        <v>3.0222856607937303E-4</v>
      </c>
      <c r="AH124" s="16">
        <f t="shared" si="8"/>
        <v>2.4124560635862516E-3</v>
      </c>
      <c r="AI124" s="16">
        <v>2.8351156756949185E-3</v>
      </c>
      <c r="AJ124" s="2"/>
    </row>
    <row r="125" spans="1:3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2">
        <f t="shared" si="9"/>
        <v>26.100000000000087</v>
      </c>
      <c r="X125" s="13">
        <f t="shared" si="0"/>
        <v>0</v>
      </c>
      <c r="Y125" s="13">
        <f t="shared" si="1"/>
        <v>2.9840062381550052E-252</v>
      </c>
      <c r="Z125" s="13">
        <f t="shared" si="2"/>
        <v>1.1687183585058207E-5</v>
      </c>
      <c r="AA125" s="13">
        <f t="shared" si="3"/>
        <v>0</v>
      </c>
      <c r="AB125" s="13">
        <f t="shared" si="4"/>
        <v>1.8585885975062407E-170</v>
      </c>
      <c r="AC125" s="13">
        <f t="shared" si="5"/>
        <v>1.7352550187989056E-3</v>
      </c>
      <c r="AD125" s="2"/>
      <c r="AE125" s="13">
        <v>1.1687183585057714E-5</v>
      </c>
      <c r="AF125" s="13">
        <f t="shared" si="6"/>
        <v>5.7222236269548185E-5</v>
      </c>
      <c r="AG125" s="13">
        <f t="shared" si="7"/>
        <v>1.7522713188020689E-4</v>
      </c>
      <c r="AH125" s="13">
        <f t="shared" si="8"/>
        <v>1.4368234402511088E-3</v>
      </c>
      <c r="AI125" s="13">
        <v>1.7352550187989073E-3</v>
      </c>
      <c r="AJ125" s="2"/>
    </row>
    <row r="126" spans="1:3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5">
        <f t="shared" si="9"/>
        <v>26.150000000000087</v>
      </c>
      <c r="X126" s="16">
        <f t="shared" si="0"/>
        <v>0</v>
      </c>
      <c r="Y126" s="16">
        <f t="shared" si="1"/>
        <v>7.983083568066624E-259</v>
      </c>
      <c r="Z126" s="16">
        <f t="shared" si="2"/>
        <v>6.3797656051022385E-6</v>
      </c>
      <c r="AA126" s="16">
        <f t="shared" si="3"/>
        <v>0</v>
      </c>
      <c r="AB126" s="16">
        <f t="shared" si="4"/>
        <v>7.184507188940585E-176</v>
      </c>
      <c r="AC126" s="16">
        <f t="shared" si="5"/>
        <v>1.0540272957337642E-3</v>
      </c>
      <c r="AD126" s="2"/>
      <c r="AE126" s="16">
        <v>6.3797656051019692E-6</v>
      </c>
      <c r="AF126" s="16">
        <f t="shared" si="6"/>
        <v>3.2063386362835552E-5</v>
      </c>
      <c r="AG126" s="16">
        <f t="shared" si="7"/>
        <v>1.0082289173429012E-4</v>
      </c>
      <c r="AH126" s="16">
        <f t="shared" si="8"/>
        <v>8.49261354140802E-4</v>
      </c>
      <c r="AI126" s="16">
        <v>1.0540272957337653E-3</v>
      </c>
      <c r="AJ126" s="2"/>
    </row>
    <row r="127" spans="1:3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12">
        <f t="shared" si="9"/>
        <v>26.200000000000088</v>
      </c>
      <c r="X127" s="13">
        <f t="shared" si="0"/>
        <v>0</v>
      </c>
      <c r="Y127" s="13">
        <f t="shared" si="1"/>
        <v>1.7649944437712881E-265</v>
      </c>
      <c r="Z127" s="13">
        <f t="shared" si="2"/>
        <v>3.4561111876470602E-6</v>
      </c>
      <c r="AA127" s="13">
        <f t="shared" si="3"/>
        <v>0</v>
      </c>
      <c r="AB127" s="13">
        <f t="shared" si="4"/>
        <v>2.2962082161661387E-181</v>
      </c>
      <c r="AC127" s="13">
        <f t="shared" si="5"/>
        <v>6.3538422633572947E-4</v>
      </c>
      <c r="AD127" s="2"/>
      <c r="AE127" s="13">
        <v>3.4561111876469022E-6</v>
      </c>
      <c r="AF127" s="13">
        <f t="shared" si="6"/>
        <v>1.7829696085876695E-5</v>
      </c>
      <c r="AG127" s="13">
        <f t="shared" si="7"/>
        <v>5.7571679825077215E-5</v>
      </c>
      <c r="AH127" s="13">
        <f t="shared" si="8"/>
        <v>4.9816508390711396E-4</v>
      </c>
      <c r="AI127" s="13">
        <v>6.3538422633573012E-4</v>
      </c>
      <c r="AJ127" s="2"/>
    </row>
    <row r="128" spans="1:3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15">
        <f t="shared" si="9"/>
        <v>26.250000000000089</v>
      </c>
      <c r="X128" s="16">
        <f t="shared" si="0"/>
        <v>0</v>
      </c>
      <c r="Y128" s="16">
        <f t="shared" si="1"/>
        <v>3.2249109562503919E-272</v>
      </c>
      <c r="Z128" s="16">
        <f t="shared" si="2"/>
        <v>1.8580568191151133E-6</v>
      </c>
      <c r="AA128" s="16">
        <f t="shared" si="3"/>
        <v>0</v>
      </c>
      <c r="AB128" s="16">
        <f t="shared" si="4"/>
        <v>6.0677281791443599E-187</v>
      </c>
      <c r="AC128" s="16">
        <f t="shared" si="5"/>
        <v>3.80116763763938E-4</v>
      </c>
      <c r="AD128" s="2"/>
      <c r="AE128" s="16">
        <v>1.8580568191150351E-6</v>
      </c>
      <c r="AF128" s="16">
        <f t="shared" si="6"/>
        <v>9.8393969927008557E-6</v>
      </c>
      <c r="AG128" s="16">
        <f t="shared" si="7"/>
        <v>3.2625006632512702E-5</v>
      </c>
      <c r="AH128" s="16">
        <f t="shared" si="8"/>
        <v>2.9000078491634384E-4</v>
      </c>
      <c r="AI128" s="16">
        <v>3.8011676376393849E-4</v>
      </c>
      <c r="AJ128" s="2"/>
    </row>
    <row r="129" spans="1:3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12">
        <f t="shared" si="9"/>
        <v>26.30000000000009</v>
      </c>
      <c r="X129" s="13">
        <f t="shared" si="0"/>
        <v>0</v>
      </c>
      <c r="Y129" s="13">
        <f t="shared" si="1"/>
        <v>4.8696060809117993E-279</v>
      </c>
      <c r="Z129" s="13">
        <f t="shared" si="2"/>
        <v>9.913323725304989E-7</v>
      </c>
      <c r="AA129" s="13">
        <f t="shared" si="3"/>
        <v>0</v>
      </c>
      <c r="AB129" s="13">
        <f t="shared" si="4"/>
        <v>1.3256886415635767E-192</v>
      </c>
      <c r="AC129" s="13">
        <f t="shared" si="5"/>
        <v>2.2568029448117279E-4</v>
      </c>
      <c r="AD129" s="2"/>
      <c r="AE129" s="13">
        <v>9.9133237253045359E-7</v>
      </c>
      <c r="AF129" s="13">
        <f t="shared" si="6"/>
        <v>5.3886877611142933E-6</v>
      </c>
      <c r="AG129" s="13">
        <f t="shared" si="7"/>
        <v>1.8347811552859781E-5</v>
      </c>
      <c r="AH129" s="13">
        <f t="shared" si="8"/>
        <v>1.6754019919572831E-4</v>
      </c>
      <c r="AI129" s="13">
        <v>2.2568029448117303E-4</v>
      </c>
      <c r="AJ129" s="2"/>
    </row>
    <row r="130" spans="1:3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15">
        <f t="shared" si="9"/>
        <v>26.35000000000009</v>
      </c>
      <c r="X130" s="16">
        <f t="shared" si="0"/>
        <v>0</v>
      </c>
      <c r="Y130" s="16">
        <f t="shared" si="1"/>
        <v>6.0767539585379516E-286</v>
      </c>
      <c r="Z130" s="16">
        <f t="shared" si="2"/>
        <v>5.2489385289929751E-7</v>
      </c>
      <c r="AA130" s="16">
        <f t="shared" si="3"/>
        <v>0</v>
      </c>
      <c r="AB130" s="16">
        <f t="shared" si="4"/>
        <v>2.3947353278446711E-198</v>
      </c>
      <c r="AC130" s="16">
        <f t="shared" si="5"/>
        <v>1.32973861077956E-4</v>
      </c>
      <c r="AD130" s="2"/>
      <c r="AE130" s="16">
        <v>5.2489385289927347E-7</v>
      </c>
      <c r="AF130" s="16">
        <f t="shared" si="6"/>
        <v>2.9287854602934262E-6</v>
      </c>
      <c r="AG130" s="16">
        <f t="shared" si="7"/>
        <v>1.0240234177693779E-5</v>
      </c>
      <c r="AH130" s="16">
        <f t="shared" si="8"/>
        <v>9.6057846733429105E-5</v>
      </c>
      <c r="AI130" s="16">
        <v>1.3297386107795616E-4</v>
      </c>
      <c r="AJ130" s="2"/>
    </row>
    <row r="131" spans="1:3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2">
        <f t="shared" si="9"/>
        <v>26.400000000000091</v>
      </c>
      <c r="X131" s="13">
        <f t="shared" si="0"/>
        <v>0</v>
      </c>
      <c r="Y131" s="13">
        <f t="shared" si="1"/>
        <v>6.2668773080742567E-293</v>
      </c>
      <c r="Z131" s="13">
        <f t="shared" si="2"/>
        <v>2.7582098052795399E-7</v>
      </c>
      <c r="AA131" s="13">
        <f t="shared" si="3"/>
        <v>0</v>
      </c>
      <c r="AB131" s="13">
        <f t="shared" si="4"/>
        <v>3.5766304902496695E-204</v>
      </c>
      <c r="AC131" s="13">
        <f t="shared" si="5"/>
        <v>7.7756184468216383E-5</v>
      </c>
      <c r="AD131" s="2"/>
      <c r="AE131" s="13">
        <v>2.7582098052794145E-7</v>
      </c>
      <c r="AF131" s="13">
        <f t="shared" si="6"/>
        <v>1.5797273828162106E-6</v>
      </c>
      <c r="AG131" s="13">
        <f t="shared" si="7"/>
        <v>5.6718855800291994E-6</v>
      </c>
      <c r="AH131" s="13">
        <f t="shared" si="8"/>
        <v>5.4656350828013084E-5</v>
      </c>
      <c r="AI131" s="13">
        <v>7.7756184468216465E-5</v>
      </c>
      <c r="AJ131" s="2"/>
    </row>
    <row r="132" spans="1:3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15">
        <f t="shared" si="9"/>
        <v>26.450000000000092</v>
      </c>
      <c r="X132" s="16">
        <f t="shared" si="0"/>
        <v>0</v>
      </c>
      <c r="Y132" s="16">
        <f t="shared" si="1"/>
        <v>5.3411214094542364E-300</v>
      </c>
      <c r="Z132" s="16">
        <f t="shared" si="2"/>
        <v>1.4385807824621703E-7</v>
      </c>
      <c r="AA132" s="16">
        <f t="shared" si="3"/>
        <v>0</v>
      </c>
      <c r="AB132" s="16">
        <f t="shared" si="4"/>
        <v>4.4166318053562814E-210</v>
      </c>
      <c r="AC132" s="16">
        <f t="shared" si="5"/>
        <v>4.5123172502201334E-5</v>
      </c>
      <c r="AD132" s="2"/>
      <c r="AE132" s="16">
        <v>1.4385807824621046E-7</v>
      </c>
      <c r="AF132" s="16">
        <f t="shared" si="6"/>
        <v>8.4560385335191075E-7</v>
      </c>
      <c r="AG132" s="16">
        <f t="shared" si="7"/>
        <v>3.1177191462840301E-6</v>
      </c>
      <c r="AH132" s="16">
        <f t="shared" si="8"/>
        <v>3.0863301618968617E-5</v>
      </c>
      <c r="AI132" s="16">
        <v>4.5123172502201388E-5</v>
      </c>
      <c r="AJ132" s="2"/>
    </row>
    <row r="133" spans="1:3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2">
        <f t="shared" si="9"/>
        <v>26.500000000000092</v>
      </c>
      <c r="X133" s="13">
        <f t="shared" si="0"/>
        <v>0</v>
      </c>
      <c r="Y133" s="13">
        <f t="shared" si="1"/>
        <v>3.7619708500205093E-307</v>
      </c>
      <c r="Z133" s="13">
        <f t="shared" si="2"/>
        <v>7.4504960568891764E-8</v>
      </c>
      <c r="AA133" s="13">
        <f t="shared" si="3"/>
        <v>0</v>
      </c>
      <c r="AB133" s="13">
        <f t="shared" si="4"/>
        <v>4.5092974539187083E-216</v>
      </c>
      <c r="AC133" s="13">
        <f t="shared" si="5"/>
        <v>2.598725056246031E-5</v>
      </c>
      <c r="AD133" s="2"/>
      <c r="AE133" s="13">
        <v>7.4504960568888905E-8</v>
      </c>
      <c r="AF133" s="13">
        <f t="shared" si="6"/>
        <v>4.4920304921481319E-7</v>
      </c>
      <c r="AG133" s="13">
        <f t="shared" si="7"/>
        <v>1.7007421614824795E-6</v>
      </c>
      <c r="AH133" s="13">
        <f t="shared" si="8"/>
        <v>1.7295698238475383E-5</v>
      </c>
      <c r="AI133" s="13">
        <v>2.5987250562460341E-5</v>
      </c>
      <c r="AJ133" s="2"/>
    </row>
    <row r="134" spans="1:3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5">
        <f t="shared" si="9"/>
        <v>26.550000000000093</v>
      </c>
      <c r="X134" s="16">
        <f t="shared" si="0"/>
        <v>0</v>
      </c>
      <c r="Y134" s="16">
        <f t="shared" si="1"/>
        <v>0</v>
      </c>
      <c r="Z134" s="16">
        <f t="shared" si="2"/>
        <v>3.8384937087741965E-8</v>
      </c>
      <c r="AA134" s="16">
        <f t="shared" si="3"/>
        <v>0</v>
      </c>
      <c r="AB134" s="16">
        <f t="shared" si="4"/>
        <v>3.8065114513676091E-222</v>
      </c>
      <c r="AC134" s="16">
        <f t="shared" si="5"/>
        <v>1.4853098599946374E-5</v>
      </c>
      <c r="AD134" s="2"/>
      <c r="AE134" s="16">
        <v>3.8384937087740225E-8</v>
      </c>
      <c r="AF134" s="16">
        <f t="shared" si="6"/>
        <v>2.3681668608879427E-7</v>
      </c>
      <c r="AG134" s="16">
        <f t="shared" si="7"/>
        <v>9.2072924478021817E-7</v>
      </c>
      <c r="AH134" s="16">
        <f t="shared" si="8"/>
        <v>9.6189525280039941E-6</v>
      </c>
      <c r="AI134" s="16">
        <v>1.4853098599946391E-5</v>
      </c>
      <c r="AJ134" s="2"/>
    </row>
    <row r="135" spans="1:3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12">
        <f t="shared" si="9"/>
        <v>26.600000000000094</v>
      </c>
      <c r="X135" s="13">
        <f t="shared" si="0"/>
        <v>0</v>
      </c>
      <c r="Y135" s="13">
        <f t="shared" si="1"/>
        <v>0</v>
      </c>
      <c r="Z135" s="13">
        <f t="shared" si="2"/>
        <v>1.9814981935908451E-8</v>
      </c>
      <c r="AA135" s="13">
        <f t="shared" si="3"/>
        <v>0</v>
      </c>
      <c r="AB135" s="13">
        <f t="shared" si="4"/>
        <v>2.656721097749536E-228</v>
      </c>
      <c r="AC135" s="13">
        <f t="shared" si="5"/>
        <v>8.4249982050348545E-6</v>
      </c>
      <c r="AD135" s="2"/>
      <c r="AE135" s="13">
        <v>1.9814981935907492E-8</v>
      </c>
      <c r="AF135" s="13">
        <f t="shared" si="6"/>
        <v>1.2390469317894296E-7</v>
      </c>
      <c r="AG135" s="13">
        <f t="shared" si="7"/>
        <v>4.9467210524839954E-7</v>
      </c>
      <c r="AH135" s="13">
        <f t="shared" si="8"/>
        <v>5.3089841529779957E-6</v>
      </c>
      <c r="AI135" s="13">
        <v>8.424998205034863E-6</v>
      </c>
      <c r="AJ135" s="2"/>
    </row>
    <row r="136" spans="1:3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15">
        <f t="shared" si="9"/>
        <v>26.650000000000095</v>
      </c>
      <c r="X136" s="16">
        <f t="shared" si="0"/>
        <v>0</v>
      </c>
      <c r="Y136" s="16">
        <f t="shared" si="1"/>
        <v>0</v>
      </c>
      <c r="Z136" s="16">
        <f t="shared" si="2"/>
        <v>1.0538961187011948E-8</v>
      </c>
      <c r="AA136" s="16">
        <f t="shared" si="3"/>
        <v>0</v>
      </c>
      <c r="AB136" s="16">
        <f t="shared" si="4"/>
        <v>1.5330818998740332E-234</v>
      </c>
      <c r="AC136" s="16">
        <f t="shared" si="5"/>
        <v>4.7426228858130255E-6</v>
      </c>
      <c r="AD136" s="2"/>
      <c r="AE136" s="16">
        <v>1.0538961187011463E-8</v>
      </c>
      <c r="AF136" s="16">
        <f t="shared" si="6"/>
        <v>6.434550470672685E-8</v>
      </c>
      <c r="AG136" s="16">
        <f t="shared" si="7"/>
        <v>2.6375162424187304E-7</v>
      </c>
      <c r="AH136" s="16">
        <f t="shared" si="8"/>
        <v>2.9079641133393791E-6</v>
      </c>
      <c r="AI136" s="16">
        <v>4.7426228858130305E-6</v>
      </c>
      <c r="AJ136" s="2"/>
    </row>
    <row r="137" spans="1:3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12">
        <f t="shared" si="9"/>
        <v>26.700000000000095</v>
      </c>
      <c r="X137" s="13">
        <f t="shared" si="0"/>
        <v>0</v>
      </c>
      <c r="Y137" s="13">
        <f t="shared" si="1"/>
        <v>0</v>
      </c>
      <c r="Z137" s="13">
        <f t="shared" si="2"/>
        <v>6.3439342097075205E-9</v>
      </c>
      <c r="AA137" s="13">
        <f t="shared" si="3"/>
        <v>0</v>
      </c>
      <c r="AB137" s="13">
        <f t="shared" si="4"/>
        <v>7.3145113050609243E-241</v>
      </c>
      <c r="AC137" s="13">
        <f t="shared" si="5"/>
        <v>2.6494967496760574E-6</v>
      </c>
      <c r="AD137" s="2"/>
      <c r="AE137" s="13">
        <v>6.3439342097072765E-9</v>
      </c>
      <c r="AF137" s="13">
        <f t="shared" si="6"/>
        <v>3.3182187534028011E-8</v>
      </c>
      <c r="AG137" s="13">
        <f t="shared" si="7"/>
        <v>1.3956161666653152E-7</v>
      </c>
      <c r="AH137" s="13">
        <f t="shared" si="8"/>
        <v>1.5807406584505739E-6</v>
      </c>
      <c r="AI137" s="13">
        <v>2.6494967496760604E-6</v>
      </c>
      <c r="AJ137" s="2"/>
    </row>
    <row r="138" spans="1:3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15">
        <f t="shared" si="9"/>
        <v>26.750000000000096</v>
      </c>
      <c r="X138" s="16">
        <f t="shared" si="0"/>
        <v>0</v>
      </c>
      <c r="Y138" s="16">
        <f t="shared" si="1"/>
        <v>0</v>
      </c>
      <c r="Z138" s="16">
        <f t="shared" si="2"/>
        <v>5.2942641961548071E-9</v>
      </c>
      <c r="AA138" s="16">
        <f t="shared" si="3"/>
        <v>0</v>
      </c>
      <c r="AB138" s="16">
        <f t="shared" si="4"/>
        <v>2.8853987702144002E-247</v>
      </c>
      <c r="AC138" s="16">
        <f t="shared" si="5"/>
        <v>1.4689405248132455E-6</v>
      </c>
      <c r="AD138" s="2"/>
      <c r="AE138" s="16">
        <v>5.2942641961546863E-9</v>
      </c>
      <c r="AF138" s="16">
        <f t="shared" si="6"/>
        <v>1.7024381811015167E-8</v>
      </c>
      <c r="AG138" s="16">
        <f t="shared" si="7"/>
        <v>7.3288130613133728E-8</v>
      </c>
      <c r="AH138" s="16">
        <f t="shared" si="8"/>
        <v>8.5275874064534673E-7</v>
      </c>
      <c r="AI138" s="16">
        <v>1.4689405248132472E-6</v>
      </c>
      <c r="AJ138" s="2"/>
    </row>
    <row r="139" spans="1:3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12">
        <f t="shared" si="9"/>
        <v>26.800000000000097</v>
      </c>
      <c r="X139" s="13">
        <f t="shared" si="0"/>
        <v>0</v>
      </c>
      <c r="Y139" s="13">
        <f t="shared" si="1"/>
        <v>0</v>
      </c>
      <c r="Z139" s="13">
        <f t="shared" si="2"/>
        <v>6.9072554578931036E-9</v>
      </c>
      <c r="AA139" s="13">
        <f t="shared" si="3"/>
        <v>0</v>
      </c>
      <c r="AB139" s="13">
        <f t="shared" si="4"/>
        <v>9.4108085172628152E-254</v>
      </c>
      <c r="AC139" s="13">
        <f t="shared" si="5"/>
        <v>8.082413330969704E-7</v>
      </c>
      <c r="AD139" s="2"/>
      <c r="AE139" s="13">
        <v>6.907255457893044E-9</v>
      </c>
      <c r="AF139" s="13">
        <f t="shared" si="6"/>
        <v>8.7569064797036383E-9</v>
      </c>
      <c r="AG139" s="13">
        <f t="shared" si="7"/>
        <v>3.8195598239896927E-8</v>
      </c>
      <c r="AH139" s="13">
        <f t="shared" si="8"/>
        <v>4.565472561169349E-7</v>
      </c>
      <c r="AI139" s="13">
        <v>8.0824133309697136E-7</v>
      </c>
      <c r="AJ139" s="2"/>
    </row>
    <row r="140" spans="1:3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15">
        <f t="shared" si="9"/>
        <v>26.850000000000097</v>
      </c>
      <c r="X140" s="16">
        <f t="shared" si="0"/>
        <v>0</v>
      </c>
      <c r="Y140" s="16">
        <f t="shared" si="1"/>
        <v>0</v>
      </c>
      <c r="Z140" s="16">
        <f t="shared" si="2"/>
        <v>1.1949549619862861E-8</v>
      </c>
      <c r="AA140" s="16">
        <f t="shared" si="3"/>
        <v>0</v>
      </c>
      <c r="AB140" s="16">
        <f t="shared" si="4"/>
        <v>2.5377486126131135E-260</v>
      </c>
      <c r="AC140" s="16">
        <f t="shared" si="5"/>
        <v>4.4134064365096235E-7</v>
      </c>
      <c r="AD140" s="2"/>
      <c r="AE140" s="16">
        <v>1.1949549619862831E-8</v>
      </c>
      <c r="AF140" s="16">
        <f t="shared" si="6"/>
        <v>4.6528953446618562E-9</v>
      </c>
      <c r="AG140" s="16">
        <f t="shared" si="7"/>
        <v>1.9759137854770172E-8</v>
      </c>
      <c r="AH140" s="16">
        <f t="shared" si="8"/>
        <v>2.4257129769924039E-7</v>
      </c>
      <c r="AI140" s="16">
        <v>4.4134064365096283E-7</v>
      </c>
      <c r="AJ140" s="2"/>
    </row>
    <row r="141" spans="1:3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2">
        <f t="shared" si="9"/>
        <v>26.900000000000098</v>
      </c>
      <c r="X141" s="13">
        <f t="shared" si="0"/>
        <v>0</v>
      </c>
      <c r="Y141" s="13">
        <f t="shared" si="1"/>
        <v>0</v>
      </c>
      <c r="Z141" s="13">
        <f t="shared" si="2"/>
        <v>2.2776548113748337E-8</v>
      </c>
      <c r="AA141" s="13">
        <f t="shared" si="3"/>
        <v>0</v>
      </c>
      <c r="AB141" s="13">
        <f t="shared" si="4"/>
        <v>5.6581027357828474E-267</v>
      </c>
      <c r="AC141" s="13">
        <f t="shared" si="5"/>
        <v>2.3916786052843824E-7</v>
      </c>
      <c r="AD141" s="2"/>
      <c r="AE141" s="13">
        <v>2.277654811374832E-8</v>
      </c>
      <c r="AF141" s="13">
        <f t="shared" si="6"/>
        <v>2.823423443387227E-9</v>
      </c>
      <c r="AG141" s="13">
        <f t="shared" si="7"/>
        <v>1.0152155042005061E-8</v>
      </c>
      <c r="AH141" s="13">
        <f t="shared" si="8"/>
        <v>1.2790504804172635E-7</v>
      </c>
      <c r="AI141" s="13">
        <v>2.3916786052843851E-7</v>
      </c>
      <c r="AJ141" s="2"/>
    </row>
    <row r="142" spans="1:3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5">
        <f t="shared" si="9"/>
        <v>26.950000000000099</v>
      </c>
      <c r="X142" s="16">
        <f t="shared" si="0"/>
        <v>0</v>
      </c>
      <c r="Y142" s="16">
        <f t="shared" si="1"/>
        <v>0</v>
      </c>
      <c r="Z142" s="16">
        <f t="shared" si="2"/>
        <v>4.4353820881667903E-8</v>
      </c>
      <c r="AA142" s="16">
        <f t="shared" si="3"/>
        <v>0</v>
      </c>
      <c r="AB142" s="16">
        <f t="shared" si="4"/>
        <v>1.043022377813433E-273</v>
      </c>
      <c r="AC142" s="16">
        <f t="shared" si="5"/>
        <v>1.2862570049837762E-7</v>
      </c>
      <c r="AD142" s="2"/>
      <c r="AE142" s="16">
        <v>4.4353820881667896E-8</v>
      </c>
      <c r="AF142" s="16">
        <f t="shared" si="6"/>
        <v>2.414367759087416E-9</v>
      </c>
      <c r="AG142" s="16">
        <f t="shared" si="7"/>
        <v>5.1934873843294591E-9</v>
      </c>
      <c r="AH142" s="16">
        <f t="shared" si="8"/>
        <v>6.6931810293548723E-8</v>
      </c>
      <c r="AI142" s="16">
        <v>1.2862570049837775E-7</v>
      </c>
      <c r="AJ142" s="2"/>
    </row>
    <row r="143" spans="1:3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2">
        <f t="shared" si="9"/>
        <v>27.000000000000099</v>
      </c>
      <c r="X143" s="13">
        <f t="shared" si="0"/>
        <v>0</v>
      </c>
      <c r="Y143" s="13">
        <f t="shared" si="1"/>
        <v>0</v>
      </c>
      <c r="Z143" s="13">
        <f t="shared" si="2"/>
        <v>8.6368269205580103E-8</v>
      </c>
      <c r="AA143" s="13">
        <f t="shared" si="3"/>
        <v>0</v>
      </c>
      <c r="AB143" s="13">
        <f t="shared" si="4"/>
        <v>1.589706651126321E-280</v>
      </c>
      <c r="AC143" s="13">
        <f t="shared" si="5"/>
        <v>6.8651302658277115E-8</v>
      </c>
      <c r="AD143" s="2"/>
      <c r="AE143" s="13">
        <v>8.6368269205580117E-8</v>
      </c>
      <c r="AF143" s="13">
        <f t="shared" si="6"/>
        <v>3.2381302676248663E-9</v>
      </c>
      <c r="AG143" s="13">
        <f t="shared" si="7"/>
        <v>2.6720843642099243E-9</v>
      </c>
      <c r="AH143" s="13">
        <f t="shared" si="8"/>
        <v>3.4760217827316854E-8</v>
      </c>
      <c r="AI143" s="13">
        <v>6.8651302658277168E-8</v>
      </c>
      <c r="AJ143" s="2"/>
    </row>
    <row r="144" spans="1:3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5">
        <f t="shared" si="9"/>
        <v>27.0500000000001</v>
      </c>
      <c r="X144" s="16">
        <f t="shared" si="0"/>
        <v>0</v>
      </c>
      <c r="Y144" s="16">
        <f t="shared" si="1"/>
        <v>0</v>
      </c>
      <c r="Z144" s="16">
        <f t="shared" si="2"/>
        <v>1.67253875641925E-7</v>
      </c>
      <c r="AA144" s="16">
        <f t="shared" si="3"/>
        <v>0</v>
      </c>
      <c r="AB144" s="16">
        <f t="shared" si="4"/>
        <v>2.0032766269150846E-287</v>
      </c>
      <c r="AC144" s="16">
        <f t="shared" si="5"/>
        <v>3.6363538702157417E-8</v>
      </c>
      <c r="AD144" s="2"/>
      <c r="AE144" s="16">
        <v>1.67253875641925E-7</v>
      </c>
      <c r="AF144" s="16">
        <f t="shared" si="6"/>
        <v>5.695046840330151E-9</v>
      </c>
      <c r="AG144" s="16">
        <f t="shared" si="7"/>
        <v>1.4377416184376051E-9</v>
      </c>
      <c r="AH144" s="16">
        <f t="shared" si="8"/>
        <v>1.7917303198340062E-8</v>
      </c>
      <c r="AI144" s="16">
        <v>3.6363538702157457E-8</v>
      </c>
      <c r="AJ144" s="2"/>
    </row>
    <row r="145" spans="1:3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2">
        <f t="shared" si="9"/>
        <v>27.100000000000101</v>
      </c>
      <c r="X145" s="13">
        <f t="shared" si="0"/>
        <v>0</v>
      </c>
      <c r="Y145" s="13">
        <f t="shared" si="1"/>
        <v>3.3104975255853224E-307</v>
      </c>
      <c r="Z145" s="13">
        <f t="shared" si="2"/>
        <v>3.2166671725680911E-7</v>
      </c>
      <c r="AA145" s="13">
        <f t="shared" si="3"/>
        <v>0</v>
      </c>
      <c r="AB145" s="13">
        <f t="shared" si="4"/>
        <v>2.0872065273796486E-294</v>
      </c>
      <c r="AC145" s="13">
        <f t="shared" si="5"/>
        <v>1.911528635463612E-8</v>
      </c>
      <c r="AD145" s="2"/>
      <c r="AE145" s="13">
        <v>3.2166671725680911E-7</v>
      </c>
      <c r="AF145" s="13">
        <f t="shared" si="6"/>
        <v>1.0954888292376904E-8</v>
      </c>
      <c r="AG145" s="13">
        <f t="shared" si="7"/>
        <v>9.1651154933333342E-10</v>
      </c>
      <c r="AH145" s="13">
        <f t="shared" si="8"/>
        <v>9.1695964692785294E-9</v>
      </c>
      <c r="AI145" s="13">
        <v>1.9115286354636139E-8</v>
      </c>
      <c r="AJ145" s="2"/>
    </row>
    <row r="146" spans="1:3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5">
        <f t="shared" si="9"/>
        <v>27.150000000000102</v>
      </c>
      <c r="X146" s="16">
        <f t="shared" si="0"/>
        <v>0</v>
      </c>
      <c r="Y146" s="16">
        <f t="shared" si="1"/>
        <v>3.4880970721871999E-300</v>
      </c>
      <c r="Z146" s="16">
        <f t="shared" si="2"/>
        <v>6.1418401179737702E-7</v>
      </c>
      <c r="AA146" s="16">
        <f t="shared" si="3"/>
        <v>0</v>
      </c>
      <c r="AB146" s="16">
        <f t="shared" si="4"/>
        <v>1.7980033320511188E-301</v>
      </c>
      <c r="AC146" s="16">
        <f t="shared" si="5"/>
        <v>9.9723368343597374E-9</v>
      </c>
      <c r="AD146" s="2"/>
      <c r="AE146" s="16">
        <v>6.1418401179737702E-7</v>
      </c>
      <c r="AF146" s="16">
        <f t="shared" si="6"/>
        <v>2.1474677599781424E-8</v>
      </c>
      <c r="AG146" s="16">
        <f t="shared" si="7"/>
        <v>8.640806238157836E-10</v>
      </c>
      <c r="AH146" s="16">
        <f t="shared" si="8"/>
        <v>4.6658390343031653E-9</v>
      </c>
      <c r="AI146" s="16">
        <v>9.972336834359749E-9</v>
      </c>
      <c r="AJ146" s="2"/>
    </row>
    <row r="147" spans="1:3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2">
        <f t="shared" si="9"/>
        <v>27.200000000000102</v>
      </c>
      <c r="X147" s="13">
        <f t="shared" si="0"/>
        <v>0</v>
      </c>
      <c r="Y147" s="13">
        <f t="shared" si="1"/>
        <v>3.0595646686916615E-293</v>
      </c>
      <c r="Z147" s="13">
        <f t="shared" si="2"/>
        <v>1.1641731046966527E-6</v>
      </c>
      <c r="AA147" s="13">
        <f t="shared" si="3"/>
        <v>0</v>
      </c>
      <c r="AB147" s="13">
        <f t="shared" si="4"/>
        <v>0</v>
      </c>
      <c r="AC147" s="13">
        <f t="shared" si="5"/>
        <v>5.1633559462373305E-9</v>
      </c>
      <c r="AD147" s="2"/>
      <c r="AE147" s="13">
        <v>1.1641731046966527E-6</v>
      </c>
      <c r="AF147" s="13">
        <f t="shared" si="6"/>
        <v>4.2064251644554422E-8</v>
      </c>
      <c r="AG147" s="13">
        <f t="shared" si="7"/>
        <v>1.2601413647000159E-9</v>
      </c>
      <c r="AH147" s="13">
        <f t="shared" si="8"/>
        <v>2.3744265859872868E-9</v>
      </c>
      <c r="AI147" s="13">
        <v>5.1633559462373363E-9</v>
      </c>
      <c r="AJ147" s="2"/>
    </row>
    <row r="148" spans="1:3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5">
        <f t="shared" si="9"/>
        <v>27.250000000000103</v>
      </c>
      <c r="X148" s="16">
        <f t="shared" si="0"/>
        <v>0</v>
      </c>
      <c r="Y148" s="16">
        <f t="shared" si="1"/>
        <v>2.2341199722341987E-286</v>
      </c>
      <c r="Z148" s="16">
        <f t="shared" si="2"/>
        <v>2.1905567378209383E-6</v>
      </c>
      <c r="AA148" s="16">
        <f t="shared" si="3"/>
        <v>0</v>
      </c>
      <c r="AB148" s="16">
        <f t="shared" si="4"/>
        <v>0</v>
      </c>
      <c r="AC148" s="16">
        <f t="shared" si="5"/>
        <v>2.6537514321014563E-9</v>
      </c>
      <c r="AD148" s="2"/>
      <c r="AE148" s="16">
        <v>2.1905567378209383E-6</v>
      </c>
      <c r="AF148" s="16">
        <f t="shared" si="6"/>
        <v>8.1925015782300773E-8</v>
      </c>
      <c r="AG148" s="16">
        <f t="shared" si="7"/>
        <v>2.3020910285103247E-9</v>
      </c>
      <c r="AH148" s="16">
        <f t="shared" si="8"/>
        <v>1.2373306919093159E-9</v>
      </c>
      <c r="AI148" s="16">
        <v>2.6537514321014592E-9</v>
      </c>
      <c r="AJ148" s="2"/>
    </row>
    <row r="149" spans="1:3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2">
        <f t="shared" si="9"/>
        <v>27.300000000000104</v>
      </c>
      <c r="X149" s="13">
        <f t="shared" si="0"/>
        <v>0</v>
      </c>
      <c r="Y149" s="13">
        <f t="shared" si="1"/>
        <v>1.3580917916490982E-279</v>
      </c>
      <c r="Z149" s="13">
        <f t="shared" si="2"/>
        <v>4.0917320289422757E-6</v>
      </c>
      <c r="AA149" s="13">
        <f t="shared" si="3"/>
        <v>0</v>
      </c>
      <c r="AB149" s="13">
        <f t="shared" si="4"/>
        <v>0</v>
      </c>
      <c r="AC149" s="13">
        <f t="shared" si="5"/>
        <v>1.3548589652286617E-9</v>
      </c>
      <c r="AD149" s="2"/>
      <c r="AE149" s="13">
        <v>4.0917320289422757E-6</v>
      </c>
      <c r="AF149" s="13">
        <f t="shared" si="6"/>
        <v>1.5845606191402492E-7</v>
      </c>
      <c r="AG149" s="13">
        <f t="shared" si="7"/>
        <v>4.4969191282684056E-9</v>
      </c>
      <c r="AH149" s="13">
        <f t="shared" si="8"/>
        <v>7.1837789484248112E-10</v>
      </c>
      <c r="AI149" s="13">
        <v>1.3548589652286632E-9</v>
      </c>
      <c r="AJ149" s="2"/>
    </row>
    <row r="150" spans="1:3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5">
        <f t="shared" si="9"/>
        <v>27.350000000000104</v>
      </c>
      <c r="X150" s="16">
        <f t="shared" si="0"/>
        <v>0</v>
      </c>
      <c r="Y150" s="16">
        <f t="shared" si="1"/>
        <v>6.8727023756459426E-273</v>
      </c>
      <c r="Z150" s="16">
        <f t="shared" si="2"/>
        <v>7.5870870026222963E-6</v>
      </c>
      <c r="AA150" s="16">
        <f t="shared" si="3"/>
        <v>0</v>
      </c>
      <c r="AB150" s="16">
        <f t="shared" si="4"/>
        <v>0</v>
      </c>
      <c r="AC150" s="16">
        <f t="shared" si="5"/>
        <v>6.8920555079544786E-10</v>
      </c>
      <c r="AD150" s="2"/>
      <c r="AE150" s="16">
        <v>7.5870870026222963E-6</v>
      </c>
      <c r="AF150" s="16">
        <f t="shared" si="6"/>
        <v>3.0427161449329657E-7</v>
      </c>
      <c r="AG150" s="16">
        <f t="shared" si="7"/>
        <v>8.8909578332192919E-9</v>
      </c>
      <c r="AH150" s="16">
        <f t="shared" si="8"/>
        <v>5.69237046669785E-10</v>
      </c>
      <c r="AI150" s="16">
        <v>6.8920555079544859E-10</v>
      </c>
      <c r="AJ150" s="2"/>
    </row>
    <row r="151" spans="1:3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2">
        <f t="shared" si="9"/>
        <v>27.400000000000105</v>
      </c>
      <c r="X151" s="13">
        <f t="shared" si="0"/>
        <v>0</v>
      </c>
      <c r="Y151" s="13">
        <f t="shared" si="1"/>
        <v>2.8953543931376884E-266</v>
      </c>
      <c r="Z151" s="13">
        <f t="shared" si="2"/>
        <v>1.3965549169615784E-5</v>
      </c>
      <c r="AA151" s="13">
        <f t="shared" si="3"/>
        <v>0</v>
      </c>
      <c r="AB151" s="13">
        <f t="shared" si="4"/>
        <v>0</v>
      </c>
      <c r="AC151" s="13">
        <f t="shared" si="5"/>
        <v>3.537302385873633E-10</v>
      </c>
      <c r="AD151" s="2"/>
      <c r="AE151" s="13">
        <v>1.3965549169615784E-5</v>
      </c>
      <c r="AF151" s="13">
        <f t="shared" si="6"/>
        <v>5.8001998230672663E-7</v>
      </c>
      <c r="AG151" s="13">
        <f t="shared" si="7"/>
        <v>1.7533731237019903E-8</v>
      </c>
      <c r="AH151" s="13">
        <f t="shared" si="8"/>
        <v>7.1945239135500469E-10</v>
      </c>
      <c r="AI151" s="13">
        <v>3.5373023858736366E-10</v>
      </c>
      <c r="AJ151" s="2"/>
    </row>
    <row r="152" spans="1:3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15">
        <f t="shared" si="9"/>
        <v>27.450000000000106</v>
      </c>
      <c r="X152" s="16">
        <f t="shared" si="0"/>
        <v>0</v>
      </c>
      <c r="Y152" s="16">
        <f t="shared" si="1"/>
        <v>1.0154339997977804E-259</v>
      </c>
      <c r="Z152" s="16">
        <f t="shared" si="2"/>
        <v>2.5518551185980665E-5</v>
      </c>
      <c r="AA152" s="16">
        <f t="shared" si="3"/>
        <v>0</v>
      </c>
      <c r="AB152" s="16">
        <f t="shared" si="4"/>
        <v>0</v>
      </c>
      <c r="AC152" s="16">
        <f t="shared" si="5"/>
        <v>1.9232572053281315E-10</v>
      </c>
      <c r="AD152" s="2"/>
      <c r="AE152" s="16">
        <v>2.5518551185980665E-5</v>
      </c>
      <c r="AF152" s="16">
        <f t="shared" si="6"/>
        <v>1.0976042805671402E-6</v>
      </c>
      <c r="AG152" s="16">
        <f t="shared" si="7"/>
        <v>3.436560295855806E-8</v>
      </c>
      <c r="AH152" s="16">
        <f t="shared" si="8"/>
        <v>1.2458889740502747E-9</v>
      </c>
      <c r="AI152" s="16">
        <v>1.923257205328133E-10</v>
      </c>
      <c r="AJ152" s="2"/>
    </row>
    <row r="153" spans="1:3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12">
        <f t="shared" si="9"/>
        <v>27.500000000000107</v>
      </c>
      <c r="X153" s="13">
        <f t="shared" si="0"/>
        <v>0</v>
      </c>
      <c r="Y153" s="13">
        <f t="shared" si="1"/>
        <v>2.9646774620091091E-253</v>
      </c>
      <c r="Z153" s="13">
        <f t="shared" si="2"/>
        <v>4.6288066786675428E-5</v>
      </c>
      <c r="AA153" s="13">
        <f t="shared" si="3"/>
        <v>0</v>
      </c>
      <c r="AB153" s="13">
        <f t="shared" si="4"/>
        <v>0</v>
      </c>
      <c r="AC153" s="13">
        <f t="shared" si="5"/>
        <v>1.2866277731084302E-10</v>
      </c>
      <c r="AD153" s="2"/>
      <c r="AE153" s="13">
        <v>4.6288066786675435E-5</v>
      </c>
      <c r="AF153" s="13">
        <f t="shared" si="6"/>
        <v>2.0619023632094165E-6</v>
      </c>
      <c r="AG153" s="13">
        <f t="shared" si="7"/>
        <v>6.6883225641107525E-8</v>
      </c>
      <c r="AH153" s="13">
        <f t="shared" si="8"/>
        <v>2.4095932959412505E-9</v>
      </c>
      <c r="AI153" s="13">
        <v>1.2866277731084309E-10</v>
      </c>
      <c r="AJ153" s="2"/>
    </row>
    <row r="154" spans="1:3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15">
        <f t="shared" si="9"/>
        <v>27.550000000000107</v>
      </c>
      <c r="X154" s="16">
        <f t="shared" si="0"/>
        <v>0</v>
      </c>
      <c r="Y154" s="16">
        <f t="shared" si="1"/>
        <v>7.205746545737333E-247</v>
      </c>
      <c r="Z154" s="16">
        <f t="shared" si="2"/>
        <v>8.3348368649113896E-5</v>
      </c>
      <c r="AA154" s="16">
        <f t="shared" si="3"/>
        <v>0</v>
      </c>
      <c r="AB154" s="16">
        <f t="shared" si="4"/>
        <v>0</v>
      </c>
      <c r="AC154" s="16">
        <f t="shared" si="5"/>
        <v>1.3282117751402165E-10</v>
      </c>
      <c r="AD154" s="2"/>
      <c r="AE154" s="16">
        <v>8.3348368649113896E-5</v>
      </c>
      <c r="AF154" s="16">
        <f t="shared" si="6"/>
        <v>3.8451157565076622E-6</v>
      </c>
      <c r="AG154" s="16">
        <f t="shared" si="7"/>
        <v>1.2922970534672258E-7</v>
      </c>
      <c r="AH154" s="16">
        <f t="shared" si="8"/>
        <v>4.7765310902817881E-9</v>
      </c>
      <c r="AI154" s="16">
        <v>1.328211775140217E-10</v>
      </c>
      <c r="AJ154" s="2"/>
    </row>
    <row r="155" spans="1:3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2">
        <f t="shared" si="9"/>
        <v>27.600000000000108</v>
      </c>
      <c r="X155" s="13">
        <f t="shared" si="0"/>
        <v>0</v>
      </c>
      <c r="Y155" s="13">
        <f t="shared" si="1"/>
        <v>1.4579958642412053E-240</v>
      </c>
      <c r="Z155" s="13">
        <f t="shared" si="2"/>
        <v>1.4898419417430902E-4</v>
      </c>
      <c r="AA155" s="13">
        <f t="shared" si="3"/>
        <v>0</v>
      </c>
      <c r="AB155" s="13">
        <f t="shared" si="4"/>
        <v>0</v>
      </c>
      <c r="AC155" s="13">
        <f t="shared" si="5"/>
        <v>2.0837594551409775E-10</v>
      </c>
      <c r="AD155" s="2"/>
      <c r="AE155" s="13">
        <v>1.4898419417430902E-4</v>
      </c>
      <c r="AF155" s="13">
        <f t="shared" si="6"/>
        <v>7.1181912060642529E-6</v>
      </c>
      <c r="AG155" s="13">
        <f t="shared" si="7"/>
        <v>2.4787761379675518E-7</v>
      </c>
      <c r="AH155" s="13">
        <f t="shared" si="8"/>
        <v>9.4739154417809991E-9</v>
      </c>
      <c r="AI155" s="13">
        <v>2.0837594551409778E-10</v>
      </c>
      <c r="AJ155" s="2"/>
    </row>
    <row r="156" spans="1:3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5">
        <f t="shared" si="9"/>
        <v>27.650000000000109</v>
      </c>
      <c r="X156" s="16">
        <f t="shared" si="0"/>
        <v>0</v>
      </c>
      <c r="Y156" s="16">
        <f t="shared" si="1"/>
        <v>2.4558926611362625E-234</v>
      </c>
      <c r="Z156" s="16">
        <f t="shared" si="2"/>
        <v>2.643615684376958E-4</v>
      </c>
      <c r="AA156" s="16">
        <f t="shared" si="3"/>
        <v>0</v>
      </c>
      <c r="AB156" s="16">
        <f t="shared" si="4"/>
        <v>0</v>
      </c>
      <c r="AC156" s="16">
        <f t="shared" si="5"/>
        <v>3.9489063099542763E-10</v>
      </c>
      <c r="AD156" s="2"/>
      <c r="AE156" s="16">
        <v>2.643615684376958E-4</v>
      </c>
      <c r="AF156" s="16">
        <f t="shared" si="6"/>
        <v>1.3081235454793812E-5</v>
      </c>
      <c r="AG156" s="16">
        <f t="shared" si="7"/>
        <v>4.7199429455368002E-7</v>
      </c>
      <c r="AH156" s="16">
        <f t="shared" si="8"/>
        <v>1.8689414628037567E-8</v>
      </c>
      <c r="AI156" s="16">
        <v>3.9489063099542763E-10</v>
      </c>
      <c r="AJ156" s="2"/>
    </row>
    <row r="157" spans="1:3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2">
        <f t="shared" si="9"/>
        <v>27.700000000000109</v>
      </c>
      <c r="X157" s="13">
        <f t="shared" si="0"/>
        <v>0</v>
      </c>
      <c r="Y157" s="13">
        <f t="shared" si="1"/>
        <v>3.4438026033746782E-228</v>
      </c>
      <c r="Z157" s="13">
        <f t="shared" si="2"/>
        <v>4.6566272427437663E-4</v>
      </c>
      <c r="AA157" s="13">
        <f t="shared" si="3"/>
        <v>0</v>
      </c>
      <c r="AB157" s="13">
        <f t="shared" si="4"/>
        <v>0</v>
      </c>
      <c r="AC157" s="13">
        <f t="shared" si="5"/>
        <v>7.8732117297120357E-10</v>
      </c>
      <c r="AD157" s="2"/>
      <c r="AE157" s="13">
        <v>4.6566272427437663E-4</v>
      </c>
      <c r="AF157" s="13">
        <f t="shared" si="6"/>
        <v>2.3864192938794143E-5</v>
      </c>
      <c r="AG157" s="13">
        <f t="shared" si="7"/>
        <v>8.9219421009952221E-7</v>
      </c>
      <c r="AH157" s="13">
        <f t="shared" si="8"/>
        <v>3.6617204932070246E-8</v>
      </c>
      <c r="AI157" s="13">
        <v>7.8732117297120357E-10</v>
      </c>
      <c r="AJ157" s="2"/>
    </row>
    <row r="158" spans="1:3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5">
        <f t="shared" si="9"/>
        <v>27.75000000000011</v>
      </c>
      <c r="X158" s="16">
        <f t="shared" si="0"/>
        <v>0</v>
      </c>
      <c r="Y158" s="16">
        <f t="shared" si="1"/>
        <v>4.0201559271688403E-222</v>
      </c>
      <c r="Z158" s="16">
        <f t="shared" si="2"/>
        <v>8.1425354966912383E-4</v>
      </c>
      <c r="AA158" s="16">
        <f t="shared" si="3"/>
        <v>0</v>
      </c>
      <c r="AB158" s="16">
        <f t="shared" si="4"/>
        <v>0</v>
      </c>
      <c r="AC158" s="16">
        <f t="shared" si="5"/>
        <v>1.5811870760342362E-9</v>
      </c>
      <c r="AD158" s="2"/>
      <c r="AE158" s="16">
        <v>8.1425354966912383E-4</v>
      </c>
      <c r="AF158" s="16">
        <f t="shared" si="6"/>
        <v>4.321789544517297E-5</v>
      </c>
      <c r="AG158" s="16">
        <f t="shared" si="7"/>
        <v>1.6741908099180501E-6</v>
      </c>
      <c r="AH158" s="16">
        <f t="shared" si="8"/>
        <v>7.1227607612963225E-8</v>
      </c>
      <c r="AI158" s="16">
        <v>1.5811870760342362E-9</v>
      </c>
      <c r="AJ158" s="2"/>
    </row>
    <row r="159" spans="1:3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12">
        <f t="shared" si="9"/>
        <v>27.800000000000111</v>
      </c>
      <c r="X159" s="13">
        <f t="shared" si="0"/>
        <v>0</v>
      </c>
      <c r="Y159" s="13">
        <f t="shared" si="1"/>
        <v>3.9068193101722086E-216</v>
      </c>
      <c r="Z159" s="13">
        <f t="shared" si="2"/>
        <v>1.4133928096912926E-3</v>
      </c>
      <c r="AA159" s="13">
        <f t="shared" si="3"/>
        <v>0</v>
      </c>
      <c r="AB159" s="13">
        <f t="shared" si="4"/>
        <v>0</v>
      </c>
      <c r="AC159" s="13">
        <f t="shared" si="5"/>
        <v>3.1634520314929733E-9</v>
      </c>
      <c r="AD159" s="2"/>
      <c r="AE159" s="13">
        <v>1.4133928096912928E-3</v>
      </c>
      <c r="AF159" s="13">
        <f t="shared" si="6"/>
        <v>7.769612351845135E-5</v>
      </c>
      <c r="AG159" s="13">
        <f t="shared" si="7"/>
        <v>3.1186980886413235E-6</v>
      </c>
      <c r="AH159" s="13">
        <f t="shared" si="8"/>
        <v>1.3754649052940325E-7</v>
      </c>
      <c r="AI159" s="13">
        <v>3.1634520314929733E-9</v>
      </c>
      <c r="AJ159" s="2"/>
    </row>
    <row r="160" spans="1:3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15">
        <f t="shared" si="9"/>
        <v>27.850000000000112</v>
      </c>
      <c r="X160" s="16">
        <f t="shared" si="0"/>
        <v>0</v>
      </c>
      <c r="Y160" s="16">
        <f t="shared" si="1"/>
        <v>3.1606727531177449E-210</v>
      </c>
      <c r="Z160" s="16">
        <f t="shared" si="2"/>
        <v>2.4354606997286756E-3</v>
      </c>
      <c r="AA160" s="16">
        <f t="shared" si="3"/>
        <v>0</v>
      </c>
      <c r="AB160" s="16">
        <f t="shared" si="4"/>
        <v>0</v>
      </c>
      <c r="AC160" s="16">
        <f t="shared" si="5"/>
        <v>6.2882420701626648E-9</v>
      </c>
      <c r="AD160" s="2"/>
      <c r="AE160" s="16">
        <v>2.4354606997286756E-3</v>
      </c>
      <c r="AF160" s="16">
        <f t="shared" si="6"/>
        <v>1.3866088298968791E-4</v>
      </c>
      <c r="AG160" s="16">
        <f t="shared" si="7"/>
        <v>5.76719351478134E-6</v>
      </c>
      <c r="AH160" s="16">
        <f t="shared" si="8"/>
        <v>2.6368180000042659E-7</v>
      </c>
      <c r="AI160" s="16">
        <v>6.2882420701626648E-9</v>
      </c>
      <c r="AJ160" s="2"/>
    </row>
    <row r="161" spans="1:3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12">
        <f t="shared" si="9"/>
        <v>27.900000000000112</v>
      </c>
      <c r="X161" s="13">
        <f t="shared" si="0"/>
        <v>0</v>
      </c>
      <c r="Y161" s="13">
        <f t="shared" si="1"/>
        <v>2.1286855836439062E-204</v>
      </c>
      <c r="Z161" s="13">
        <f t="shared" si="2"/>
        <v>4.1659533778055664E-3</v>
      </c>
      <c r="AA161" s="13">
        <f t="shared" si="3"/>
        <v>0</v>
      </c>
      <c r="AB161" s="13">
        <f t="shared" si="4"/>
        <v>0</v>
      </c>
      <c r="AC161" s="13">
        <f t="shared" si="5"/>
        <v>1.2411177710195512E-8</v>
      </c>
      <c r="AD161" s="2"/>
      <c r="AE161" s="13">
        <v>4.1659533778055664E-3</v>
      </c>
      <c r="AF161" s="13">
        <f t="shared" si="6"/>
        <v>2.4565603925218469E-4</v>
      </c>
      <c r="AG161" s="13">
        <f t="shared" si="7"/>
        <v>1.0587136670902635E-5</v>
      </c>
      <c r="AH161" s="13">
        <f t="shared" si="8"/>
        <v>5.0180877753574948E-7</v>
      </c>
      <c r="AI161" s="13">
        <v>1.2411177710195512E-8</v>
      </c>
      <c r="AJ161" s="2"/>
    </row>
    <row r="162" spans="1:3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15">
        <f t="shared" si="9"/>
        <v>27.950000000000113</v>
      </c>
      <c r="X162" s="16">
        <f t="shared" si="0"/>
        <v>0</v>
      </c>
      <c r="Y162" s="16">
        <f t="shared" si="1"/>
        <v>1.1934913746978917E-198</v>
      </c>
      <c r="Z162" s="16">
        <f t="shared" si="2"/>
        <v>7.0739618931353054E-3</v>
      </c>
      <c r="AA162" s="16">
        <f t="shared" si="3"/>
        <v>0</v>
      </c>
      <c r="AB162" s="16">
        <f t="shared" si="4"/>
        <v>0</v>
      </c>
      <c r="AC162" s="16">
        <f t="shared" si="5"/>
        <v>2.4319110514522649E-8</v>
      </c>
      <c r="AD162" s="2"/>
      <c r="AE162" s="16">
        <v>7.0739618931353046E-3</v>
      </c>
      <c r="AF162" s="16">
        <f t="shared" si="6"/>
        <v>4.3203586710146143E-4</v>
      </c>
      <c r="AG162" s="16">
        <f t="shared" si="7"/>
        <v>1.9293691014664251E-5</v>
      </c>
      <c r="AH162" s="16">
        <f t="shared" si="8"/>
        <v>9.4803272333718018E-7</v>
      </c>
      <c r="AI162" s="16">
        <v>2.4319110514522649E-8</v>
      </c>
      <c r="AJ162" s="2"/>
    </row>
    <row r="163" spans="1:3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12">
        <f t="shared" si="9"/>
        <v>28.000000000000114</v>
      </c>
      <c r="X163" s="13">
        <f t="shared" si="0"/>
        <v>0</v>
      </c>
      <c r="Y163" s="13">
        <f t="shared" si="1"/>
        <v>5.5706109683542123E-193</v>
      </c>
      <c r="Z163" s="13">
        <f t="shared" si="2"/>
        <v>1.1924112307290201E-2</v>
      </c>
      <c r="AA163" s="13">
        <f t="shared" si="3"/>
        <v>0</v>
      </c>
      <c r="AB163" s="13">
        <f t="shared" si="4"/>
        <v>0</v>
      </c>
      <c r="AC163" s="13">
        <f t="shared" si="5"/>
        <v>4.7306197134508832E-8</v>
      </c>
      <c r="AD163" s="2"/>
      <c r="AE163" s="13">
        <v>1.1924112307290199E-2</v>
      </c>
      <c r="AF163" s="13">
        <f t="shared" si="6"/>
        <v>7.5427729353488827E-4</v>
      </c>
      <c r="AG163" s="13">
        <f t="shared" si="7"/>
        <v>3.490397771583739E-5</v>
      </c>
      <c r="AH163" s="13">
        <f t="shared" si="8"/>
        <v>1.7780143569596019E-6</v>
      </c>
      <c r="AI163" s="13">
        <v>4.7306197134508826E-8</v>
      </c>
      <c r="AJ163" s="2"/>
    </row>
    <row r="164" spans="1:3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15">
        <f t="shared" si="9"/>
        <v>28.050000000000114</v>
      </c>
      <c r="X164" s="16">
        <f t="shared" si="0"/>
        <v>0</v>
      </c>
      <c r="Y164" s="16">
        <f t="shared" si="1"/>
        <v>2.1645227489234199E-187</v>
      </c>
      <c r="Z164" s="16">
        <f t="shared" si="2"/>
        <v>1.9952826711829841E-2</v>
      </c>
      <c r="AA164" s="16">
        <f t="shared" si="3"/>
        <v>0</v>
      </c>
      <c r="AB164" s="16">
        <f t="shared" si="4"/>
        <v>0</v>
      </c>
      <c r="AC164" s="16">
        <f t="shared" si="5"/>
        <v>9.1352500649130909E-8</v>
      </c>
      <c r="AD164" s="2"/>
      <c r="AE164" s="16">
        <v>1.9952826711829841E-2</v>
      </c>
      <c r="AF164" s="16">
        <f t="shared" si="6"/>
        <v>1.3072574901278602E-3</v>
      </c>
      <c r="AG164" s="16">
        <f t="shared" si="7"/>
        <v>6.2684090692328591E-5</v>
      </c>
      <c r="AH164" s="16">
        <f t="shared" si="8"/>
        <v>3.310350902325954E-6</v>
      </c>
      <c r="AI164" s="16">
        <v>9.1352500649130909E-8</v>
      </c>
      <c r="AJ164" s="2"/>
    </row>
    <row r="165" spans="1:3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12">
        <f t="shared" si="9"/>
        <v>28.100000000000115</v>
      </c>
      <c r="X165" s="13">
        <f t="shared" si="0"/>
        <v>0</v>
      </c>
      <c r="Y165" s="13">
        <f t="shared" si="1"/>
        <v>7.0015993975939144E-182</v>
      </c>
      <c r="Z165" s="13">
        <f t="shared" si="2"/>
        <v>3.3143459271894299E-2</v>
      </c>
      <c r="AA165" s="13">
        <f t="shared" si="3"/>
        <v>0</v>
      </c>
      <c r="AB165" s="13">
        <f t="shared" si="4"/>
        <v>6.9684666484909453E-306</v>
      </c>
      <c r="AC165" s="13">
        <f t="shared" si="5"/>
        <v>1.7512737751809434E-7</v>
      </c>
      <c r="AD165" s="2"/>
      <c r="AE165" s="13">
        <v>3.3143459271894299E-2</v>
      </c>
      <c r="AF165" s="13">
        <f t="shared" si="6"/>
        <v>2.2491070001022938E-3</v>
      </c>
      <c r="AG165" s="13">
        <f t="shared" si="7"/>
        <v>1.1175386234863404E-4</v>
      </c>
      <c r="AH165" s="13">
        <f t="shared" si="8"/>
        <v>6.1184248144617331E-6</v>
      </c>
      <c r="AI165" s="13">
        <v>1.7512737751809434E-7</v>
      </c>
      <c r="AJ165" s="2"/>
    </row>
    <row r="166" spans="1:3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5">
        <f t="shared" si="9"/>
        <v>28.150000000000116</v>
      </c>
      <c r="X166" s="16">
        <f t="shared" si="0"/>
        <v>0</v>
      </c>
      <c r="Y166" s="16">
        <f t="shared" si="1"/>
        <v>1.8854201408472677E-176</v>
      </c>
      <c r="Z166" s="16">
        <f t="shared" si="2"/>
        <v>5.4652026502942132E-2</v>
      </c>
      <c r="AA166" s="16">
        <f t="shared" si="3"/>
        <v>0</v>
      </c>
      <c r="AB166" s="16">
        <f t="shared" si="4"/>
        <v>6.7569830681274795E-299</v>
      </c>
      <c r="AC166" s="16">
        <f t="shared" si="5"/>
        <v>3.3328721126410565E-7</v>
      </c>
      <c r="AD166" s="2"/>
      <c r="AE166" s="16">
        <v>5.4652026502942132E-2</v>
      </c>
      <c r="AF166" s="16">
        <f t="shared" si="6"/>
        <v>3.8412977269875422E-3</v>
      </c>
      <c r="AG166" s="16">
        <f t="shared" si="7"/>
        <v>1.9778372739650947E-4</v>
      </c>
      <c r="AH166" s="16">
        <f t="shared" si="8"/>
        <v>1.1226181217133146E-5</v>
      </c>
      <c r="AI166" s="16">
        <v>3.3328721126410565E-7</v>
      </c>
      <c r="AJ166" s="2"/>
    </row>
    <row r="167" spans="1:3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2">
        <f t="shared" si="9"/>
        <v>28.200000000000117</v>
      </c>
      <c r="X167" s="13">
        <f t="shared" si="0"/>
        <v>0</v>
      </c>
      <c r="Y167" s="13">
        <f t="shared" si="1"/>
        <v>4.226635583410814E-171</v>
      </c>
      <c r="Z167" s="13">
        <f t="shared" si="2"/>
        <v>8.9460173638564788E-2</v>
      </c>
      <c r="AA167" s="13">
        <f t="shared" si="3"/>
        <v>0</v>
      </c>
      <c r="AB167" s="13">
        <f t="shared" si="4"/>
        <v>5.4593622683109623E-292</v>
      </c>
      <c r="AC167" s="13">
        <f t="shared" si="5"/>
        <v>6.2967174857344087E-7</v>
      </c>
      <c r="AD167" s="2"/>
      <c r="AE167" s="13">
        <v>8.9460173638564788E-2</v>
      </c>
      <c r="AF167" s="13">
        <f t="shared" si="6"/>
        <v>6.5127543091644058E-3</v>
      </c>
      <c r="AG167" s="13">
        <f t="shared" si="7"/>
        <v>3.4748925236934854E-4</v>
      </c>
      <c r="AH167" s="13">
        <f t="shared" si="8"/>
        <v>2.0448021555329202E-5</v>
      </c>
      <c r="AI167" s="13">
        <v>6.2967174857344087E-7</v>
      </c>
      <c r="AJ167" s="2"/>
    </row>
    <row r="168" spans="1:3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15">
        <f t="shared" si="9"/>
        <v>28.250000000000117</v>
      </c>
      <c r="X168" s="16">
        <f t="shared" si="0"/>
        <v>0</v>
      </c>
      <c r="Y168" s="16">
        <f t="shared" si="1"/>
        <v>7.8878246466621865E-166</v>
      </c>
      <c r="Z168" s="16">
        <f t="shared" si="2"/>
        <v>0.14536780556101103</v>
      </c>
      <c r="AA168" s="16">
        <f t="shared" si="3"/>
        <v>0</v>
      </c>
      <c r="AB168" s="16">
        <f t="shared" si="4"/>
        <v>3.6753988525603865E-285</v>
      </c>
      <c r="AC168" s="16">
        <f t="shared" si="5"/>
        <v>1.1809750150685856E-6</v>
      </c>
      <c r="AD168" s="2"/>
      <c r="AE168" s="16">
        <v>0.14536780556101103</v>
      </c>
      <c r="AF168" s="16">
        <f t="shared" si="6"/>
        <v>1.096150772257575E-2</v>
      </c>
      <c r="AG168" s="16">
        <f t="shared" si="7"/>
        <v>6.060591327237384E-4</v>
      </c>
      <c r="AH168" s="16">
        <f t="shared" si="8"/>
        <v>3.6974079013488191E-5</v>
      </c>
      <c r="AI168" s="16">
        <v>1.1809750150685858E-6</v>
      </c>
      <c r="AJ168" s="2"/>
    </row>
    <row r="169" spans="1:3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12">
        <f t="shared" si="9"/>
        <v>28.300000000000118</v>
      </c>
      <c r="X169" s="13">
        <f t="shared" si="0"/>
        <v>0</v>
      </c>
      <c r="Y169" s="13">
        <f t="shared" si="1"/>
        <v>1.225449641272647E-160</v>
      </c>
      <c r="Z169" s="13">
        <f t="shared" si="2"/>
        <v>0.23448861599961146</v>
      </c>
      <c r="AA169" s="13">
        <f t="shared" si="3"/>
        <v>0</v>
      </c>
      <c r="AB169" s="13">
        <f t="shared" si="4"/>
        <v>2.0617714206312272E-278</v>
      </c>
      <c r="AC169" s="13">
        <f t="shared" si="5"/>
        <v>2.198862896335303E-6</v>
      </c>
      <c r="AD169" s="2"/>
      <c r="AE169" s="13">
        <v>0.23448861599961146</v>
      </c>
      <c r="AF169" s="13">
        <f t="shared" si="6"/>
        <v>1.8314487367526226E-2</v>
      </c>
      <c r="AG169" s="13">
        <f t="shared" si="7"/>
        <v>1.0493284002962525E-3</v>
      </c>
      <c r="AH169" s="13">
        <f t="shared" si="8"/>
        <v>6.6369762034458105E-5</v>
      </c>
      <c r="AI169" s="13">
        <v>2.198862896335303E-6</v>
      </c>
      <c r="AJ169" s="2"/>
    </row>
    <row r="170" spans="1:3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15">
        <f t="shared" si="9"/>
        <v>28.350000000000119</v>
      </c>
      <c r="X170" s="16">
        <f t="shared" si="0"/>
        <v>0</v>
      </c>
      <c r="Y170" s="16">
        <f t="shared" si="1"/>
        <v>1.5849277528379858E-155</v>
      </c>
      <c r="Z170" s="16">
        <f t="shared" si="2"/>
        <v>0.37548303830014856</v>
      </c>
      <c r="AA170" s="16">
        <f t="shared" si="3"/>
        <v>0</v>
      </c>
      <c r="AB170" s="16">
        <f t="shared" si="4"/>
        <v>9.6371813968213945E-272</v>
      </c>
      <c r="AC170" s="16">
        <f t="shared" si="5"/>
        <v>4.0643072479263744E-6</v>
      </c>
      <c r="AD170" s="2"/>
      <c r="AE170" s="16">
        <v>0.37548303830014856</v>
      </c>
      <c r="AF170" s="16">
        <f t="shared" si="6"/>
        <v>3.0376526634870685E-2</v>
      </c>
      <c r="AG170" s="16">
        <f t="shared" si="7"/>
        <v>1.8035602645897757E-3</v>
      </c>
      <c r="AH170" s="16">
        <f t="shared" si="8"/>
        <v>1.1826874296509618E-4</v>
      </c>
      <c r="AI170" s="16">
        <v>4.0643072479263744E-6</v>
      </c>
      <c r="AJ170" s="2"/>
    </row>
    <row r="171" spans="1:3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12">
        <f t="shared" si="9"/>
        <v>28.400000000000119</v>
      </c>
      <c r="X171" s="13">
        <f t="shared" si="0"/>
        <v>0</v>
      </c>
      <c r="Y171" s="13">
        <f t="shared" si="1"/>
        <v>1.706472330195639E-150</v>
      </c>
      <c r="Z171" s="13">
        <f t="shared" si="2"/>
        <v>0.59686197907019023</v>
      </c>
      <c r="AA171" s="13">
        <f t="shared" si="3"/>
        <v>0</v>
      </c>
      <c r="AB171" s="13">
        <f t="shared" si="4"/>
        <v>3.7534707016442143E-265</v>
      </c>
      <c r="AC171" s="13">
        <f t="shared" si="5"/>
        <v>7.4577161846651106E-6</v>
      </c>
      <c r="AD171" s="2"/>
      <c r="AE171" s="13">
        <v>0.59686197907019023</v>
      </c>
      <c r="AF171" s="13">
        <f t="shared" si="6"/>
        <v>5.0015006965176106E-2</v>
      </c>
      <c r="AG171" s="13">
        <f t="shared" si="7"/>
        <v>3.0773202429047672E-3</v>
      </c>
      <c r="AH171" s="13">
        <f t="shared" si="8"/>
        <v>2.0921678597352601E-4</v>
      </c>
      <c r="AI171" s="13">
        <v>7.4577161846651106E-6</v>
      </c>
      <c r="AJ171" s="2"/>
    </row>
    <row r="172" spans="1:3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15">
        <f t="shared" si="9"/>
        <v>28.45000000000012</v>
      </c>
      <c r="X172" s="16">
        <f t="shared" si="0"/>
        <v>0</v>
      </c>
      <c r="Y172" s="16">
        <f t="shared" si="1"/>
        <v>1.5295539881843618E-145</v>
      </c>
      <c r="Z172" s="16">
        <f t="shared" si="2"/>
        <v>0.94183003721006542</v>
      </c>
      <c r="AA172" s="16">
        <f t="shared" si="3"/>
        <v>0</v>
      </c>
      <c r="AB172" s="16">
        <f t="shared" si="4"/>
        <v>1.2181184052846157E-258</v>
      </c>
      <c r="AC172" s="16">
        <f t="shared" si="5"/>
        <v>1.3584889511383312E-5</v>
      </c>
      <c r="AD172" s="2"/>
      <c r="AE172" s="16">
        <v>0.94183003721006531</v>
      </c>
      <c r="AF172" s="16">
        <f t="shared" si="6"/>
        <v>8.1748807721845049E-2</v>
      </c>
      <c r="AG172" s="16">
        <f t="shared" si="7"/>
        <v>5.2123975595644622E-3</v>
      </c>
      <c r="AH172" s="16">
        <f t="shared" si="8"/>
        <v>3.6740908937563126E-4</v>
      </c>
      <c r="AI172" s="16">
        <v>1.3584889511383312E-5</v>
      </c>
      <c r="AJ172" s="2"/>
    </row>
    <row r="173" spans="1:3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12">
        <f t="shared" si="9"/>
        <v>28.500000000000121</v>
      </c>
      <c r="X173" s="13">
        <f t="shared" si="0"/>
        <v>0</v>
      </c>
      <c r="Y173" s="13">
        <f t="shared" si="1"/>
        <v>1.1413166425971973E-140</v>
      </c>
      <c r="Z173" s="13">
        <f t="shared" si="2"/>
        <v>1.4753198664207257</v>
      </c>
      <c r="AA173" s="13">
        <f t="shared" si="3"/>
        <v>0</v>
      </c>
      <c r="AB173" s="13">
        <f t="shared" si="4"/>
        <v>3.2939686282066293E-252</v>
      </c>
      <c r="AC173" s="13">
        <f t="shared" si="5"/>
        <v>2.4566161844430966E-5</v>
      </c>
      <c r="AD173" s="2"/>
      <c r="AE173" s="13">
        <v>1.4753198664207257</v>
      </c>
      <c r="AF173" s="13">
        <f t="shared" si="6"/>
        <v>0.13264210172193458</v>
      </c>
      <c r="AG173" s="13">
        <f t="shared" si="7"/>
        <v>8.7644602526266713E-3</v>
      </c>
      <c r="AH173" s="13">
        <f t="shared" si="8"/>
        <v>6.4051615963672706E-4</v>
      </c>
      <c r="AI173" s="13">
        <v>2.4566161844430966E-5</v>
      </c>
      <c r="AJ173" s="2"/>
    </row>
    <row r="174" spans="1:3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5">
        <f t="shared" si="9"/>
        <v>28.550000000000122</v>
      </c>
      <c r="X174" s="16">
        <f t="shared" si="0"/>
        <v>0</v>
      </c>
      <c r="Y174" s="16">
        <f t="shared" si="1"/>
        <v>7.0896250794456105E-136</v>
      </c>
      <c r="Z174" s="16">
        <f t="shared" si="2"/>
        <v>2.2941133667233902</v>
      </c>
      <c r="AA174" s="16">
        <f t="shared" si="3"/>
        <v>0</v>
      </c>
      <c r="AB174" s="16">
        <f t="shared" si="4"/>
        <v>7.4220331601378961E-246</v>
      </c>
      <c r="AC174" s="16">
        <f t="shared" si="5"/>
        <v>4.4101102426208232E-5</v>
      </c>
      <c r="AD174" s="2"/>
      <c r="AE174" s="16">
        <v>2.2941133667233902</v>
      </c>
      <c r="AF174" s="16">
        <f t="shared" si="6"/>
        <v>0.21364869067932429</v>
      </c>
      <c r="AG174" s="16">
        <f t="shared" si="7"/>
        <v>1.4629706815520054E-2</v>
      </c>
      <c r="AH174" s="16">
        <f t="shared" si="8"/>
        <v>1.1085036075190288E-3</v>
      </c>
      <c r="AI174" s="16">
        <v>4.4101102426208232E-5</v>
      </c>
      <c r="AJ174" s="2"/>
    </row>
    <row r="175" spans="1:3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2">
        <f t="shared" si="9"/>
        <v>28.600000000000122</v>
      </c>
      <c r="X175" s="13">
        <f t="shared" si="0"/>
        <v>0</v>
      </c>
      <c r="Y175" s="13">
        <f t="shared" si="1"/>
        <v>3.666200119715896E-131</v>
      </c>
      <c r="Z175" s="13">
        <f t="shared" si="2"/>
        <v>3.5412663386596304</v>
      </c>
      <c r="AA175" s="13">
        <f t="shared" si="3"/>
        <v>0</v>
      </c>
      <c r="AB175" s="13">
        <f t="shared" si="4"/>
        <v>1.3934769858031937E-239</v>
      </c>
      <c r="AC175" s="13">
        <f t="shared" si="5"/>
        <v>7.859456640859906E-5</v>
      </c>
      <c r="AD175" s="2"/>
      <c r="AE175" s="13">
        <v>3.5412663386596304</v>
      </c>
      <c r="AF175" s="13">
        <f t="shared" si="6"/>
        <v>0.34161580099884964</v>
      </c>
      <c r="AG175" s="13">
        <f t="shared" si="7"/>
        <v>2.4242023825004736E-2</v>
      </c>
      <c r="AH175" s="13">
        <f t="shared" si="8"/>
        <v>1.9044560531426423E-3</v>
      </c>
      <c r="AI175" s="13">
        <v>7.859456640859906E-5</v>
      </c>
      <c r="AJ175" s="2"/>
    </row>
    <row r="176" spans="1:3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15">
        <f t="shared" si="9"/>
        <v>28.650000000000123</v>
      </c>
      <c r="X176" s="16">
        <f t="shared" si="0"/>
        <v>0</v>
      </c>
      <c r="Y176" s="16">
        <f t="shared" si="1"/>
        <v>1.5782828774159599E-126</v>
      </c>
      <c r="Z176" s="16">
        <f t="shared" si="2"/>
        <v>5.4264691504593259</v>
      </c>
      <c r="AA176" s="16">
        <f t="shared" si="3"/>
        <v>0</v>
      </c>
      <c r="AB176" s="16">
        <f t="shared" si="4"/>
        <v>2.1799683529074451E-233</v>
      </c>
      <c r="AC176" s="16">
        <f t="shared" si="5"/>
        <v>1.3904857353692877E-4</v>
      </c>
      <c r="AD176" s="2"/>
      <c r="AE176" s="16">
        <v>5.4264691504593259</v>
      </c>
      <c r="AF176" s="16">
        <f t="shared" si="6"/>
        <v>0.54224372933296339</v>
      </c>
      <c r="AG176" s="16">
        <f t="shared" si="7"/>
        <v>3.9877224984257255E-2</v>
      </c>
      <c r="AH176" s="16">
        <f t="shared" si="8"/>
        <v>3.2481167033821955E-3</v>
      </c>
      <c r="AI176" s="16">
        <v>1.3904857353692877E-4</v>
      </c>
      <c r="AJ176" s="2"/>
    </row>
    <row r="177" spans="1:3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12">
        <f t="shared" si="9"/>
        <v>28.700000000000124</v>
      </c>
      <c r="X177" s="13">
        <f t="shared" si="0"/>
        <v>0</v>
      </c>
      <c r="Y177" s="13">
        <f t="shared" si="1"/>
        <v>5.6562591882995749E-122</v>
      </c>
      <c r="Z177" s="13">
        <f t="shared" si="2"/>
        <v>8.25450655352879</v>
      </c>
      <c r="AA177" s="13">
        <f t="shared" si="3"/>
        <v>0</v>
      </c>
      <c r="AB177" s="13">
        <f t="shared" si="4"/>
        <v>2.8416727045122481E-227</v>
      </c>
      <c r="AC177" s="13">
        <f t="shared" si="5"/>
        <v>2.442145260873766E-4</v>
      </c>
      <c r="AD177" s="2"/>
      <c r="AE177" s="13">
        <v>8.25450655352879</v>
      </c>
      <c r="AF177" s="13">
        <f t="shared" si="6"/>
        <v>0.85441723501654687</v>
      </c>
      <c r="AG177" s="13">
        <f t="shared" si="7"/>
        <v>6.511840993399183E-2</v>
      </c>
      <c r="AH177" s="13">
        <f t="shared" si="8"/>
        <v>5.4994482431927052E-3</v>
      </c>
      <c r="AI177" s="13">
        <v>2.442145260873766E-4</v>
      </c>
      <c r="AJ177" s="2"/>
    </row>
    <row r="178" spans="1:3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15">
        <f t="shared" si="9"/>
        <v>28.750000000000124</v>
      </c>
      <c r="X178" s="16">
        <f t="shared" si="0"/>
        <v>0</v>
      </c>
      <c r="Y178" s="16">
        <f t="shared" si="1"/>
        <v>1.6875223698392703E-117</v>
      </c>
      <c r="Z178" s="16">
        <f t="shared" si="2"/>
        <v>12.46464534614514</v>
      </c>
      <c r="AA178" s="16">
        <f t="shared" si="3"/>
        <v>0</v>
      </c>
      <c r="AB178" s="16">
        <f t="shared" si="4"/>
        <v>3.0865363847471765E-221</v>
      </c>
      <c r="AC178" s="16">
        <f t="shared" si="5"/>
        <v>4.2580169546622943E-4</v>
      </c>
      <c r="AD178" s="2"/>
      <c r="AE178" s="16">
        <v>12.46464534614514</v>
      </c>
      <c r="AF178" s="16">
        <f t="shared" si="6"/>
        <v>1.3364857595360853</v>
      </c>
      <c r="AG178" s="16">
        <f t="shared" si="7"/>
        <v>0.10556147504173344</v>
      </c>
      <c r="AH178" s="16">
        <f t="shared" si="8"/>
        <v>9.243435993163138E-3</v>
      </c>
      <c r="AI178" s="16">
        <v>4.2580169546622943E-4</v>
      </c>
      <c r="AJ178" s="2"/>
    </row>
    <row r="179" spans="1:3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12">
        <f t="shared" si="9"/>
        <v>28.800000000000125</v>
      </c>
      <c r="X179" s="13">
        <f t="shared" si="0"/>
        <v>0</v>
      </c>
      <c r="Y179" s="13">
        <f t="shared" si="1"/>
        <v>4.1912691862827326E-113</v>
      </c>
      <c r="Z179" s="13">
        <f t="shared" si="2"/>
        <v>18.68459835908342</v>
      </c>
      <c r="AA179" s="13">
        <f t="shared" si="3"/>
        <v>0</v>
      </c>
      <c r="AB179" s="13">
        <f t="shared" si="4"/>
        <v>2.7934585039908781E-215</v>
      </c>
      <c r="AC179" s="13">
        <f t="shared" si="5"/>
        <v>7.370114234302173E-4</v>
      </c>
      <c r="AD179" s="2"/>
      <c r="AE179" s="13">
        <v>18.68459835908342</v>
      </c>
      <c r="AF179" s="13">
        <f t="shared" si="6"/>
        <v>2.075284033062101</v>
      </c>
      <c r="AG179" s="13">
        <f t="shared" si="7"/>
        <v>0.16987517486593801</v>
      </c>
      <c r="AH179" s="13">
        <f t="shared" si="8"/>
        <v>1.5423203263899902E-2</v>
      </c>
      <c r="AI179" s="13">
        <v>7.370114234302173E-4</v>
      </c>
      <c r="AJ179" s="2"/>
    </row>
    <row r="180" spans="1:3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15">
        <f t="shared" si="9"/>
        <v>28.850000000000126</v>
      </c>
      <c r="X180" s="16">
        <f t="shared" si="0"/>
        <v>0</v>
      </c>
      <c r="Y180" s="16">
        <f t="shared" si="1"/>
        <v>8.6659733645034658E-109</v>
      </c>
      <c r="Z180" s="16">
        <f t="shared" si="2"/>
        <v>27.803702863342284</v>
      </c>
      <c r="AA180" s="16">
        <f t="shared" si="3"/>
        <v>0</v>
      </c>
      <c r="AB180" s="16">
        <f t="shared" si="4"/>
        <v>2.1066215683054981E-209</v>
      </c>
      <c r="AC180" s="16">
        <f t="shared" si="5"/>
        <v>1.2664031771305413E-3</v>
      </c>
      <c r="AD180" s="2"/>
      <c r="AE180" s="16">
        <v>27.803702863342284</v>
      </c>
      <c r="AF180" s="16">
        <f t="shared" si="6"/>
        <v>3.1989660229121322</v>
      </c>
      <c r="AG180" s="16">
        <f t="shared" si="7"/>
        <v>0.27137959338328532</v>
      </c>
      <c r="AH180" s="16">
        <f t="shared" si="8"/>
        <v>2.5547155475699638E-2</v>
      </c>
      <c r="AI180" s="16">
        <v>1.2664031771305413E-3</v>
      </c>
      <c r="AJ180" s="2"/>
    </row>
    <row r="181" spans="1:3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12">
        <f t="shared" si="9"/>
        <v>28.900000000000126</v>
      </c>
      <c r="X181" s="13">
        <f t="shared" si="0"/>
        <v>0</v>
      </c>
      <c r="Y181" s="13">
        <f t="shared" si="1"/>
        <v>1.4916431039093521E-104</v>
      </c>
      <c r="Z181" s="13">
        <f t="shared" si="2"/>
        <v>41.071119569374481</v>
      </c>
      <c r="AA181" s="13">
        <f t="shared" si="3"/>
        <v>0</v>
      </c>
      <c r="AB181" s="13">
        <f t="shared" si="4"/>
        <v>1.323744920352113E-203</v>
      </c>
      <c r="AC181" s="13">
        <f t="shared" si="5"/>
        <v>2.1602335296724952E-3</v>
      </c>
      <c r="AD181" s="2"/>
      <c r="AE181" s="13">
        <v>41.071119569374488</v>
      </c>
      <c r="AF181" s="13">
        <f t="shared" si="6"/>
        <v>4.8950889019170498</v>
      </c>
      <c r="AG181" s="13">
        <f t="shared" si="7"/>
        <v>0.43037522421616342</v>
      </c>
      <c r="AH181" s="13">
        <f t="shared" si="8"/>
        <v>4.2008516469671402E-2</v>
      </c>
      <c r="AI181" s="13">
        <v>2.1602335296724948E-3</v>
      </c>
      <c r="AJ181" s="2"/>
    </row>
    <row r="182" spans="1:3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15">
        <f t="shared" si="9"/>
        <v>28.950000000000127</v>
      </c>
      <c r="X182" s="16">
        <f t="shared" si="0"/>
        <v>0</v>
      </c>
      <c r="Y182" s="16">
        <f t="shared" si="1"/>
        <v>2.1374121749489653E-100</v>
      </c>
      <c r="Z182" s="16">
        <f t="shared" si="2"/>
        <v>60.226201902227302</v>
      </c>
      <c r="AA182" s="16">
        <f t="shared" si="3"/>
        <v>0</v>
      </c>
      <c r="AB182" s="16">
        <f t="shared" si="4"/>
        <v>6.9309946754103715E-198</v>
      </c>
      <c r="AC182" s="16">
        <f t="shared" si="5"/>
        <v>3.6581402585851557E-3</v>
      </c>
      <c r="AD182" s="2"/>
      <c r="AE182" s="16">
        <v>60.226201902227302</v>
      </c>
      <c r="AF182" s="16">
        <f t="shared" si="6"/>
        <v>7.4358464585849564</v>
      </c>
      <c r="AG182" s="16">
        <f t="shared" si="7"/>
        <v>0.67754811359001232</v>
      </c>
      <c r="AH182" s="16">
        <f t="shared" si="8"/>
        <v>6.8573917909939497E-2</v>
      </c>
      <c r="AI182" s="16">
        <v>3.6581402585851557E-3</v>
      </c>
      <c r="AJ182" s="2"/>
    </row>
    <row r="183" spans="1:3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12">
        <f t="shared" si="9"/>
        <v>29.000000000000128</v>
      </c>
      <c r="X183" s="13">
        <f t="shared" si="0"/>
        <v>0</v>
      </c>
      <c r="Y183" s="13">
        <f t="shared" si="1"/>
        <v>2.5496901869212279E-96</v>
      </c>
      <c r="Z183" s="13">
        <f t="shared" si="2"/>
        <v>87.6696839830784</v>
      </c>
      <c r="AA183" s="13">
        <f t="shared" si="3"/>
        <v>0</v>
      </c>
      <c r="AB183" s="13">
        <f t="shared" si="4"/>
        <v>3.0238504058152525E-192</v>
      </c>
      <c r="AC183" s="13">
        <f t="shared" si="5"/>
        <v>6.149657693395069E-3</v>
      </c>
      <c r="AD183" s="2"/>
      <c r="AE183" s="13">
        <v>87.6696839830784</v>
      </c>
      <c r="AF183" s="13">
        <f t="shared" si="6"/>
        <v>11.212930157259244</v>
      </c>
      <c r="AG183" s="13">
        <f t="shared" si="7"/>
        <v>1.0589021324606454</v>
      </c>
      <c r="AH183" s="13">
        <f t="shared" si="8"/>
        <v>0.11112388249042283</v>
      </c>
      <c r="AI183" s="13">
        <v>6.149657693395069E-3</v>
      </c>
      <c r="AJ183" s="2"/>
    </row>
    <row r="184" spans="1:3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15">
        <f t="shared" si="9"/>
        <v>29.050000000000129</v>
      </c>
      <c r="X184" s="16">
        <f t="shared" si="0"/>
        <v>0</v>
      </c>
      <c r="Y184" s="16">
        <f t="shared" si="1"/>
        <v>2.5319919787842244E-92</v>
      </c>
      <c r="Z184" s="16">
        <f t="shared" si="2"/>
        <v>126.68594565996837</v>
      </c>
      <c r="AA184" s="16">
        <f t="shared" si="3"/>
        <v>0</v>
      </c>
      <c r="AB184" s="16">
        <f t="shared" si="4"/>
        <v>1.0992551717135602E-186</v>
      </c>
      <c r="AC184" s="16">
        <f t="shared" si="5"/>
        <v>1.0262956096441863E-2</v>
      </c>
      <c r="AD184" s="2"/>
      <c r="AE184" s="16">
        <v>126.68594565996837</v>
      </c>
      <c r="AF184" s="16">
        <f t="shared" si="6"/>
        <v>16.785206718340998</v>
      </c>
      <c r="AG184" s="16">
        <f t="shared" si="7"/>
        <v>1.6428363713200411</v>
      </c>
      <c r="AH184" s="16">
        <f t="shared" si="8"/>
        <v>0.17876507470911771</v>
      </c>
      <c r="AI184" s="16">
        <v>1.0262956096441863E-2</v>
      </c>
      <c r="AJ184" s="2"/>
    </row>
    <row r="185" spans="1:3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12">
        <f t="shared" si="9"/>
        <v>29.100000000000129</v>
      </c>
      <c r="X185" s="13">
        <f t="shared" si="0"/>
        <v>0</v>
      </c>
      <c r="Y185" s="13">
        <f t="shared" si="1"/>
        <v>2.0932110465855782E-88</v>
      </c>
      <c r="Z185" s="13">
        <f t="shared" si="2"/>
        <v>181.72825872535276</v>
      </c>
      <c r="AA185" s="13">
        <f t="shared" si="3"/>
        <v>0</v>
      </c>
      <c r="AB185" s="13">
        <f t="shared" si="4"/>
        <v>3.3297391408714423E-181</v>
      </c>
      <c r="AC185" s="13">
        <f t="shared" si="5"/>
        <v>1.700297588245387E-2</v>
      </c>
      <c r="AD185" s="2"/>
      <c r="AE185" s="13">
        <v>181.72825872535279</v>
      </c>
      <c r="AF185" s="13">
        <f t="shared" si="6"/>
        <v>24.943256051262718</v>
      </c>
      <c r="AG185" s="13">
        <f t="shared" si="7"/>
        <v>2.5302043590258876</v>
      </c>
      <c r="AH185" s="13">
        <f t="shared" si="8"/>
        <v>0.2854859685187332</v>
      </c>
      <c r="AI185" s="13">
        <v>1.7002975882453874E-2</v>
      </c>
      <c r="AJ185" s="2"/>
    </row>
    <row r="186" spans="1:3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15">
        <f t="shared" si="9"/>
        <v>29.15000000000013</v>
      </c>
      <c r="X186" s="16">
        <f t="shared" si="0"/>
        <v>0</v>
      </c>
      <c r="Y186" s="16">
        <f t="shared" si="1"/>
        <v>1.4405869951558963E-84</v>
      </c>
      <c r="Z186" s="16">
        <f t="shared" si="2"/>
        <v>258.78048601728244</v>
      </c>
      <c r="AA186" s="16">
        <f t="shared" si="3"/>
        <v>0</v>
      </c>
      <c r="AB186" s="16">
        <f t="shared" si="4"/>
        <v>8.4041807315479355E-176</v>
      </c>
      <c r="AC186" s="16">
        <f t="shared" si="5"/>
        <v>2.7964582874475528E-2</v>
      </c>
      <c r="AD186" s="2"/>
      <c r="AE186" s="16">
        <v>258.78048601728244</v>
      </c>
      <c r="AF186" s="16">
        <f t="shared" si="6"/>
        <v>36.795818611254035</v>
      </c>
      <c r="AG186" s="16">
        <f t="shared" si="7"/>
        <v>3.8684741028343126</v>
      </c>
      <c r="AH186" s="16">
        <f t="shared" si="8"/>
        <v>0.45259909960751898</v>
      </c>
      <c r="AI186" s="16">
        <v>2.7964582874475528E-2</v>
      </c>
      <c r="AJ186" s="2"/>
    </row>
    <row r="187" spans="1:3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12">
        <f t="shared" si="9"/>
        <v>29.200000000000131</v>
      </c>
      <c r="X187" s="13">
        <f t="shared" si="0"/>
        <v>0</v>
      </c>
      <c r="Y187" s="13">
        <f t="shared" si="1"/>
        <v>8.2535681418091547E-81</v>
      </c>
      <c r="Z187" s="13">
        <f t="shared" si="2"/>
        <v>365.8100343651148</v>
      </c>
      <c r="AA187" s="13">
        <f t="shared" si="3"/>
        <v>0</v>
      </c>
      <c r="AB187" s="13">
        <f t="shared" si="4"/>
        <v>1.7674780690258486E-170</v>
      </c>
      <c r="AC187" s="13">
        <f t="shared" si="5"/>
        <v>4.5658610601012548E-2</v>
      </c>
      <c r="AD187" s="2"/>
      <c r="AE187" s="13">
        <v>365.8100343651148</v>
      </c>
      <c r="AF187" s="13">
        <f t="shared" si="6"/>
        <v>53.884352343928192</v>
      </c>
      <c r="AG187" s="13">
        <f t="shared" si="7"/>
        <v>5.8714665638254235</v>
      </c>
      <c r="AH187" s="13">
        <f t="shared" si="8"/>
        <v>0.71231063471733724</v>
      </c>
      <c r="AI187" s="13">
        <v>4.5658610601012548E-2</v>
      </c>
      <c r="AJ187" s="2"/>
    </row>
    <row r="188" spans="1:3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15">
        <f t="shared" si="9"/>
        <v>29.250000000000131</v>
      </c>
      <c r="X188" s="16">
        <f t="shared" si="0"/>
        <v>0</v>
      </c>
      <c r="Y188" s="16">
        <f t="shared" si="1"/>
        <v>3.936586256465528E-77</v>
      </c>
      <c r="Z188" s="16">
        <f t="shared" si="2"/>
        <v>513.3277417610966</v>
      </c>
      <c r="AA188" s="16">
        <f t="shared" si="3"/>
        <v>0</v>
      </c>
      <c r="AB188" s="16">
        <f t="shared" si="4"/>
        <v>3.0973206110612448E-165</v>
      </c>
      <c r="AC188" s="16">
        <f t="shared" si="5"/>
        <v>7.4006178156258179E-2</v>
      </c>
      <c r="AD188" s="2"/>
      <c r="AE188" s="16">
        <v>513.3277417610966</v>
      </c>
      <c r="AF188" s="16">
        <f t="shared" si="6"/>
        <v>78.333176651954048</v>
      </c>
      <c r="AG188" s="16">
        <f t="shared" si="7"/>
        <v>8.8465980270868112</v>
      </c>
      <c r="AH188" s="16">
        <f t="shared" si="8"/>
        <v>1.1128893744758452</v>
      </c>
      <c r="AI188" s="16">
        <v>7.4006178156258179E-2</v>
      </c>
      <c r="AJ188" s="2"/>
    </row>
    <row r="189" spans="1:3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12">
        <f t="shared" si="9"/>
        <v>29.300000000000132</v>
      </c>
      <c r="X189" s="13">
        <f t="shared" si="0"/>
        <v>0</v>
      </c>
      <c r="Y189" s="13">
        <f t="shared" si="1"/>
        <v>1.5630525600009893E-73</v>
      </c>
      <c r="Z189" s="13">
        <f t="shared" si="2"/>
        <v>715.07054303293614</v>
      </c>
      <c r="AA189" s="13">
        <f t="shared" si="3"/>
        <v>0</v>
      </c>
      <c r="AB189" s="13">
        <f t="shared" si="4"/>
        <v>4.5226373987681906E-160</v>
      </c>
      <c r="AC189" s="13">
        <f t="shared" si="5"/>
        <v>0.11908147383585853</v>
      </c>
      <c r="AD189" s="2"/>
      <c r="AE189" s="13">
        <v>715.07054303293614</v>
      </c>
      <c r="AF189" s="13">
        <f t="shared" si="6"/>
        <v>113.04404365555759</v>
      </c>
      <c r="AG189" s="13">
        <f t="shared" si="7"/>
        <v>13.232100789583619</v>
      </c>
      <c r="AH189" s="13">
        <f t="shared" si="8"/>
        <v>1.7260818596118497</v>
      </c>
      <c r="AI189" s="13">
        <v>0.11908147383585853</v>
      </c>
      <c r="AJ189" s="2"/>
    </row>
    <row r="190" spans="1:3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15">
        <f t="shared" si="9"/>
        <v>29.350000000000133</v>
      </c>
      <c r="X190" s="16">
        <f t="shared" si="0"/>
        <v>8.8913527774565522E-298</v>
      </c>
      <c r="Y190" s="16">
        <f t="shared" si="1"/>
        <v>5.166580156964408E-70</v>
      </c>
      <c r="Z190" s="16">
        <f t="shared" si="2"/>
        <v>988.82188869407059</v>
      </c>
      <c r="AA190" s="16">
        <f t="shared" si="3"/>
        <v>0</v>
      </c>
      <c r="AB190" s="16">
        <f t="shared" si="4"/>
        <v>5.5026368879868268E-155</v>
      </c>
      <c r="AC190" s="16">
        <f t="shared" si="5"/>
        <v>0.19021789202637904</v>
      </c>
      <c r="AD190" s="2"/>
      <c r="AE190" s="16">
        <v>988.82188869407059</v>
      </c>
      <c r="AF190" s="16">
        <f t="shared" si="6"/>
        <v>161.94535763731537</v>
      </c>
      <c r="AG190" s="16">
        <f t="shared" si="7"/>
        <v>19.64735581301402</v>
      </c>
      <c r="AH190" s="16">
        <f t="shared" si="8"/>
        <v>2.657648896938317</v>
      </c>
      <c r="AI190" s="16">
        <v>0.19021789202637904</v>
      </c>
      <c r="AJ190" s="2"/>
    </row>
    <row r="191" spans="1:3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12">
        <f t="shared" si="9"/>
        <v>29.400000000000134</v>
      </c>
      <c r="X191" s="13">
        <f t="shared" si="0"/>
        <v>5.0978765902457685E-284</v>
      </c>
      <c r="Y191" s="13">
        <f t="shared" si="1"/>
        <v>1.4217018895730291E-66</v>
      </c>
      <c r="Z191" s="13">
        <f t="shared" si="2"/>
        <v>1357.3826264092777</v>
      </c>
      <c r="AA191" s="13">
        <f t="shared" si="3"/>
        <v>0</v>
      </c>
      <c r="AB191" s="13">
        <f t="shared" si="4"/>
        <v>5.5785768350342325E-150</v>
      </c>
      <c r="AC191" s="13">
        <f t="shared" si="5"/>
        <v>0.3016403715859608</v>
      </c>
      <c r="AD191" s="2"/>
      <c r="AE191" s="13">
        <v>1357.3826264092777</v>
      </c>
      <c r="AF191" s="13">
        <f t="shared" si="6"/>
        <v>230.30756063098815</v>
      </c>
      <c r="AG191" s="13">
        <f t="shared" si="7"/>
        <v>28.960244507716073</v>
      </c>
      <c r="AH191" s="13">
        <f t="shared" si="8"/>
        <v>4.06219388133173</v>
      </c>
      <c r="AI191" s="13">
        <v>0.30164037158596074</v>
      </c>
      <c r="AJ191" s="2"/>
    </row>
    <row r="192" spans="1:3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5">
        <f t="shared" si="9"/>
        <v>29.450000000000134</v>
      </c>
      <c r="X192" s="16">
        <f t="shared" si="0"/>
        <v>1.4038280359349332E-270</v>
      </c>
      <c r="Y192" s="16">
        <f t="shared" si="1"/>
        <v>3.2567894989293427E-63</v>
      </c>
      <c r="Z192" s="16">
        <f t="shared" si="2"/>
        <v>1849.7010033928425</v>
      </c>
      <c r="AA192" s="16">
        <f t="shared" si="3"/>
        <v>0</v>
      </c>
      <c r="AB192" s="16">
        <f t="shared" si="4"/>
        <v>4.7124793628875882E-145</v>
      </c>
      <c r="AC192" s="16">
        <f t="shared" si="5"/>
        <v>0.47485225944397086</v>
      </c>
      <c r="AD192" s="2"/>
      <c r="AE192" s="16">
        <v>1849.7010033928425</v>
      </c>
      <c r="AF192" s="16">
        <f t="shared" si="6"/>
        <v>325.13727493446117</v>
      </c>
      <c r="AG192" s="16">
        <f t="shared" si="7"/>
        <v>42.376310502380825</v>
      </c>
      <c r="AH192" s="16">
        <f t="shared" si="8"/>
        <v>6.163828046351604</v>
      </c>
      <c r="AI192" s="16">
        <v>0.47485225944397086</v>
      </c>
      <c r="AJ192" s="2"/>
    </row>
    <row r="193" spans="1:3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12">
        <f t="shared" si="9"/>
        <v>29.500000000000135</v>
      </c>
      <c r="X193" s="13">
        <f t="shared" si="0"/>
        <v>1.8566995101059633E-257</v>
      </c>
      <c r="Y193" s="13">
        <f t="shared" si="1"/>
        <v>6.2107867366890999E-60</v>
      </c>
      <c r="Z193" s="13">
        <f t="shared" si="2"/>
        <v>2502.1642183174449</v>
      </c>
      <c r="AA193" s="13">
        <f t="shared" si="3"/>
        <v>0</v>
      </c>
      <c r="AB193" s="13">
        <f t="shared" si="4"/>
        <v>3.3170268115386014E-140</v>
      </c>
      <c r="AC193" s="13">
        <f t="shared" si="5"/>
        <v>0.74209326421571853</v>
      </c>
      <c r="AD193" s="2"/>
      <c r="AE193" s="13">
        <v>2502.1642183174449</v>
      </c>
      <c r="AF193" s="13">
        <f t="shared" si="6"/>
        <v>455.6634574679104</v>
      </c>
      <c r="AG193" s="13">
        <f t="shared" si="7"/>
        <v>61.555500090309678</v>
      </c>
      <c r="AH193" s="13">
        <f t="shared" si="8"/>
        <v>9.2846856905557935</v>
      </c>
      <c r="AI193" s="13">
        <v>0.74209326421571853</v>
      </c>
      <c r="AJ193" s="2"/>
    </row>
    <row r="194" spans="1:3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15">
        <f t="shared" si="9"/>
        <v>29.550000000000136</v>
      </c>
      <c r="X194" s="16">
        <f t="shared" si="0"/>
        <v>1.1794307645939204E-244</v>
      </c>
      <c r="Y194" s="16">
        <f t="shared" si="1"/>
        <v>9.8600546973909452E-57</v>
      </c>
      <c r="Z194" s="16">
        <f t="shared" si="2"/>
        <v>3360.0451838038948</v>
      </c>
      <c r="AA194" s="16">
        <f t="shared" si="3"/>
        <v>0</v>
      </c>
      <c r="AB194" s="16">
        <f t="shared" si="4"/>
        <v>1.9454585444216386E-135</v>
      </c>
      <c r="AC194" s="16">
        <f t="shared" si="5"/>
        <v>1.1513023989338158</v>
      </c>
      <c r="AD194" s="2"/>
      <c r="AE194" s="16">
        <v>3360.0451838038948</v>
      </c>
      <c r="AF194" s="16">
        <f t="shared" si="6"/>
        <v>633.92884646023197</v>
      </c>
      <c r="AG194" s="16">
        <f t="shared" si="7"/>
        <v>88.763289756756905</v>
      </c>
      <c r="AH194" s="16">
        <f t="shared" si="8"/>
        <v>13.883875896958637</v>
      </c>
      <c r="AI194" s="16">
        <v>1.1513023989338158</v>
      </c>
      <c r="AJ194" s="2"/>
    </row>
    <row r="195" spans="1:3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12">
        <f t="shared" si="9"/>
        <v>29.600000000000136</v>
      </c>
      <c r="X195" s="13">
        <f t="shared" si="0"/>
        <v>3.5983748156059461E-232</v>
      </c>
      <c r="Y195" s="13">
        <f t="shared" si="1"/>
        <v>1.3031302034656401E-53</v>
      </c>
      <c r="Z195" s="13">
        <f t="shared" si="2"/>
        <v>4479.0865764209557</v>
      </c>
      <c r="AA195" s="13">
        <f t="shared" si="3"/>
        <v>0</v>
      </c>
      <c r="AB195" s="13">
        <f t="shared" si="4"/>
        <v>9.507546501498842E-131</v>
      </c>
      <c r="AC195" s="13">
        <f t="shared" si="5"/>
        <v>1.7731736491003531</v>
      </c>
      <c r="AD195" s="2"/>
      <c r="AE195" s="13">
        <v>4479.0865764209557</v>
      </c>
      <c r="AF195" s="13">
        <f t="shared" si="6"/>
        <v>875.4990948060647</v>
      </c>
      <c r="AG195" s="13">
        <f t="shared" si="7"/>
        <v>127.06405750876986</v>
      </c>
      <c r="AH195" s="13">
        <f t="shared" si="8"/>
        <v>20.610145819465078</v>
      </c>
      <c r="AI195" s="13">
        <v>1.7731736491003531</v>
      </c>
      <c r="AJ195" s="2"/>
    </row>
    <row r="196" spans="1:3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5">
        <f t="shared" si="9"/>
        <v>29.650000000000137</v>
      </c>
      <c r="X196" s="16">
        <f t="shared" si="0"/>
        <v>5.2728262770908354E-220</v>
      </c>
      <c r="Y196" s="16">
        <f t="shared" si="1"/>
        <v>1.4337455300223912E-50</v>
      </c>
      <c r="Z196" s="16">
        <f t="shared" si="2"/>
        <v>5927.1897079849441</v>
      </c>
      <c r="AA196" s="16">
        <f t="shared" si="3"/>
        <v>0</v>
      </c>
      <c r="AB196" s="16">
        <f t="shared" si="4"/>
        <v>3.8715815709620183E-126</v>
      </c>
      <c r="AC196" s="16">
        <f t="shared" si="5"/>
        <v>2.7110908229185777</v>
      </c>
      <c r="AD196" s="2"/>
      <c r="AE196" s="16">
        <v>5927.189707984945</v>
      </c>
      <c r="AF196" s="16">
        <f t="shared" si="6"/>
        <v>1200.299877951446</v>
      </c>
      <c r="AG196" s="16">
        <f t="shared" si="7"/>
        <v>180.565532548037</v>
      </c>
      <c r="AH196" s="16">
        <f t="shared" si="8"/>
        <v>30.372338454013025</v>
      </c>
      <c r="AI196" s="16">
        <v>2.7110908229185773</v>
      </c>
      <c r="AJ196" s="2"/>
    </row>
    <row r="197" spans="1:3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2">
        <f t="shared" si="9"/>
        <v>29.700000000000138</v>
      </c>
      <c r="X197" s="13">
        <f t="shared" si="0"/>
        <v>3.7109375430402474E-208</v>
      </c>
      <c r="Y197" s="13">
        <f t="shared" si="1"/>
        <v>1.3132037747876809E-47</v>
      </c>
      <c r="Z197" s="13">
        <f t="shared" si="2"/>
        <v>7786.1583070294928</v>
      </c>
      <c r="AA197" s="13">
        <f t="shared" si="3"/>
        <v>0</v>
      </c>
      <c r="AB197" s="13">
        <f t="shared" si="4"/>
        <v>1.3136565874241484E-121</v>
      </c>
      <c r="AC197" s="13">
        <f t="shared" si="5"/>
        <v>4.1149807155196632</v>
      </c>
      <c r="AD197" s="2"/>
      <c r="AE197" s="13">
        <v>7786.1583070294928</v>
      </c>
      <c r="AF197" s="13">
        <f t="shared" si="6"/>
        <v>1633.5886077917962</v>
      </c>
      <c r="AG197" s="13">
        <f t="shared" si="7"/>
        <v>254.72395585998578</v>
      </c>
      <c r="AH197" s="13">
        <f t="shared" si="8"/>
        <v>44.432650639528916</v>
      </c>
      <c r="AI197" s="13">
        <v>4.1149807155196632</v>
      </c>
      <c r="AJ197" s="2"/>
    </row>
    <row r="198" spans="1:3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5">
        <f t="shared" si="9"/>
        <v>29.750000000000139</v>
      </c>
      <c r="X198" s="16">
        <f t="shared" si="0"/>
        <v>1.2543737145293829E-196</v>
      </c>
      <c r="Y198" s="16">
        <f t="shared" si="1"/>
        <v>1.0013086026272394E-44</v>
      </c>
      <c r="Z198" s="16">
        <f t="shared" si="2"/>
        <v>10153.42727494037</v>
      </c>
      <c r="AA198" s="16">
        <f t="shared" si="3"/>
        <v>0</v>
      </c>
      <c r="AB198" s="16">
        <f t="shared" si="4"/>
        <v>3.7140586741262091E-117</v>
      </c>
      <c r="AC198" s="16">
        <f t="shared" si="5"/>
        <v>6.2004395926018274</v>
      </c>
      <c r="AD198" s="2"/>
      <c r="AE198" s="16">
        <v>10153.42727494037</v>
      </c>
      <c r="AF198" s="16">
        <f t="shared" si="6"/>
        <v>2207.0618500845271</v>
      </c>
      <c r="AG198" s="16">
        <f t="shared" si="7"/>
        <v>356.7200598697338</v>
      </c>
      <c r="AH198" s="16">
        <f t="shared" si="8"/>
        <v>64.528718138795583</v>
      </c>
      <c r="AI198" s="16">
        <v>6.2004395926018274</v>
      </c>
      <c r="AJ198" s="2"/>
    </row>
    <row r="199" spans="1:3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2">
        <f t="shared" si="9"/>
        <v>29.800000000000139</v>
      </c>
      <c r="X199" s="13">
        <f t="shared" si="0"/>
        <v>2.0364481744714768E-185</v>
      </c>
      <c r="Y199" s="13">
        <f t="shared" si="1"/>
        <v>6.3559365302043966E-42</v>
      </c>
      <c r="Z199" s="13">
        <f t="shared" si="2"/>
        <v>13143.684526485129</v>
      </c>
      <c r="AA199" s="13">
        <f t="shared" si="3"/>
        <v>0</v>
      </c>
      <c r="AB199" s="13">
        <f t="shared" si="4"/>
        <v>8.7496191805167604E-113</v>
      </c>
      <c r="AC199" s="13">
        <f t="shared" si="5"/>
        <v>9.2748756658179694</v>
      </c>
      <c r="AD199" s="2"/>
      <c r="AE199" s="13">
        <v>13143.684526485129</v>
      </c>
      <c r="AF199" s="13">
        <f t="shared" si="6"/>
        <v>2960.0918369977931</v>
      </c>
      <c r="AG199" s="13">
        <f t="shared" si="7"/>
        <v>495.91595125724717</v>
      </c>
      <c r="AH199" s="13">
        <f t="shared" si="8"/>
        <v>93.03164039436237</v>
      </c>
      <c r="AI199" s="13">
        <v>9.2748756658179694</v>
      </c>
      <c r="AJ199" s="2"/>
    </row>
    <row r="200" spans="1:3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5">
        <f t="shared" si="9"/>
        <v>29.85000000000014</v>
      </c>
      <c r="X200" s="16">
        <f t="shared" si="0"/>
        <v>1.5878990809013261E-174</v>
      </c>
      <c r="Y200" s="16">
        <f t="shared" si="1"/>
        <v>3.358666909556119E-39</v>
      </c>
      <c r="Z200" s="16">
        <f t="shared" si="2"/>
        <v>16890.271164824797</v>
      </c>
      <c r="AA200" s="16">
        <f t="shared" si="3"/>
        <v>0</v>
      </c>
      <c r="AB200" s="16">
        <f t="shared" si="4"/>
        <v>1.7175248140833386E-108</v>
      </c>
      <c r="AC200" s="16">
        <f t="shared" si="5"/>
        <v>13.772876434554309</v>
      </c>
      <c r="AD200" s="2"/>
      <c r="AE200" s="16">
        <v>16890.271164824797</v>
      </c>
      <c r="AF200" s="16">
        <f t="shared" si="6"/>
        <v>3941.0753681963633</v>
      </c>
      <c r="AG200" s="16">
        <f t="shared" si="7"/>
        <v>684.40224761044203</v>
      </c>
      <c r="AH200" s="16">
        <f t="shared" si="8"/>
        <v>133.14815241368828</v>
      </c>
      <c r="AI200" s="16">
        <v>13.772876434554309</v>
      </c>
      <c r="AJ200" s="2"/>
    </row>
    <row r="201" spans="1:3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2">
        <f t="shared" si="9"/>
        <v>29.900000000000141</v>
      </c>
      <c r="X201" s="13">
        <f t="shared" si="0"/>
        <v>5.9466934335341183E-164</v>
      </c>
      <c r="Y201" s="13">
        <f t="shared" si="1"/>
        <v>1.4775088765770271E-36</v>
      </c>
      <c r="Z201" s="13">
        <f t="shared" si="2"/>
        <v>21546.222906867268</v>
      </c>
      <c r="AA201" s="13">
        <f t="shared" si="3"/>
        <v>0</v>
      </c>
      <c r="AB201" s="13">
        <f t="shared" si="4"/>
        <v>2.8092498592653856E-104</v>
      </c>
      <c r="AC201" s="13">
        <f t="shared" si="5"/>
        <v>20.303557748516944</v>
      </c>
      <c r="AD201" s="2"/>
      <c r="AE201" s="13">
        <v>21546.222906867264</v>
      </c>
      <c r="AF201" s="13">
        <f t="shared" si="6"/>
        <v>5208.8658048790348</v>
      </c>
      <c r="AG201" s="13">
        <f t="shared" si="7"/>
        <v>937.64313976231108</v>
      </c>
      <c r="AH201" s="13">
        <f t="shared" si="8"/>
        <v>189.17617277411415</v>
      </c>
      <c r="AI201" s="13">
        <v>20.303557748516944</v>
      </c>
      <c r="AJ201" s="2"/>
    </row>
    <row r="202" spans="1:3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5">
        <f t="shared" si="9"/>
        <v>29.950000000000141</v>
      </c>
      <c r="X202" s="16">
        <f t="shared" si="0"/>
        <v>1.0696244474150357E-153</v>
      </c>
      <c r="Y202" s="16">
        <f t="shared" si="1"/>
        <v>5.4108941893544724E-34</v>
      </c>
      <c r="Z202" s="16">
        <f t="shared" si="2"/>
        <v>27284.795698084345</v>
      </c>
      <c r="AA202" s="16">
        <f t="shared" si="3"/>
        <v>0</v>
      </c>
      <c r="AB202" s="16">
        <f t="shared" si="4"/>
        <v>3.8286987247922664E-100</v>
      </c>
      <c r="AC202" s="16">
        <f t="shared" si="5"/>
        <v>29.713278809316989</v>
      </c>
      <c r="AD202" s="2"/>
      <c r="AE202" s="16">
        <v>27284.795698084345</v>
      </c>
      <c r="AF202" s="16">
        <f t="shared" si="6"/>
        <v>6834.2438584936353</v>
      </c>
      <c r="AG202" s="16">
        <f t="shared" si="7"/>
        <v>1275.2241765057302</v>
      </c>
      <c r="AH202" s="16">
        <f t="shared" si="8"/>
        <v>266.82379105896337</v>
      </c>
      <c r="AI202" s="16">
        <v>29.713278809316989</v>
      </c>
      <c r="AJ202" s="2"/>
    </row>
    <row r="203" spans="1:3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2">
        <f t="shared" si="9"/>
        <v>30.000000000000142</v>
      </c>
      <c r="X203" s="13">
        <f t="shared" si="0"/>
        <v>9.24038802901011E-144</v>
      </c>
      <c r="Y203" s="13">
        <f t="shared" si="1"/>
        <v>1.6496194303261003E-31</v>
      </c>
      <c r="Z203" s="13">
        <f t="shared" si="2"/>
        <v>34299.303026556736</v>
      </c>
      <c r="AA203" s="13">
        <f t="shared" si="3"/>
        <v>0</v>
      </c>
      <c r="AB203" s="13">
        <f t="shared" si="4"/>
        <v>4.3479595776210024E-96</v>
      </c>
      <c r="AC203" s="13">
        <f t="shared" si="5"/>
        <v>43.167803418615989</v>
      </c>
      <c r="AD203" s="2"/>
      <c r="AE203" s="13">
        <v>34299.303026556736</v>
      </c>
      <c r="AF203" s="13">
        <f t="shared" si="6"/>
        <v>8901.3657668609412</v>
      </c>
      <c r="AG203" s="13">
        <f t="shared" si="7"/>
        <v>1721.7032488918919</v>
      </c>
      <c r="AH203" s="13">
        <f t="shared" si="8"/>
        <v>373.60225646104652</v>
      </c>
      <c r="AI203" s="13">
        <v>43.167803418615982</v>
      </c>
      <c r="AJ203" s="2"/>
    </row>
    <row r="204" spans="1:3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5">
        <f t="shared" si="9"/>
        <v>30.050000000000143</v>
      </c>
      <c r="X204" s="16">
        <f t="shared" si="0"/>
        <v>3.8340009368851096E-134</v>
      </c>
      <c r="Y204" s="16">
        <f t="shared" si="1"/>
        <v>4.1867233527587628E-29</v>
      </c>
      <c r="Z204" s="16">
        <f t="shared" si="2"/>
        <v>42802.084019071342</v>
      </c>
      <c r="AA204" s="16">
        <f t="shared" si="3"/>
        <v>0</v>
      </c>
      <c r="AB204" s="16">
        <f t="shared" si="4"/>
        <v>4.1142746558356191E-92</v>
      </c>
      <c r="AC204" s="16">
        <f t="shared" si="5"/>
        <v>62.258730601603268</v>
      </c>
      <c r="AD204" s="2"/>
      <c r="AE204" s="16">
        <v>42802.084019071342</v>
      </c>
      <c r="AF204" s="16">
        <f t="shared" si="6"/>
        <v>11509.10882355877</v>
      </c>
      <c r="AG204" s="16">
        <f t="shared" si="7"/>
        <v>2307.5592668261479</v>
      </c>
      <c r="AH204" s="16">
        <f t="shared" si="8"/>
        <v>519.30350716410237</v>
      </c>
      <c r="AI204" s="16">
        <v>62.258730601603268</v>
      </c>
      <c r="AJ204" s="2"/>
    </row>
    <row r="205" spans="1:3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2">
        <f t="shared" si="9"/>
        <v>30.100000000000144</v>
      </c>
      <c r="X205" s="13">
        <f t="shared" si="0"/>
        <v>7.6404218553680601E-125</v>
      </c>
      <c r="Y205" s="13">
        <f t="shared" si="1"/>
        <v>8.8458698593945331E-27</v>
      </c>
      <c r="Z205" s="13">
        <f t="shared" si="2"/>
        <v>53022.422551798372</v>
      </c>
      <c r="AA205" s="13">
        <f t="shared" si="3"/>
        <v>0</v>
      </c>
      <c r="AB205" s="13">
        <f t="shared" si="4"/>
        <v>3.2439529109014648E-88</v>
      </c>
      <c r="AC205" s="13">
        <f t="shared" si="5"/>
        <v>89.13977058109181</v>
      </c>
      <c r="AD205" s="2"/>
      <c r="AE205" s="13">
        <v>53022.422551798372</v>
      </c>
      <c r="AF205" s="13">
        <f t="shared" si="6"/>
        <v>14772.214990694778</v>
      </c>
      <c r="AG205" s="13">
        <f t="shared" si="7"/>
        <v>3070.2252089828798</v>
      </c>
      <c r="AH205" s="13">
        <f t="shared" si="8"/>
        <v>716.57201884463132</v>
      </c>
      <c r="AI205" s="13">
        <v>89.139770581091824</v>
      </c>
      <c r="AJ205" s="2"/>
    </row>
    <row r="206" spans="1:3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5">
        <f t="shared" si="9"/>
        <v>30.150000000000144</v>
      </c>
      <c r="X206" s="16">
        <f t="shared" si="0"/>
        <v>7.312831715100226E-116</v>
      </c>
      <c r="Y206" s="16">
        <f t="shared" si="1"/>
        <v>1.5559033147538682E-24</v>
      </c>
      <c r="Z206" s="16">
        <f t="shared" si="2"/>
        <v>65203.250828895507</v>
      </c>
      <c r="AA206" s="16">
        <f t="shared" si="3"/>
        <v>0</v>
      </c>
      <c r="AB206" s="16">
        <f t="shared" si="4"/>
        <v>2.1312248956921198E-84</v>
      </c>
      <c r="AC206" s="16">
        <f t="shared" si="5"/>
        <v>126.69915008309498</v>
      </c>
      <c r="AD206" s="2"/>
      <c r="AE206" s="16">
        <v>65203.250828895507</v>
      </c>
      <c r="AF206" s="16">
        <f t="shared" si="6"/>
        <v>18822.114730808142</v>
      </c>
      <c r="AG206" s="16">
        <f t="shared" si="7"/>
        <v>4055.1825213476081</v>
      </c>
      <c r="AH206" s="16">
        <f t="shared" si="8"/>
        <v>981.57900412716651</v>
      </c>
      <c r="AI206" s="16">
        <v>126.69915008309495</v>
      </c>
      <c r="AJ206" s="2"/>
    </row>
    <row r="207" spans="1:3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2">
        <f t="shared" si="9"/>
        <v>30.200000000000145</v>
      </c>
      <c r="X207" s="13">
        <f t="shared" si="0"/>
        <v>3.3616843964988296E-107</v>
      </c>
      <c r="Y207" s="13">
        <f t="shared" si="1"/>
        <v>2.2782451046699403E-22</v>
      </c>
      <c r="Z207" s="13">
        <f t="shared" si="2"/>
        <v>79596.49834354069</v>
      </c>
      <c r="AA207" s="13">
        <f t="shared" si="3"/>
        <v>0</v>
      </c>
      <c r="AB207" s="13">
        <f t="shared" si="4"/>
        <v>1.1666954343946804E-80</v>
      </c>
      <c r="AC207" s="13">
        <f t="shared" si="5"/>
        <v>178.77501793719159</v>
      </c>
      <c r="AD207" s="2"/>
      <c r="AE207" s="13">
        <v>79596.498343540676</v>
      </c>
      <c r="AF207" s="13">
        <f t="shared" si="6"/>
        <v>23807.296824915727</v>
      </c>
      <c r="AG207" s="13">
        <f t="shared" si="7"/>
        <v>5317.0823092681376</v>
      </c>
      <c r="AH207" s="13">
        <f t="shared" si="8"/>
        <v>1334.8040014234728</v>
      </c>
      <c r="AI207" s="13">
        <v>178.77501793719159</v>
      </c>
      <c r="AJ207" s="2"/>
    </row>
    <row r="208" spans="1:3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5">
        <f t="shared" si="9"/>
        <v>30.250000000000146</v>
      </c>
      <c r="X208" s="16">
        <f t="shared" si="0"/>
        <v>7.422178845476597E-99</v>
      </c>
      <c r="Y208" s="16">
        <f t="shared" si="1"/>
        <v>2.7771162834406344E-20</v>
      </c>
      <c r="Z208" s="16">
        <f t="shared" si="2"/>
        <v>96456.99040274648</v>
      </c>
      <c r="AA208" s="16">
        <f t="shared" si="3"/>
        <v>0</v>
      </c>
      <c r="AB208" s="16">
        <f t="shared" si="4"/>
        <v>5.3218079062139168E-77</v>
      </c>
      <c r="AC208" s="16">
        <f t="shared" si="5"/>
        <v>250.42108802431207</v>
      </c>
      <c r="AD208" s="2"/>
      <c r="AE208" s="16">
        <v>96456.990402746495</v>
      </c>
      <c r="AF208" s="16">
        <f t="shared" si="6"/>
        <v>29893.077676808509</v>
      </c>
      <c r="AG208" s="16">
        <f t="shared" si="7"/>
        <v>6920.8456597382874</v>
      </c>
      <c r="AH208" s="16">
        <f t="shared" si="8"/>
        <v>1801.9243925049602</v>
      </c>
      <c r="AI208" s="16">
        <v>250.42108802431207</v>
      </c>
      <c r="AJ208" s="2"/>
    </row>
    <row r="209" spans="1:3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2">
        <f t="shared" si="9"/>
        <v>30.300000000000146</v>
      </c>
      <c r="X209" s="13">
        <f t="shared" si="0"/>
        <v>7.8706211672063729E-91</v>
      </c>
      <c r="Y209" s="13">
        <f t="shared" si="1"/>
        <v>2.8181458350800396E-18</v>
      </c>
      <c r="Z209" s="13">
        <f t="shared" si="2"/>
        <v>116034.86014050004</v>
      </c>
      <c r="AA209" s="13">
        <f t="shared" si="3"/>
        <v>0</v>
      </c>
      <c r="AB209" s="13">
        <f t="shared" si="4"/>
        <v>2.0227134801204485E-73</v>
      </c>
      <c r="AC209" s="13">
        <f t="shared" si="5"/>
        <v>348.22977729968261</v>
      </c>
      <c r="AD209" s="2"/>
      <c r="AE209" s="13">
        <v>116034.86014050004</v>
      </c>
      <c r="AF209" s="13">
        <f t="shared" si="6"/>
        <v>37260.617522646906</v>
      </c>
      <c r="AG209" s="13">
        <f t="shared" si="7"/>
        <v>8942.6812074636655</v>
      </c>
      <c r="AH209" s="13">
        <f t="shared" si="8"/>
        <v>2414.8071529130798</v>
      </c>
      <c r="AI209" s="13">
        <v>348.22977729968261</v>
      </c>
      <c r="AJ209" s="2"/>
    </row>
    <row r="210" spans="1:3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5">
        <f t="shared" si="9"/>
        <v>30.350000000000147</v>
      </c>
      <c r="X210" s="16">
        <f t="shared" si="0"/>
        <v>4.0085723007721498E-83</v>
      </c>
      <c r="Y210" s="16">
        <f t="shared" si="1"/>
        <v>2.3807217601055374E-16</v>
      </c>
      <c r="Z210" s="16">
        <f t="shared" si="2"/>
        <v>138566.51366356658</v>
      </c>
      <c r="AA210" s="16">
        <f t="shared" si="3"/>
        <v>2.0558511200448463E-296</v>
      </c>
      <c r="AB210" s="16">
        <f t="shared" si="4"/>
        <v>6.4059422850307203E-70</v>
      </c>
      <c r="AC210" s="16">
        <f t="shared" si="5"/>
        <v>480.71962388597944</v>
      </c>
      <c r="AD210" s="2"/>
      <c r="AE210" s="16">
        <v>138566.51366356658</v>
      </c>
      <c r="AF210" s="16">
        <f t="shared" si="6"/>
        <v>46105.033232821901</v>
      </c>
      <c r="AG210" s="16">
        <f t="shared" si="7"/>
        <v>11470.94342778377</v>
      </c>
      <c r="AH210" s="16">
        <f t="shared" si="8"/>
        <v>3212.5889980979132</v>
      </c>
      <c r="AI210" s="16">
        <v>480.71962388597944</v>
      </c>
      <c r="AJ210" s="2"/>
    </row>
    <row r="211" spans="1:3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2">
        <f t="shared" si="9"/>
        <v>30.400000000000148</v>
      </c>
      <c r="X211" s="13">
        <f t="shared" si="0"/>
        <v>9.8055859502023066E-76</v>
      </c>
      <c r="Y211" s="13">
        <f t="shared" si="1"/>
        <v>1.6742858192088223E-14</v>
      </c>
      <c r="Z211" s="13">
        <f t="shared" si="2"/>
        <v>164264.27777267905</v>
      </c>
      <c r="AA211" s="13">
        <f t="shared" si="3"/>
        <v>9.9696562744042173E-283</v>
      </c>
      <c r="AB211" s="13">
        <f t="shared" si="4"/>
        <v>1.6904609878182785E-66</v>
      </c>
      <c r="AC211" s="13">
        <f t="shared" si="5"/>
        <v>658.7926367404915</v>
      </c>
      <c r="AD211" s="2"/>
      <c r="AE211" s="13">
        <v>164264.27777267905</v>
      </c>
      <c r="AF211" s="13">
        <f t="shared" si="6"/>
        <v>56632.470079341132</v>
      </c>
      <c r="AG211" s="13">
        <f t="shared" si="7"/>
        <v>14606.741068816928</v>
      </c>
      <c r="AH211" s="13">
        <f t="shared" si="8"/>
        <v>4242.8209702597796</v>
      </c>
      <c r="AI211" s="13">
        <v>658.7926367404915</v>
      </c>
      <c r="AJ211" s="2"/>
    </row>
    <row r="212" spans="1:3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5">
        <f t="shared" si="9"/>
        <v>30.450000000000149</v>
      </c>
      <c r="X212" s="16">
        <f t="shared" si="0"/>
        <v>1.1520212713717484E-68</v>
      </c>
      <c r="Y212" s="16">
        <f t="shared" si="1"/>
        <v>9.8022626620682818E-13</v>
      </c>
      <c r="Z212" s="16">
        <f t="shared" si="2"/>
        <v>193304.96013719114</v>
      </c>
      <c r="AA212" s="16">
        <f t="shared" si="3"/>
        <v>2.3305725301142708E-269</v>
      </c>
      <c r="AB212" s="16">
        <f t="shared" si="4"/>
        <v>3.7170701908103237E-63</v>
      </c>
      <c r="AC212" s="16">
        <f t="shared" si="5"/>
        <v>896.26525527453373</v>
      </c>
      <c r="AD212" s="2"/>
      <c r="AE212" s="16">
        <v>193304.96013719117</v>
      </c>
      <c r="AF212" s="16">
        <f t="shared" si="6"/>
        <v>69056.019711732748</v>
      </c>
      <c r="AG212" s="16">
        <f t="shared" si="7"/>
        <v>18464.192843771754</v>
      </c>
      <c r="AH212" s="16">
        <f t="shared" si="8"/>
        <v>5562.6414870322333</v>
      </c>
      <c r="AI212" s="16">
        <v>896.26525527453373</v>
      </c>
      <c r="AJ212" s="2"/>
    </row>
    <row r="213" spans="1:3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2">
        <f t="shared" si="9"/>
        <v>30.500000000000149</v>
      </c>
      <c r="X213" s="13">
        <f t="shared" si="0"/>
        <v>6.5005568864028411E-62</v>
      </c>
      <c r="Y213" s="13">
        <f t="shared" si="1"/>
        <v>4.7774797175918391E-11</v>
      </c>
      <c r="Z213" s="13">
        <f t="shared" si="2"/>
        <v>225817.65785922942</v>
      </c>
      <c r="AA213" s="13">
        <f t="shared" si="3"/>
        <v>2.6262675922408409E-256</v>
      </c>
      <c r="AB213" s="13">
        <f t="shared" si="4"/>
        <v>6.8103565555651327E-60</v>
      </c>
      <c r="AC213" s="13">
        <f t="shared" si="5"/>
        <v>1210.4736063519276</v>
      </c>
      <c r="AD213" s="2"/>
      <c r="AE213" s="13">
        <v>225817.65785922942</v>
      </c>
      <c r="AF213" s="13">
        <f t="shared" si="6"/>
        <v>83590.409862096887</v>
      </c>
      <c r="AG213" s="13">
        <f t="shared" si="7"/>
        <v>23170.218430121491</v>
      </c>
      <c r="AH213" s="13">
        <f t="shared" si="8"/>
        <v>7239.9281989631763</v>
      </c>
      <c r="AI213" s="13">
        <v>1210.4736063519276</v>
      </c>
      <c r="AJ213" s="2"/>
    </row>
    <row r="214" spans="1:3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5">
        <f t="shared" si="9"/>
        <v>30.55000000000015</v>
      </c>
      <c r="X214" s="16">
        <f t="shared" si="0"/>
        <v>1.7617478324926875E-55</v>
      </c>
      <c r="Y214" s="16">
        <f t="shared" si="1"/>
        <v>1.9384167219979471E-9</v>
      </c>
      <c r="Z214" s="16">
        <f t="shared" si="2"/>
        <v>261871.2555716873</v>
      </c>
      <c r="AA214" s="16">
        <f t="shared" si="3"/>
        <v>1.4266230589383999E-243</v>
      </c>
      <c r="AB214" s="16">
        <f t="shared" si="4"/>
        <v>1.0397104670448836E-56</v>
      </c>
      <c r="AC214" s="16">
        <f t="shared" si="5"/>
        <v>1622.949576799075</v>
      </c>
      <c r="AD214" s="2"/>
      <c r="AE214" s="16">
        <v>261871.2555716873</v>
      </c>
      <c r="AF214" s="16">
        <f t="shared" si="6"/>
        <v>100445.44342567932</v>
      </c>
      <c r="AG214" s="16">
        <f t="shared" si="7"/>
        <v>28863.748555661783</v>
      </c>
      <c r="AH214" s="16">
        <f t="shared" si="8"/>
        <v>9354.3641583111767</v>
      </c>
      <c r="AI214" s="16">
        <v>1622.949576799075</v>
      </c>
      <c r="AJ214" s="2"/>
    </row>
    <row r="215" spans="1:3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2">
        <f t="shared" si="9"/>
        <v>30.600000000000151</v>
      </c>
      <c r="X215" s="13">
        <f t="shared" si="0"/>
        <v>2.2931900367804677E-49</v>
      </c>
      <c r="Y215" s="13">
        <f t="shared" si="1"/>
        <v>6.5474354085438911E-8</v>
      </c>
      <c r="Z215" s="13">
        <f t="shared" si="2"/>
        <v>301462.15091965965</v>
      </c>
      <c r="AA215" s="13">
        <f t="shared" si="3"/>
        <v>3.7357122593851087E-231</v>
      </c>
      <c r="AB215" s="13">
        <f t="shared" si="4"/>
        <v>1.3225998244224717E-53</v>
      </c>
      <c r="AC215" s="13">
        <f t="shared" si="5"/>
        <v>2160.1587508450962</v>
      </c>
      <c r="AD215" s="2"/>
      <c r="AE215" s="13">
        <v>301462.15091965965</v>
      </c>
      <c r="AF215" s="13">
        <f t="shared" si="6"/>
        <v>119818.22996580173</v>
      </c>
      <c r="AG215" s="13">
        <f t="shared" si="7"/>
        <v>35694.24013532378</v>
      </c>
      <c r="AH215" s="13">
        <f t="shared" si="8"/>
        <v>11998.338522183791</v>
      </c>
      <c r="AI215" s="13">
        <v>2160.1587508450962</v>
      </c>
      <c r="AJ215" s="2"/>
    </row>
    <row r="216" spans="1:3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5">
        <f t="shared" si="9"/>
        <v>30.650000000000151</v>
      </c>
      <c r="X216" s="16">
        <f t="shared" si="0"/>
        <v>1.4336378693183375E-43</v>
      </c>
      <c r="Y216" s="16">
        <f t="shared" si="1"/>
        <v>1.8410732894844648E-6</v>
      </c>
      <c r="Z216" s="16">
        <f t="shared" si="2"/>
        <v>344502.82508452871</v>
      </c>
      <c r="AA216" s="16">
        <f t="shared" si="3"/>
        <v>4.7155408269664117E-219</v>
      </c>
      <c r="AB216" s="16">
        <f t="shared" si="4"/>
        <v>1.4019030597980684E-50</v>
      </c>
      <c r="AC216" s="16">
        <f t="shared" si="5"/>
        <v>2854.2844381087484</v>
      </c>
      <c r="AD216" s="2"/>
      <c r="AE216" s="16">
        <v>344502.82508452871</v>
      </c>
      <c r="AF216" s="16">
        <f t="shared" si="6"/>
        <v>141884.329604834</v>
      </c>
      <c r="AG216" s="16">
        <f t="shared" si="7"/>
        <v>43819.392619359103</v>
      </c>
      <c r="AH216" s="16">
        <f t="shared" si="8"/>
        <v>15277.587304000295</v>
      </c>
      <c r="AI216" s="16">
        <v>2854.2844381087484</v>
      </c>
      <c r="AJ216" s="2"/>
    </row>
    <row r="217" spans="1:3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2">
        <f t="shared" si="9"/>
        <v>30.700000000000152</v>
      </c>
      <c r="X217" s="13">
        <f t="shared" si="0"/>
        <v>4.3046911756475647E-38</v>
      </c>
      <c r="Y217" s="13">
        <f t="shared" si="1"/>
        <v>4.3096967390963141E-5</v>
      </c>
      <c r="Z217" s="13">
        <f t="shared" si="2"/>
        <v>390811.93038520036</v>
      </c>
      <c r="AA217" s="13">
        <f t="shared" si="3"/>
        <v>2.8693499222535688E-207</v>
      </c>
      <c r="AB217" s="13">
        <f t="shared" si="4"/>
        <v>1.2381720178533287E-47</v>
      </c>
      <c r="AC217" s="13">
        <f t="shared" si="5"/>
        <v>3744.0338774818492</v>
      </c>
      <c r="AD217" s="2"/>
      <c r="AE217" s="13">
        <v>390811.93038520036</v>
      </c>
      <c r="AF217" s="13">
        <f t="shared" si="6"/>
        <v>166788.01461479987</v>
      </c>
      <c r="AG217" s="13">
        <f t="shared" si="7"/>
        <v>53401.981243571456</v>
      </c>
      <c r="AH217" s="13">
        <f t="shared" si="8"/>
        <v>19311.466817549812</v>
      </c>
      <c r="AI217" s="13">
        <v>3744.0338774818492</v>
      </c>
      <c r="AJ217" s="2"/>
    </row>
    <row r="218" spans="1:3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5">
        <f t="shared" si="9"/>
        <v>30.750000000000153</v>
      </c>
      <c r="X218" s="16">
        <f t="shared" si="0"/>
        <v>6.2079420393422138E-33</v>
      </c>
      <c r="Y218" s="16">
        <f t="shared" si="1"/>
        <v>8.398430343775794E-4</v>
      </c>
      <c r="Z218" s="16">
        <f t="shared" si="2"/>
        <v>440106.58795800916</v>
      </c>
      <c r="AA218" s="16">
        <f t="shared" si="3"/>
        <v>8.4164594049576604E-196</v>
      </c>
      <c r="AB218" s="16">
        <f t="shared" si="4"/>
        <v>9.1120787530576731E-45</v>
      </c>
      <c r="AC218" s="16">
        <f t="shared" si="5"/>
        <v>4875.4334081333536</v>
      </c>
      <c r="AD218" s="2"/>
      <c r="AE218" s="16">
        <v>440106.58795800916</v>
      </c>
      <c r="AF218" s="16">
        <f t="shared" si="6"/>
        <v>194631.94342662478</v>
      </c>
      <c r="AG218" s="16">
        <f t="shared" si="7"/>
        <v>64605.752634042095</v>
      </c>
      <c r="AH218" s="16">
        <f t="shared" si="8"/>
        <v>24232.742924704427</v>
      </c>
      <c r="AI218" s="16">
        <v>4875.4334081333536</v>
      </c>
      <c r="AJ218" s="2"/>
    </row>
    <row r="219" spans="1:3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2">
        <f t="shared" si="9"/>
        <v>30.800000000000153</v>
      </c>
      <c r="X219" s="13">
        <f t="shared" si="0"/>
        <v>4.2998808812960011E-28</v>
      </c>
      <c r="Y219" s="13">
        <f t="shared" si="1"/>
        <v>1.3624648830044366E-2</v>
      </c>
      <c r="Z219" s="13">
        <f t="shared" si="2"/>
        <v>491997.56944292871</v>
      </c>
      <c r="AA219" s="13">
        <f t="shared" si="3"/>
        <v>1.1900611153410627E-184</v>
      </c>
      <c r="AB219" s="13">
        <f t="shared" si="4"/>
        <v>5.5876271973223464E-42</v>
      </c>
      <c r="AC219" s="13">
        <f t="shared" si="5"/>
        <v>6302.5692650211695</v>
      </c>
      <c r="AD219" s="2"/>
      <c r="AE219" s="13">
        <v>491997.56944292871</v>
      </c>
      <c r="AF219" s="13">
        <f t="shared" si="6"/>
        <v>225466.62965039478</v>
      </c>
      <c r="AG219" s="13">
        <f t="shared" si="7"/>
        <v>77590.368503992635</v>
      </c>
      <c r="AH219" s="13">
        <f t="shared" si="8"/>
        <v>30186.77465841857</v>
      </c>
      <c r="AI219" s="13">
        <v>6302.5692650211704</v>
      </c>
      <c r="AJ219" s="2"/>
    </row>
    <row r="220" spans="1:3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5">
        <f t="shared" si="9"/>
        <v>30.850000000000154</v>
      </c>
      <c r="X220" s="16">
        <f t="shared" si="0"/>
        <v>1.4304356107779556E-23</v>
      </c>
      <c r="Y220" s="16">
        <f t="shared" si="1"/>
        <v>0.18400443446032627</v>
      </c>
      <c r="Z220" s="16">
        <f t="shared" si="2"/>
        <v>545987.97297189594</v>
      </c>
      <c r="AA220" s="16">
        <f t="shared" si="3"/>
        <v>8.1115343296901163E-174</v>
      </c>
      <c r="AB220" s="16">
        <f t="shared" si="4"/>
        <v>2.855031202207096E-39</v>
      </c>
      <c r="AC220" s="16">
        <f t="shared" si="5"/>
        <v>8088.2201701322974</v>
      </c>
      <c r="AD220" s="2"/>
      <c r="AE220" s="16">
        <v>545987.97297189594</v>
      </c>
      <c r="AF220" s="16">
        <f t="shared" si="6"/>
        <v>259280.16850571265</v>
      </c>
      <c r="AG220" s="16">
        <f t="shared" si="7"/>
        <v>92505.433503021399</v>
      </c>
      <c r="AH220" s="16">
        <f t="shared" si="8"/>
        <v>37329.972960769963</v>
      </c>
      <c r="AI220" s="16">
        <v>8088.2201701322974</v>
      </c>
      <c r="AJ220" s="2"/>
    </row>
    <row r="221" spans="1:3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2">
        <f t="shared" si="9"/>
        <v>30.900000000000155</v>
      </c>
      <c r="X221" s="13">
        <f t="shared" si="0"/>
        <v>2.2855110210197506E-19</v>
      </c>
      <c r="Y221" s="13">
        <f t="shared" si="1"/>
        <v>2.0687453795458386</v>
      </c>
      <c r="Z221" s="13">
        <f t="shared" si="2"/>
        <v>601475.89385750715</v>
      </c>
      <c r="AA221" s="13">
        <f t="shared" si="3"/>
        <v>2.6652053076385079E-163</v>
      </c>
      <c r="AB221" s="13">
        <f t="shared" si="4"/>
        <v>1.2155358544543039E-36</v>
      </c>
      <c r="AC221" s="13">
        <f t="shared" si="5"/>
        <v>10304.317724330953</v>
      </c>
      <c r="AD221" s="2"/>
      <c r="AE221" s="13">
        <v>601475.89385750715</v>
      </c>
      <c r="AF221" s="13">
        <f t="shared" si="6"/>
        <v>295988.74770646106</v>
      </c>
      <c r="AG221" s="13">
        <f t="shared" si="7"/>
        <v>109483.7022388232</v>
      </c>
      <c r="AH221" s="13">
        <f t="shared" si="8"/>
        <v>45827.425783496576</v>
      </c>
      <c r="AI221" s="13">
        <v>10304.317724330951</v>
      </c>
      <c r="AJ221" s="2"/>
    </row>
    <row r="222" spans="1:3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5">
        <f t="shared" si="9"/>
        <v>30.950000000000156</v>
      </c>
      <c r="X222" s="16">
        <f t="shared" si="0"/>
        <v>1.7538863334512127E-15</v>
      </c>
      <c r="Y222" s="16">
        <f t="shared" si="1"/>
        <v>19.362506304879645</v>
      </c>
      <c r="Z222" s="16">
        <f t="shared" si="2"/>
        <v>657761.43585007777</v>
      </c>
      <c r="AA222" s="16">
        <f t="shared" si="3"/>
        <v>4.2213585539816216E-153</v>
      </c>
      <c r="AB222" s="16">
        <f t="shared" si="4"/>
        <v>4.312192766894963E-34</v>
      </c>
      <c r="AC222" s="16">
        <f t="shared" si="5"/>
        <v>13032.161611966507</v>
      </c>
      <c r="AD222" s="2"/>
      <c r="AE222" s="16">
        <v>657761.43585007777</v>
      </c>
      <c r="AF222" s="16">
        <f t="shared" si="6"/>
        <v>335428.51218557445</v>
      </c>
      <c r="AG222" s="16">
        <f t="shared" si="7"/>
        <v>128633.62569498729</v>
      </c>
      <c r="AH222" s="16">
        <f t="shared" si="8"/>
        <v>55849.601028315774</v>
      </c>
      <c r="AI222" s="16">
        <v>13032.161611966507</v>
      </c>
      <c r="AJ222" s="2"/>
    </row>
    <row r="223" spans="1:3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2">
        <f t="shared" si="9"/>
        <v>31.000000000000156</v>
      </c>
      <c r="X223" s="13">
        <f t="shared" si="0"/>
        <v>6.4643176021112653E-12</v>
      </c>
      <c r="Y223" s="13">
        <f t="shared" si="1"/>
        <v>150.86617607406367</v>
      </c>
      <c r="Z223" s="13">
        <f t="shared" si="2"/>
        <v>714058.21493591997</v>
      </c>
      <c r="AA223" s="13">
        <f t="shared" si="3"/>
        <v>3.2230550820273945E-143</v>
      </c>
      <c r="AB223" s="13">
        <f t="shared" si="4"/>
        <v>1.2746825433417759E-31</v>
      </c>
      <c r="AC223" s="13">
        <f t="shared" si="5"/>
        <v>16362.309824598689</v>
      </c>
      <c r="AD223" s="2"/>
      <c r="AE223" s="13">
        <v>714058.21493591997</v>
      </c>
      <c r="AF223" s="13">
        <f t="shared" si="6"/>
        <v>377349.36549913796</v>
      </c>
      <c r="AG223" s="13">
        <f t="shared" si="7"/>
        <v>150031.46532656526</v>
      </c>
      <c r="AH223" s="13">
        <f t="shared" si="8"/>
        <v>67568.069701991844</v>
      </c>
      <c r="AI223" s="13">
        <v>16362.309824598689</v>
      </c>
      <c r="AJ223" s="2"/>
    </row>
    <row r="224" spans="1:3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5">
        <f t="shared" si="9"/>
        <v>31.050000000000157</v>
      </c>
      <c r="X224" s="16">
        <f t="shared" si="0"/>
        <v>1.1443188326103842E-8</v>
      </c>
      <c r="Y224" s="16">
        <f t="shared" si="1"/>
        <v>978.58368866104695</v>
      </c>
      <c r="Z224" s="16">
        <f t="shared" si="2"/>
        <v>769509.28328863578</v>
      </c>
      <c r="AA224" s="16">
        <f t="shared" si="3"/>
        <v>1.1862524624070119E-133</v>
      </c>
      <c r="AB224" s="16">
        <f t="shared" si="4"/>
        <v>3.1396366351297381E-29</v>
      </c>
      <c r="AC224" s="16">
        <f t="shared" si="5"/>
        <v>20394.060619748027</v>
      </c>
      <c r="AD224" s="2"/>
      <c r="AE224" s="16">
        <v>769509.28328863578</v>
      </c>
      <c r="AF224" s="16">
        <f t="shared" si="6"/>
        <v>421411.26994491665</v>
      </c>
      <c r="AG224" s="16">
        <f t="shared" si="7"/>
        <v>173713.26973604149</v>
      </c>
      <c r="AH224" s="16">
        <f t="shared" si="8"/>
        <v>81150.233543069407</v>
      </c>
      <c r="AI224" s="16">
        <v>20394.060619748027</v>
      </c>
      <c r="AJ224" s="2"/>
    </row>
    <row r="225" spans="1:3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2">
        <f t="shared" si="9"/>
        <v>31.100000000000158</v>
      </c>
      <c r="X225" s="13">
        <f t="shared" si="0"/>
        <v>9.7291415631440056E-6</v>
      </c>
      <c r="Y225" s="13">
        <f t="shared" si="1"/>
        <v>5284.2072408343993</v>
      </c>
      <c r="Z225" s="13">
        <f t="shared" si="2"/>
        <v>823207.15835163975</v>
      </c>
      <c r="AA225" s="13">
        <f t="shared" si="3"/>
        <v>2.1046526943101077E-124</v>
      </c>
      <c r="AB225" s="13">
        <f t="shared" si="4"/>
        <v>6.4436243827937546E-27</v>
      </c>
      <c r="AC225" s="13">
        <f t="shared" si="5"/>
        <v>25234.44393031696</v>
      </c>
      <c r="AD225" s="2"/>
      <c r="AE225" s="13">
        <v>823207.15835163975</v>
      </c>
      <c r="AF225" s="13">
        <f t="shared" si="6"/>
        <v>467183.54885556392</v>
      </c>
      <c r="AG225" s="13">
        <f t="shared" si="7"/>
        <v>199667.06901827012</v>
      </c>
      <c r="AH225" s="13">
        <f t="shared" si="8"/>
        <v>96753.093751957975</v>
      </c>
      <c r="AI225" s="13">
        <v>25234.44393031696</v>
      </c>
      <c r="AJ225" s="2"/>
    </row>
    <row r="226" spans="1:3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5">
        <f t="shared" si="9"/>
        <v>31.150000000000158</v>
      </c>
      <c r="X226" s="16">
        <f t="shared" si="0"/>
        <v>3.9728769814264065E-3</v>
      </c>
      <c r="Y226" s="16">
        <f t="shared" si="1"/>
        <v>23754.040388373265</v>
      </c>
      <c r="Z226" s="16">
        <f t="shared" si="2"/>
        <v>874217.39593735419</v>
      </c>
      <c r="AA226" s="16">
        <f t="shared" si="3"/>
        <v>1.8000213894947486E-115</v>
      </c>
      <c r="AB226" s="16">
        <f t="shared" si="4"/>
        <v>1.1019313089580232E-24</v>
      </c>
      <c r="AC226" s="16">
        <f t="shared" si="5"/>
        <v>30996.646559030185</v>
      </c>
      <c r="AD226" s="2"/>
      <c r="AE226" s="16">
        <v>874217.39593735419</v>
      </c>
      <c r="AF226" s="16">
        <f t="shared" si="6"/>
        <v>514147.59709390858</v>
      </c>
      <c r="AG226" s="16">
        <f t="shared" si="7"/>
        <v>227825.69021073828</v>
      </c>
      <c r="AH226" s="16">
        <f t="shared" si="8"/>
        <v>114516.15888141432</v>
      </c>
      <c r="AI226" s="16">
        <v>30996.646559030185</v>
      </c>
      <c r="AJ226" s="2"/>
    </row>
    <row r="227" spans="1:3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2">
        <f t="shared" si="9"/>
        <v>31.200000000000159</v>
      </c>
      <c r="X227" s="13">
        <f t="shared" si="0"/>
        <v>0.77918185432093068</v>
      </c>
      <c r="Y227" s="13">
        <f t="shared" si="1"/>
        <v>88893.686817456241</v>
      </c>
      <c r="Z227" s="13">
        <f t="shared" si="2"/>
        <v>921604.91312927066</v>
      </c>
      <c r="AA227" s="13">
        <f t="shared" si="3"/>
        <v>7.4211089136449141E-107</v>
      </c>
      <c r="AB227" s="13">
        <f t="shared" si="4"/>
        <v>1.5701903633804225E-22</v>
      </c>
      <c r="AC227" s="13">
        <f t="shared" si="5"/>
        <v>37797.808699489644</v>
      </c>
      <c r="AD227" s="2"/>
      <c r="AE227" s="13">
        <v>921604.91312927066</v>
      </c>
      <c r="AF227" s="13">
        <f t="shared" si="6"/>
        <v>561703.27124782198</v>
      </c>
      <c r="AG227" s="13">
        <f t="shared" si="7"/>
        <v>258060.62838060164</v>
      </c>
      <c r="AH227" s="13">
        <f t="shared" si="8"/>
        <v>134553.65794341773</v>
      </c>
      <c r="AI227" s="13">
        <v>37797.808699489651</v>
      </c>
      <c r="AJ227" s="2"/>
    </row>
    <row r="228" spans="1:3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5">
        <f t="shared" si="9"/>
        <v>31.25000000000016</v>
      </c>
      <c r="X228" s="16">
        <f t="shared" si="0"/>
        <v>73.396552355861573</v>
      </c>
      <c r="Y228" s="16">
        <f t="shared" si="1"/>
        <v>276936.4535130639</v>
      </c>
      <c r="Z228" s="16">
        <f t="shared" si="2"/>
        <v>964462.06353902374</v>
      </c>
      <c r="AA228" s="16">
        <f t="shared" si="3"/>
        <v>1.4748703961704569E-98</v>
      </c>
      <c r="AB228" s="16">
        <f t="shared" si="4"/>
        <v>1.8643333604727441E-20</v>
      </c>
      <c r="AC228" s="16">
        <f t="shared" si="5"/>
        <v>45756.149804227018</v>
      </c>
      <c r="AD228" s="2"/>
      <c r="AE228" s="16">
        <v>964462.06353902374</v>
      </c>
      <c r="AF228" s="16">
        <f t="shared" si="6"/>
        <v>609179.06422103592</v>
      </c>
      <c r="AG228" s="16">
        <f t="shared" si="7"/>
        <v>290177.4167594476</v>
      </c>
      <c r="AH228" s="16">
        <f t="shared" si="8"/>
        <v>156946.29584558107</v>
      </c>
      <c r="AI228" s="16">
        <v>45756.149804227018</v>
      </c>
      <c r="AJ228" s="2"/>
    </row>
    <row r="229" spans="1:3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2">
        <f t="shared" si="9"/>
        <v>31.300000000000161</v>
      </c>
      <c r="X229" s="13">
        <f t="shared" si="0"/>
        <v>3320.5926960751881</v>
      </c>
      <c r="Y229" s="13">
        <f t="shared" si="1"/>
        <v>718232.59957028495</v>
      </c>
      <c r="Z229" s="13">
        <f t="shared" si="2"/>
        <v>1001937.3100305585</v>
      </c>
      <c r="AA229" s="13">
        <f t="shared" si="3"/>
        <v>1.4129696223540525E-90</v>
      </c>
      <c r="AB229" s="13">
        <f t="shared" si="4"/>
        <v>1.8444560555650279E-18</v>
      </c>
      <c r="AC229" s="13">
        <f t="shared" si="5"/>
        <v>54987.409834940183</v>
      </c>
      <c r="AD229" s="2"/>
      <c r="AE229" s="13">
        <v>1001937.3100305585</v>
      </c>
      <c r="AF229" s="13">
        <f t="shared" si="6"/>
        <v>655845.97769624833</v>
      </c>
      <c r="AG229" s="13">
        <f t="shared" si="7"/>
        <v>323912.92198696715</v>
      </c>
      <c r="AH229" s="13">
        <f t="shared" si="8"/>
        <v>181732.85792628981</v>
      </c>
      <c r="AI229" s="13">
        <v>54987.409834940183</v>
      </c>
      <c r="AJ229" s="2"/>
    </row>
    <row r="230" spans="1:3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5">
        <f t="shared" si="9"/>
        <v>31.350000000000161</v>
      </c>
      <c r="X230" s="16">
        <f t="shared" si="0"/>
        <v>72153.711224873492</v>
      </c>
      <c r="Y230" s="16">
        <f t="shared" si="1"/>
        <v>1550693.1900435251</v>
      </c>
      <c r="Z230" s="16">
        <f t="shared" si="2"/>
        <v>1033263.2419813796</v>
      </c>
      <c r="AA230" s="16">
        <f t="shared" si="3"/>
        <v>6.5253784586793994E-83</v>
      </c>
      <c r="AB230" s="16">
        <f t="shared" si="4"/>
        <v>1.5205003783413502E-16</v>
      </c>
      <c r="AC230" s="16">
        <f t="shared" si="5"/>
        <v>65600.627203048673</v>
      </c>
      <c r="AD230" s="2"/>
      <c r="AE230" s="16">
        <v>1033263.2419813796</v>
      </c>
      <c r="AF230" s="16">
        <f t="shared" si="6"/>
        <v>700934.80086734879</v>
      </c>
      <c r="AG230" s="16">
        <f t="shared" si="7"/>
        <v>358934.94436810981</v>
      </c>
      <c r="AH230" s="16">
        <f t="shared" si="8"/>
        <v>208902.03341212589</v>
      </c>
      <c r="AI230" s="16">
        <v>65600.627203048673</v>
      </c>
      <c r="AJ230" s="2"/>
    </row>
    <row r="231" spans="1:3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2">
        <f t="shared" si="9"/>
        <v>31.400000000000162</v>
      </c>
      <c r="X231" s="13">
        <f t="shared" si="0"/>
        <v>753017.13241656194</v>
      </c>
      <c r="Y231" s="13">
        <f t="shared" si="1"/>
        <v>2787163.368691328</v>
      </c>
      <c r="Z231" s="13">
        <f t="shared" si="2"/>
        <v>1057782.6555165653</v>
      </c>
      <c r="AA231" s="13">
        <f t="shared" si="3"/>
        <v>1.4526884994027601E-75</v>
      </c>
      <c r="AB231" s="13">
        <f t="shared" si="4"/>
        <v>1.0444273377316786E-14</v>
      </c>
      <c r="AC231" s="13">
        <f t="shared" si="5"/>
        <v>77693.316318667377</v>
      </c>
      <c r="AD231" s="2"/>
      <c r="AE231" s="13">
        <v>1057782.6555165653</v>
      </c>
      <c r="AF231" s="13">
        <f t="shared" si="6"/>
        <v>743656.2975642992</v>
      </c>
      <c r="AG231" s="13">
        <f t="shared" si="7"/>
        <v>394844.42736945592</v>
      </c>
      <c r="AH231" s="13">
        <f t="shared" si="8"/>
        <v>238384.8784431931</v>
      </c>
      <c r="AI231" s="13">
        <v>77693.316318667377</v>
      </c>
      <c r="AJ231" s="2"/>
    </row>
    <row r="232" spans="1:3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5">
        <f t="shared" si="9"/>
        <v>31.450000000000163</v>
      </c>
      <c r="X232" s="16">
        <f t="shared" si="0"/>
        <v>3774454.1854608986</v>
      </c>
      <c r="Y232" s="16">
        <f t="shared" si="1"/>
        <v>4170371.5647974829</v>
      </c>
      <c r="Z232" s="16">
        <f t="shared" si="2"/>
        <v>1074971.4613141876</v>
      </c>
      <c r="AA232" s="16">
        <f t="shared" si="3"/>
        <v>1.5589536572414274E-68</v>
      </c>
      <c r="AB232" s="16">
        <f t="shared" si="4"/>
        <v>5.9778278991589487E-13</v>
      </c>
      <c r="AC232" s="16">
        <f t="shared" si="5"/>
        <v>91346.153986509118</v>
      </c>
      <c r="AD232" s="2"/>
      <c r="AE232" s="16">
        <v>1074971.4613141876</v>
      </c>
      <c r="AF232" s="16">
        <f t="shared" si="6"/>
        <v>783223.61034710286</v>
      </c>
      <c r="AG232" s="16">
        <f t="shared" si="7"/>
        <v>431180.47683986078</v>
      </c>
      <c r="AH232" s="16">
        <f t="shared" si="8"/>
        <v>270048.37224946101</v>
      </c>
      <c r="AI232" s="16">
        <v>91346.153986509118</v>
      </c>
      <c r="AJ232" s="2"/>
    </row>
    <row r="233" spans="1:3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2">
        <f t="shared" si="9"/>
        <v>31.500000000000163</v>
      </c>
      <c r="X233" s="13">
        <f t="shared" si="0"/>
        <v>9086708.0971422847</v>
      </c>
      <c r="Y233" s="13">
        <f t="shared" si="1"/>
        <v>5194728.5133904722</v>
      </c>
      <c r="Z233" s="13">
        <f t="shared" si="2"/>
        <v>1084457.3056395722</v>
      </c>
      <c r="AA233" s="13">
        <f t="shared" si="3"/>
        <v>8.0646927361683163E-62</v>
      </c>
      <c r="AB233" s="13">
        <f t="shared" si="4"/>
        <v>2.8509005165796167E-11</v>
      </c>
      <c r="AC233" s="13">
        <f t="shared" si="5"/>
        <v>106617.33257755225</v>
      </c>
      <c r="AD233" s="2"/>
      <c r="AE233" s="13">
        <v>1084457.3056395722</v>
      </c>
      <c r="AF233" s="13">
        <f t="shared" si="6"/>
        <v>818876.02345501271</v>
      </c>
      <c r="AG233" s="13">
        <f t="shared" si="7"/>
        <v>467428.2624286394</v>
      </c>
      <c r="AH233" s="13">
        <f t="shared" si="8"/>
        <v>303690.52992153133</v>
      </c>
      <c r="AI233" s="13">
        <v>106617.33257755225</v>
      </c>
      <c r="AJ233" s="2"/>
    </row>
    <row r="234" spans="1:3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5">
        <f t="shared" si="9"/>
        <v>31.550000000000164</v>
      </c>
      <c r="X234" s="16">
        <f t="shared" si="0"/>
        <v>10506597.940862974</v>
      </c>
      <c r="Y234" s="16">
        <f t="shared" si="1"/>
        <v>5386748.9974612016</v>
      </c>
      <c r="Z234" s="16">
        <f t="shared" si="2"/>
        <v>1086032.9807960668</v>
      </c>
      <c r="AA234" s="16">
        <f t="shared" si="3"/>
        <v>2.0111124715410988E-55</v>
      </c>
      <c r="AB234" s="16">
        <f t="shared" si="4"/>
        <v>1.1329068327656181E-9</v>
      </c>
      <c r="AC234" s="16">
        <f t="shared" si="5"/>
        <v>123536.78596863142</v>
      </c>
      <c r="AD234" s="2"/>
      <c r="AE234" s="16">
        <v>1086032.9807960668</v>
      </c>
      <c r="AF234" s="16">
        <f t="shared" si="6"/>
        <v>849903.0998546331</v>
      </c>
      <c r="AG234" s="16">
        <f t="shared" si="7"/>
        <v>503029.72747284378</v>
      </c>
      <c r="AH234" s="16">
        <f t="shared" si="8"/>
        <v>339037.51778718672</v>
      </c>
      <c r="AI234" s="16">
        <v>123536.78596863142</v>
      </c>
      <c r="AJ234" s="2"/>
    </row>
    <row r="235" spans="1:3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2">
        <f t="shared" si="9"/>
        <v>31.600000000000165</v>
      </c>
      <c r="X235" s="13">
        <f t="shared" si="0"/>
        <v>5834730.0446135858</v>
      </c>
      <c r="Y235" s="13">
        <f t="shared" si="1"/>
        <v>4650144.0130155487</v>
      </c>
      <c r="Z235" s="13">
        <f t="shared" si="2"/>
        <v>1079663.9504808534</v>
      </c>
      <c r="AA235" s="13">
        <f t="shared" si="3"/>
        <v>2.417568600521766E-49</v>
      </c>
      <c r="AB235" s="13">
        <f t="shared" si="4"/>
        <v>3.7512828183955172E-8</v>
      </c>
      <c r="AC235" s="13">
        <f t="shared" si="5"/>
        <v>142100.53815625285</v>
      </c>
      <c r="AD235" s="2"/>
      <c r="AE235" s="13">
        <v>1079663.9504808534</v>
      </c>
      <c r="AF235" s="13">
        <f t="shared" si="6"/>
        <v>875668.13213401614</v>
      </c>
      <c r="AG235" s="13">
        <f t="shared" si="7"/>
        <v>537396.87735123467</v>
      </c>
      <c r="AH235" s="13">
        <f t="shared" si="8"/>
        <v>375743.16995121539</v>
      </c>
      <c r="AI235" s="13">
        <v>142100.53815625285</v>
      </c>
      <c r="AJ235" s="2"/>
    </row>
    <row r="236" spans="1:3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5">
        <f t="shared" si="9"/>
        <v>31.650000000000166</v>
      </c>
      <c r="X236" s="16">
        <f t="shared" si="0"/>
        <v>1556261.376049751</v>
      </c>
      <c r="Y236" s="16">
        <f t="shared" si="1"/>
        <v>3341810.705495283</v>
      </c>
      <c r="Z236" s="16">
        <f t="shared" si="2"/>
        <v>1065489.608347445</v>
      </c>
      <c r="AA236" s="16">
        <f t="shared" si="3"/>
        <v>1.4009259081660957E-43</v>
      </c>
      <c r="AB236" s="16">
        <f t="shared" si="4"/>
        <v>1.0349965402893831E-6</v>
      </c>
      <c r="AC236" s="16">
        <f t="shared" si="5"/>
        <v>162265.46037428192</v>
      </c>
      <c r="AD236" s="2"/>
      <c r="AE236" s="16">
        <v>1065489.608347445</v>
      </c>
      <c r="AF236" s="16">
        <f t="shared" si="6"/>
        <v>895629.83059981815</v>
      </c>
      <c r="AG236" s="16">
        <f t="shared" si="7"/>
        <v>569927.25964412838</v>
      </c>
      <c r="AH236" s="16">
        <f t="shared" si="8"/>
        <v>413391.22628241556</v>
      </c>
      <c r="AI236" s="16">
        <v>162265.46037428189</v>
      </c>
      <c r="AJ236" s="2"/>
    </row>
    <row r="237" spans="1:3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2">
        <f t="shared" si="9"/>
        <v>31.700000000000166</v>
      </c>
      <c r="X237" s="13">
        <f t="shared" si="0"/>
        <v>199364.31667059154</v>
      </c>
      <c r="Y237" s="13">
        <f t="shared" si="1"/>
        <v>1999277.4533529954</v>
      </c>
      <c r="Z237" s="13">
        <f t="shared" si="2"/>
        <v>1043818.2057211417</v>
      </c>
      <c r="AA237" s="13">
        <f t="shared" si="3"/>
        <v>3.913320708516279E-38</v>
      </c>
      <c r="AB237" s="13">
        <f t="shared" si="4"/>
        <v>2.3794219663463542E-5</v>
      </c>
      <c r="AC237" s="13">
        <f t="shared" si="5"/>
        <v>183944.74659005745</v>
      </c>
      <c r="AD237" s="2"/>
      <c r="AE237" s="13">
        <v>1043818.2057211417</v>
      </c>
      <c r="AF237" s="13">
        <f t="shared" si="6"/>
        <v>909361.21864604368</v>
      </c>
      <c r="AG237" s="13">
        <f t="shared" si="7"/>
        <v>600021.10299808998</v>
      </c>
      <c r="AH237" s="13">
        <f t="shared" si="8"/>
        <v>451500.50450219889</v>
      </c>
      <c r="AI237" s="13">
        <v>183944.74659005745</v>
      </c>
      <c r="AJ237" s="2"/>
    </row>
    <row r="238" spans="1:3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5">
        <f t="shared" si="9"/>
        <v>31.750000000000167</v>
      </c>
      <c r="X238" s="16">
        <f t="shared" si="0"/>
        <v>12266.352349882223</v>
      </c>
      <c r="Y238" s="16">
        <f t="shared" si="1"/>
        <v>995726.51054677821</v>
      </c>
      <c r="Z238" s="16">
        <f t="shared" si="2"/>
        <v>1015115.7062395934</v>
      </c>
      <c r="AA238" s="16">
        <f t="shared" si="3"/>
        <v>5.2695026668228571E-33</v>
      </c>
      <c r="AB238" s="16">
        <f t="shared" si="4"/>
        <v>4.5580335073077311E-4</v>
      </c>
      <c r="AC238" s="16">
        <f t="shared" si="5"/>
        <v>207004.42581170041</v>
      </c>
      <c r="AD238" s="2"/>
      <c r="AE238" s="16">
        <v>1015115.7062395934</v>
      </c>
      <c r="AF238" s="16">
        <f t="shared" si="6"/>
        <v>916564.81478570483</v>
      </c>
      <c r="AG238" s="16">
        <f t="shared" si="7"/>
        <v>627099.45609230059</v>
      </c>
      <c r="AH238" s="16">
        <f t="shared" si="8"/>
        <v>489533.08593508368</v>
      </c>
      <c r="AI238" s="16">
        <v>207004.42581170041</v>
      </c>
      <c r="AJ238" s="2"/>
    </row>
    <row r="239" spans="1:3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2">
        <f t="shared" si="9"/>
        <v>31.800000000000168</v>
      </c>
      <c r="X239" s="13">
        <f t="shared" si="0"/>
        <v>362.48209596891701</v>
      </c>
      <c r="Y239" s="13">
        <f t="shared" si="1"/>
        <v>412841.02845176117</v>
      </c>
      <c r="Z239" s="13">
        <f t="shared" si="2"/>
        <v>979989.13021456741</v>
      </c>
      <c r="AA239" s="13">
        <f t="shared" si="3"/>
        <v>3.4204853101408585E-28</v>
      </c>
      <c r="AB239" s="13">
        <f t="shared" si="4"/>
        <v>7.2754027302314355E-3</v>
      </c>
      <c r="AC239" s="13">
        <f t="shared" si="5"/>
        <v>231261.2197353676</v>
      </c>
      <c r="AD239" s="2"/>
      <c r="AE239" s="13">
        <v>979989.13021456741</v>
      </c>
      <c r="AF239" s="13">
        <f t="shared" si="6"/>
        <v>917083.34754953685</v>
      </c>
      <c r="AG239" s="13">
        <f t="shared" si="7"/>
        <v>650622.57350167073</v>
      </c>
      <c r="AH239" s="13">
        <f t="shared" si="8"/>
        <v>526905.44220518949</v>
      </c>
      <c r="AI239" s="13">
        <v>231261.2197353676</v>
      </c>
      <c r="AJ239" s="2"/>
    </row>
    <row r="240" spans="1:3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5">
        <f t="shared" si="9"/>
        <v>31.850000000000168</v>
      </c>
      <c r="X240" s="16">
        <f t="shared" si="0"/>
        <v>5.1447088583796186</v>
      </c>
      <c r="Y240" s="16">
        <f t="shared" si="1"/>
        <v>142495.58607186211</v>
      </c>
      <c r="Z240" s="16">
        <f t="shared" si="2"/>
        <v>939165.22008530551</v>
      </c>
      <c r="AA240" s="16">
        <f t="shared" si="3"/>
        <v>1.0702857521027924E-23</v>
      </c>
      <c r="AB240" s="16">
        <f t="shared" si="4"/>
        <v>9.6763159914783667E-2</v>
      </c>
      <c r="AC240" s="16">
        <f t="shared" si="5"/>
        <v>256482.0239023446</v>
      </c>
      <c r="AD240" s="2"/>
      <c r="AE240" s="16">
        <v>939165.22008530551</v>
      </c>
      <c r="AF240" s="16">
        <f t="shared" si="6"/>
        <v>910905.46426323743</v>
      </c>
      <c r="AG240" s="16">
        <f t="shared" si="7"/>
        <v>670107.73988217104</v>
      </c>
      <c r="AH240" s="16">
        <f t="shared" si="8"/>
        <v>563002.26711997821</v>
      </c>
      <c r="AI240" s="16">
        <v>256482.0239023446</v>
      </c>
      <c r="AJ240" s="2"/>
    </row>
    <row r="241" spans="1:3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2">
        <f t="shared" si="9"/>
        <v>31.900000000000169</v>
      </c>
      <c r="X241" s="13">
        <f t="shared" si="0"/>
        <v>3.5070193572325686E-2</v>
      </c>
      <c r="Y241" s="13">
        <f t="shared" si="1"/>
        <v>40944.516960877372</v>
      </c>
      <c r="Z241" s="13">
        <f t="shared" si="2"/>
        <v>893465.47368888045</v>
      </c>
      <c r="AA241" s="13">
        <f t="shared" si="3"/>
        <v>1.6143796405492977E-19</v>
      </c>
      <c r="AB241" s="13">
        <f t="shared" si="4"/>
        <v>1.0723499213908185</v>
      </c>
      <c r="AC241" s="13">
        <f t="shared" si="5"/>
        <v>282385.23902397777</v>
      </c>
      <c r="AD241" s="2"/>
      <c r="AE241" s="13">
        <v>893465.47368888045</v>
      </c>
      <c r="AF241" s="13">
        <f t="shared" si="6"/>
        <v>898166.14429581875</v>
      </c>
      <c r="AG241" s="13">
        <f t="shared" si="7"/>
        <v>685145.7136812309</v>
      </c>
      <c r="AH241" s="13">
        <f t="shared" si="8"/>
        <v>597192.6142409204</v>
      </c>
      <c r="AI241" s="13">
        <v>282385.23902397783</v>
      </c>
      <c r="AJ241" s="2"/>
    </row>
    <row r="242" spans="1:3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5">
        <f t="shared" si="9"/>
        <v>31.95000000000017</v>
      </c>
      <c r="X242" s="16">
        <f t="shared" si="0"/>
        <v>1.1482029037468933E-4</v>
      </c>
      <c r="Y242" s="16">
        <f t="shared" si="1"/>
        <v>9794.1301616400542</v>
      </c>
      <c r="Z242" s="16">
        <f t="shared" si="2"/>
        <v>843778.74159245682</v>
      </c>
      <c r="AA242" s="16">
        <f t="shared" si="3"/>
        <v>1.1738308337654085E-15</v>
      </c>
      <c r="AB242" s="16">
        <f t="shared" si="4"/>
        <v>9.9023092352229298</v>
      </c>
      <c r="AC242" s="16">
        <f t="shared" si="5"/>
        <v>308644.10729970044</v>
      </c>
      <c r="AD242" s="2"/>
      <c r="AE242" s="16">
        <v>843778.74159245682</v>
      </c>
      <c r="AF242" s="16">
        <f t="shared" si="6"/>
        <v>879141.79577053222</v>
      </c>
      <c r="AG242" s="16">
        <f t="shared" si="7"/>
        <v>695415.0093797911</v>
      </c>
      <c r="AH242" s="16">
        <f t="shared" si="8"/>
        <v>628847.78724336263</v>
      </c>
      <c r="AI242" s="16">
        <v>308644.10729970044</v>
      </c>
      <c r="AJ242" s="2"/>
    </row>
    <row r="243" spans="1:3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2">
        <f t="shared" si="9"/>
        <v>32.000000000000171</v>
      </c>
      <c r="X243" s="13">
        <f t="shared" si="0"/>
        <v>1.8055197207502803E-7</v>
      </c>
      <c r="Y243" s="13">
        <f t="shared" si="1"/>
        <v>1950.3464774295196</v>
      </c>
      <c r="Z243" s="13">
        <f t="shared" si="2"/>
        <v>791032.6608462513</v>
      </c>
      <c r="AA243" s="13">
        <f t="shared" si="3"/>
        <v>4.1143313790119095E-12</v>
      </c>
      <c r="AB243" s="13">
        <f t="shared" si="4"/>
        <v>76.192096417659997</v>
      </c>
      <c r="AC243" s="13">
        <f t="shared" si="5"/>
        <v>334892.11888914777</v>
      </c>
      <c r="AD243" s="2"/>
      <c r="AE243" s="13">
        <v>791032.6608462513</v>
      </c>
      <c r="AF243" s="13">
        <f t="shared" si="6"/>
        <v>854240.28449853521</v>
      </c>
      <c r="AG243" s="13">
        <f t="shared" si="7"/>
        <v>700693.32256503601</v>
      </c>
      <c r="AH243" s="13">
        <f t="shared" si="8"/>
        <v>657360.29830485815</v>
      </c>
      <c r="AI243" s="13">
        <v>334892.11888914771</v>
      </c>
      <c r="AJ243" s="2"/>
    </row>
    <row r="244" spans="1:3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5">
        <f t="shared" si="9"/>
        <v>32.050000000000168</v>
      </c>
      <c r="X244" s="16">
        <f t="shared" si="0"/>
        <v>1.3636061446344204E-10</v>
      </c>
      <c r="Y244" s="16">
        <f t="shared" si="1"/>
        <v>323.32065397750068</v>
      </c>
      <c r="Z244" s="16">
        <f t="shared" si="2"/>
        <v>736165.19813751511</v>
      </c>
      <c r="AA244" s="16">
        <f t="shared" si="3"/>
        <v>6.951634600765689E-9</v>
      </c>
      <c r="AB244" s="16">
        <f t="shared" si="4"/>
        <v>488.49130786447444</v>
      </c>
      <c r="AC244" s="16">
        <f t="shared" si="5"/>
        <v>360730.4503408575</v>
      </c>
      <c r="AD244" s="2"/>
      <c r="AE244" s="16">
        <v>736165.19813751511</v>
      </c>
      <c r="AF244" s="16">
        <f t="shared" si="6"/>
        <v>823986.39747721714</v>
      </c>
      <c r="AG244" s="16">
        <f t="shared" si="7"/>
        <v>700865.53086259577</v>
      </c>
      <c r="AH244" s="16">
        <f t="shared" si="8"/>
        <v>682163.10985996109</v>
      </c>
      <c r="AI244" s="16">
        <v>360730.4503408575</v>
      </c>
      <c r="AJ244" s="2"/>
    </row>
    <row r="245" spans="1:3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2">
        <f t="shared" si="9"/>
        <v>32.100000000000165</v>
      </c>
      <c r="X245" s="13">
        <f t="shared" si="0"/>
        <v>4.9462809464587056E-14</v>
      </c>
      <c r="Y245" s="13">
        <f t="shared" si="1"/>
        <v>44.62013770900343</v>
      </c>
      <c r="Z245" s="13">
        <f t="shared" si="2"/>
        <v>680097.5038067475</v>
      </c>
      <c r="AA245" s="13">
        <f t="shared" si="3"/>
        <v>5.6619824364998862E-6</v>
      </c>
      <c r="AB245" s="13">
        <f t="shared" si="4"/>
        <v>2609.6197815844434</v>
      </c>
      <c r="AC245" s="13">
        <f t="shared" si="5"/>
        <v>385737.2853521544</v>
      </c>
      <c r="AD245" s="2"/>
      <c r="AE245" s="13">
        <v>680097.5038067475</v>
      </c>
      <c r="AF245" s="13">
        <f t="shared" si="6"/>
        <v>789003.46441731392</v>
      </c>
      <c r="AG245" s="13">
        <f t="shared" si="7"/>
        <v>695927.86856819049</v>
      </c>
      <c r="AH245" s="13">
        <f t="shared" si="8"/>
        <v>702748.3158739371</v>
      </c>
      <c r="AI245" s="13">
        <v>385737.2853521544</v>
      </c>
      <c r="AJ245" s="2"/>
    </row>
    <row r="246" spans="1:3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5">
        <f t="shared" si="9"/>
        <v>32.150000000000162</v>
      </c>
      <c r="X246" s="16">
        <f t="shared" si="0"/>
        <v>8.6173102468307155E-18</v>
      </c>
      <c r="Y246" s="16">
        <f t="shared" si="1"/>
        <v>5.126301477519088</v>
      </c>
      <c r="Z246" s="16">
        <f t="shared" si="2"/>
        <v>623709.14281320153</v>
      </c>
      <c r="AA246" s="16">
        <f t="shared" si="3"/>
        <v>2.2230232912550437E-3</v>
      </c>
      <c r="AB246" s="16">
        <f t="shared" si="4"/>
        <v>11616.388001100724</v>
      </c>
      <c r="AC246" s="16">
        <f t="shared" si="5"/>
        <v>409478.75553679577</v>
      </c>
      <c r="AD246" s="2"/>
      <c r="AE246" s="16">
        <v>623709.14281320153</v>
      </c>
      <c r="AF246" s="16">
        <f t="shared" si="6"/>
        <v>749992.03571037843</v>
      </c>
      <c r="AG246" s="16">
        <f t="shared" si="7"/>
        <v>685988.06355619477</v>
      </c>
      <c r="AH246" s="16">
        <f t="shared" si="8"/>
        <v>718684.40657517314</v>
      </c>
      <c r="AI246" s="16">
        <v>409478.75553679577</v>
      </c>
      <c r="AJ246" s="2"/>
    </row>
    <row r="247" spans="1:3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2">
        <f t="shared" si="9"/>
        <v>32.200000000000159</v>
      </c>
      <c r="X247" s="13">
        <f t="shared" si="0"/>
        <v>7.2105400807493602E-22</v>
      </c>
      <c r="Y247" s="13">
        <f t="shared" si="1"/>
        <v>0.49029014063370896</v>
      </c>
      <c r="Z247" s="13">
        <f t="shared" si="2"/>
        <v>567816.5818293012</v>
      </c>
      <c r="AA247" s="13">
        <f t="shared" si="3"/>
        <v>0.42073963078444804</v>
      </c>
      <c r="AB247" s="13">
        <f t="shared" si="4"/>
        <v>43086.226651375873</v>
      </c>
      <c r="AC247" s="13">
        <f t="shared" si="5"/>
        <v>431521.13243223215</v>
      </c>
      <c r="AD247" s="2"/>
      <c r="AE247" s="13">
        <v>567816.5818293012</v>
      </c>
      <c r="AF247" s="13">
        <f t="shared" si="6"/>
        <v>707706.63389822817</v>
      </c>
      <c r="AG247" s="13">
        <f t="shared" si="7"/>
        <v>671261.42951346969</v>
      </c>
      <c r="AH247" s="13">
        <f t="shared" si="8"/>
        <v>729631.29845608678</v>
      </c>
      <c r="AI247" s="13">
        <v>431521.13243223209</v>
      </c>
      <c r="AJ247" s="2"/>
    </row>
    <row r="248" spans="1:3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5">
        <f t="shared" si="9"/>
        <v>32.250000000000156</v>
      </c>
      <c r="X248" s="16">
        <f t="shared" si="0"/>
        <v>2.8977904659495522E-26</v>
      </c>
      <c r="Y248" s="16">
        <f t="shared" si="1"/>
        <v>3.9037136744685168E-2</v>
      </c>
      <c r="Z248" s="16">
        <f t="shared" si="2"/>
        <v>513155.58837334858</v>
      </c>
      <c r="AA248" s="16">
        <f t="shared" si="3"/>
        <v>38.386343343866784</v>
      </c>
      <c r="AB248" s="16">
        <f t="shared" si="4"/>
        <v>133161.68812576323</v>
      </c>
      <c r="AC248" s="16">
        <f t="shared" si="5"/>
        <v>451443.80947650381</v>
      </c>
      <c r="AD248" s="2"/>
      <c r="AE248" s="16">
        <v>513155.58837334858</v>
      </c>
      <c r="AF248" s="16">
        <f t="shared" si="6"/>
        <v>662931.65223501367</v>
      </c>
      <c r="AG248" s="16">
        <f t="shared" si="7"/>
        <v>652063.11147040396</v>
      </c>
      <c r="AH248" s="16">
        <f t="shared" si="8"/>
        <v>735352.3988609761</v>
      </c>
      <c r="AI248" s="16">
        <v>451443.80947650381</v>
      </c>
      <c r="AJ248" s="2"/>
    </row>
    <row r="249" spans="1:3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2">
        <f t="shared" si="9"/>
        <v>32.300000000000153</v>
      </c>
      <c r="X249" s="13">
        <f t="shared" si="0"/>
        <v>5.5933150329080872E-31</v>
      </c>
      <c r="Y249" s="13">
        <f t="shared" si="1"/>
        <v>2.5874891144101386E-3</v>
      </c>
      <c r="Z249" s="13">
        <f t="shared" si="2"/>
        <v>460367.95492186735</v>
      </c>
      <c r="AA249" s="13">
        <f t="shared" si="3"/>
        <v>1688.2391953813215</v>
      </c>
      <c r="AB249" s="13">
        <f t="shared" si="4"/>
        <v>342920.62062144571</v>
      </c>
      <c r="AC249" s="13">
        <f t="shared" si="5"/>
        <v>468852.54136269086</v>
      </c>
      <c r="AD249" s="2"/>
      <c r="AE249" s="13">
        <v>460367.95492186735</v>
      </c>
      <c r="AF249" s="13">
        <f t="shared" si="6"/>
        <v>616457.46713467292</v>
      </c>
      <c r="AG249" s="13">
        <f t="shared" si="7"/>
        <v>628796.87466084503</v>
      </c>
      <c r="AH249" s="13">
        <f t="shared" si="8"/>
        <v>735723.10751840146</v>
      </c>
      <c r="AI249" s="13">
        <v>468852.5413626908</v>
      </c>
      <c r="AJ249" s="2"/>
    </row>
    <row r="250" spans="1:3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5">
        <f t="shared" si="9"/>
        <v>32.350000000000151</v>
      </c>
      <c r="X250" s="16">
        <f t="shared" si="0"/>
        <v>5.185309697410968E-36</v>
      </c>
      <c r="Y250" s="16">
        <f t="shared" si="1"/>
        <v>1.4277589334495106E-4</v>
      </c>
      <c r="Z250" s="16">
        <f t="shared" si="2"/>
        <v>409992.71505210665</v>
      </c>
      <c r="AA250" s="16">
        <f t="shared" si="3"/>
        <v>35791.930861621571</v>
      </c>
      <c r="AB250" s="16">
        <f t="shared" si="4"/>
        <v>735836.60462876165</v>
      </c>
      <c r="AC250" s="16">
        <f t="shared" si="5"/>
        <v>483392.3641937098</v>
      </c>
      <c r="AD250" s="2"/>
      <c r="AE250" s="16">
        <v>409992.71505210665</v>
      </c>
      <c r="AF250" s="16">
        <f t="shared" si="6"/>
        <v>569057.76449926256</v>
      </c>
      <c r="AG250" s="16">
        <f t="shared" si="7"/>
        <v>601940.99364103959</v>
      </c>
      <c r="AH250" s="16">
        <f t="shared" si="8"/>
        <v>730735.32838023163</v>
      </c>
      <c r="AI250" s="16">
        <v>483392.3641937098</v>
      </c>
      <c r="AJ250" s="2"/>
    </row>
    <row r="251" spans="1:3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2">
        <f t="shared" si="9"/>
        <v>32.400000000000148</v>
      </c>
      <c r="X251" s="13">
        <f t="shared" si="0"/>
        <v>2.3087836440936069E-41</v>
      </c>
      <c r="Y251" s="13">
        <f t="shared" si="1"/>
        <v>6.5585377173487831E-6</v>
      </c>
      <c r="Z251" s="13">
        <f t="shared" si="2"/>
        <v>362461.78544652561</v>
      </c>
      <c r="AA251" s="13">
        <f t="shared" si="3"/>
        <v>365788.62008671003</v>
      </c>
      <c r="AB251" s="13">
        <f t="shared" si="4"/>
        <v>1315656.9185229235</v>
      </c>
      <c r="AC251" s="13">
        <f t="shared" si="5"/>
        <v>494759.60771685542</v>
      </c>
      <c r="AD251" s="2"/>
      <c r="AE251" s="13">
        <v>362461.78544652561</v>
      </c>
      <c r="AF251" s="13">
        <f t="shared" si="6"/>
        <v>521468.96052245051</v>
      </c>
      <c r="AG251" s="13">
        <f t="shared" si="7"/>
        <v>572031.93001647713</v>
      </c>
      <c r="AH251" s="13">
        <f t="shared" si="8"/>
        <v>720497.76359437476</v>
      </c>
      <c r="AI251" s="13">
        <v>494759.60771685542</v>
      </c>
      <c r="AJ251" s="2"/>
    </row>
    <row r="252" spans="1:3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5">
        <f t="shared" si="9"/>
        <v>32.450000000000145</v>
      </c>
      <c r="X252" s="16">
        <f t="shared" si="0"/>
        <v>4.9373611085876096E-47</v>
      </c>
      <c r="Y252" s="16">
        <f t="shared" si="1"/>
        <v>2.5080427458827681E-7</v>
      </c>
      <c r="Z252" s="16">
        <f t="shared" si="2"/>
        <v>318099.76037403254</v>
      </c>
      <c r="AA252" s="16">
        <f t="shared" si="3"/>
        <v>1802059.6645029485</v>
      </c>
      <c r="AB252" s="16">
        <f t="shared" si="4"/>
        <v>1960096.2500306892</v>
      </c>
      <c r="AC252" s="16">
        <f t="shared" si="5"/>
        <v>502712.43300654384</v>
      </c>
      <c r="AD252" s="2"/>
      <c r="AE252" s="16">
        <v>318099.76037403254</v>
      </c>
      <c r="AF252" s="16">
        <f t="shared" si="6"/>
        <v>474372.43623488216</v>
      </c>
      <c r="AG252" s="16">
        <f t="shared" si="7"/>
        <v>539646.57550169108</v>
      </c>
      <c r="AH252" s="16">
        <f t="shared" si="8"/>
        <v>705231.97470332414</v>
      </c>
      <c r="AI252" s="16">
        <v>502712.43300654384</v>
      </c>
      <c r="AJ252" s="2"/>
    </row>
    <row r="253" spans="1:3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2">
        <f t="shared" si="9"/>
        <v>32.500000000000142</v>
      </c>
      <c r="X253" s="13">
        <f t="shared" si="0"/>
        <v>5.0711874519532456E-53</v>
      </c>
      <c r="Y253" s="13">
        <f t="shared" si="1"/>
        <v>7.9843327349236489E-9</v>
      </c>
      <c r="Z253" s="13">
        <f t="shared" si="2"/>
        <v>277127.41431011999</v>
      </c>
      <c r="AA253" s="13">
        <f t="shared" si="3"/>
        <v>4279588.9274068465</v>
      </c>
      <c r="AB253" s="13">
        <f t="shared" si="4"/>
        <v>2433243.7700793357</v>
      </c>
      <c r="AC253" s="13">
        <f t="shared" si="5"/>
        <v>507079.38526315766</v>
      </c>
      <c r="AD253" s="2"/>
      <c r="AE253" s="13">
        <v>277127.41431011999</v>
      </c>
      <c r="AF253" s="13">
        <f t="shared" si="6"/>
        <v>428380.11474586948</v>
      </c>
      <c r="AG253" s="13">
        <f t="shared" si="7"/>
        <v>505383.878088289</v>
      </c>
      <c r="AH253" s="13">
        <f t="shared" si="8"/>
        <v>685264.41039543157</v>
      </c>
      <c r="AI253" s="13">
        <v>507079.38526315766</v>
      </c>
      <c r="AJ253" s="2"/>
    </row>
    <row r="254" spans="1:3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5">
        <f t="shared" si="9"/>
        <v>32.550000000000139</v>
      </c>
      <c r="X254" s="16">
        <f t="shared" si="0"/>
        <v>2.5016557931754715E-59</v>
      </c>
      <c r="Y254" s="16">
        <f t="shared" si="1"/>
        <v>2.1160118706625861E-10</v>
      </c>
      <c r="Z254" s="16">
        <f t="shared" si="2"/>
        <v>239668.34039391432</v>
      </c>
      <c r="AA254" s="16">
        <f t="shared" si="3"/>
        <v>4899241.6135571003</v>
      </c>
      <c r="AB254" s="16">
        <f t="shared" si="4"/>
        <v>2516907.8818565784</v>
      </c>
      <c r="AC254" s="16">
        <f t="shared" si="5"/>
        <v>507765.53937105526</v>
      </c>
      <c r="AD254" s="2"/>
      <c r="AE254" s="16">
        <v>239668.34039391432</v>
      </c>
      <c r="AF254" s="16">
        <f t="shared" si="6"/>
        <v>384023.70490084996</v>
      </c>
      <c r="AG254" s="16">
        <f t="shared" si="7"/>
        <v>469846.66204669961</v>
      </c>
      <c r="AH254" s="16">
        <f t="shared" si="8"/>
        <v>661014.80143274926</v>
      </c>
      <c r="AI254" s="16">
        <v>507765.53937105526</v>
      </c>
      <c r="AJ254" s="2"/>
    </row>
    <row r="255" spans="1:3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2">
        <f t="shared" si="9"/>
        <v>32.600000000000136</v>
      </c>
      <c r="X255" s="13">
        <f t="shared" si="0"/>
        <v>5.9271860811404778E-66</v>
      </c>
      <c r="Y255" s="13">
        <f t="shared" si="1"/>
        <v>4.6684568782796196E-12</v>
      </c>
      <c r="Z255" s="13">
        <f t="shared" si="2"/>
        <v>205758.07049705385</v>
      </c>
      <c r="AA255" s="13">
        <f t="shared" si="3"/>
        <v>2703644.4253434939</v>
      </c>
      <c r="AB255" s="13">
        <f t="shared" si="4"/>
        <v>2169314.4034129558</v>
      </c>
      <c r="AC255" s="13">
        <f t="shared" si="5"/>
        <v>504755.93057977915</v>
      </c>
      <c r="AD255" s="2"/>
      <c r="AE255" s="13">
        <v>205758.07049705385</v>
      </c>
      <c r="AF255" s="13">
        <f t="shared" si="6"/>
        <v>341747.72894073586</v>
      </c>
      <c r="AG255" s="13">
        <f t="shared" si="7"/>
        <v>433624.39999614627</v>
      </c>
      <c r="AH255" s="13">
        <f t="shared" si="8"/>
        <v>632981.49885480665</v>
      </c>
      <c r="AI255" s="13">
        <v>504755.93057977915</v>
      </c>
      <c r="AJ255" s="2"/>
    </row>
    <row r="256" spans="1:3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5">
        <f t="shared" si="9"/>
        <v>32.650000000000134</v>
      </c>
      <c r="X256" s="16">
        <f t="shared" si="0"/>
        <v>6.7448560812743273E-73</v>
      </c>
      <c r="Y256" s="16">
        <f t="shared" si="1"/>
        <v>8.5744127010891157E-14</v>
      </c>
      <c r="Z256" s="16">
        <f t="shared" si="2"/>
        <v>175354.98636038537</v>
      </c>
      <c r="AA256" s="16">
        <f t="shared" si="3"/>
        <v>719224.0538419052</v>
      </c>
      <c r="AB256" s="16">
        <f t="shared" si="4"/>
        <v>1557941.539905563</v>
      </c>
      <c r="AC256" s="16">
        <f t="shared" si="5"/>
        <v>498116.09714472684</v>
      </c>
      <c r="AD256" s="2"/>
      <c r="AE256" s="16">
        <v>175354.98636038537</v>
      </c>
      <c r="AF256" s="16">
        <f t="shared" si="6"/>
        <v>301906.25763831398</v>
      </c>
      <c r="AG256" s="16">
        <f t="shared" si="7"/>
        <v>397277.60307316575</v>
      </c>
      <c r="AH256" s="16">
        <f t="shared" si="8"/>
        <v>601724.47035735706</v>
      </c>
      <c r="AI256" s="16">
        <v>498116.09714472684</v>
      </c>
      <c r="AJ256" s="2"/>
    </row>
    <row r="257" spans="1:3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2">
        <f t="shared" si="9"/>
        <v>32.700000000000131</v>
      </c>
      <c r="X257" s="13">
        <f t="shared" si="0"/>
        <v>3.6863785503281334E-80</v>
      </c>
      <c r="Y257" s="13">
        <f t="shared" si="1"/>
        <v>1.311025665427611E-15</v>
      </c>
      <c r="Z257" s="13">
        <f t="shared" si="2"/>
        <v>148352.33705925284</v>
      </c>
      <c r="AA257" s="13">
        <f t="shared" si="3"/>
        <v>92230.114246325655</v>
      </c>
      <c r="AB257" s="13">
        <f t="shared" si="4"/>
        <v>932294.86669566622</v>
      </c>
      <c r="AC257" s="13">
        <f t="shared" si="5"/>
        <v>487989.70744637505</v>
      </c>
      <c r="AD257" s="2"/>
      <c r="AE257" s="13">
        <v>148352.33705925284</v>
      </c>
      <c r="AF257" s="13">
        <f t="shared" si="6"/>
        <v>264763.10522894032</v>
      </c>
      <c r="AG257" s="13">
        <f t="shared" si="7"/>
        <v>361324.37150417123</v>
      </c>
      <c r="AH257" s="13">
        <f t="shared" si="8"/>
        <v>567846.76386099181</v>
      </c>
      <c r="AI257" s="13">
        <v>487989.70744637505</v>
      </c>
      <c r="AJ257" s="2"/>
    </row>
    <row r="258" spans="1:3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5">
        <f t="shared" si="9"/>
        <v>32.750000000000128</v>
      </c>
      <c r="X258" s="16">
        <f t="shared" si="0"/>
        <v>9.6767671578044026E-88</v>
      </c>
      <c r="Y258" s="16">
        <f t="shared" si="1"/>
        <v>1.6687596263684941E-17</v>
      </c>
      <c r="Z258" s="16">
        <f t="shared" si="2"/>
        <v>124590.72010180705</v>
      </c>
      <c r="AA258" s="16">
        <f t="shared" si="3"/>
        <v>5701.3171851979023</v>
      </c>
      <c r="AB258" s="16">
        <f t="shared" si="4"/>
        <v>464867.202858595</v>
      </c>
      <c r="AC258" s="16">
        <f t="shared" si="5"/>
        <v>474593.39157500246</v>
      </c>
      <c r="AD258" s="2"/>
      <c r="AE258" s="16">
        <v>124590.72010180705</v>
      </c>
      <c r="AF258" s="16">
        <f t="shared" si="6"/>
        <v>230495.09654641163</v>
      </c>
      <c r="AG258" s="16">
        <f t="shared" si="7"/>
        <v>326229.5025217217</v>
      </c>
      <c r="AH258" s="16">
        <f t="shared" si="8"/>
        <v>531975.29211186722</v>
      </c>
      <c r="AI258" s="16">
        <v>474593.39157500246</v>
      </c>
      <c r="AJ258" s="2"/>
    </row>
    <row r="259" spans="1:3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2">
        <f t="shared" si="9"/>
        <v>32.800000000000125</v>
      </c>
      <c r="X259" s="13">
        <f t="shared" si="0"/>
        <v>1.2200110652310143E-95</v>
      </c>
      <c r="Y259" s="13">
        <f t="shared" si="1"/>
        <v>1.7682845548857643E-19</v>
      </c>
      <c r="Z259" s="13">
        <f t="shared" si="2"/>
        <v>103870.45421000962</v>
      </c>
      <c r="AA259" s="13">
        <f t="shared" si="3"/>
        <v>169.89146955288129</v>
      </c>
      <c r="AB259" s="13">
        <f t="shared" si="4"/>
        <v>193142.56716524324</v>
      </c>
      <c r="AC259" s="13">
        <f t="shared" si="5"/>
        <v>458209.03705377993</v>
      </c>
      <c r="AD259" s="2"/>
      <c r="AE259" s="13">
        <v>103870.45421000963</v>
      </c>
      <c r="AF259" s="13">
        <f t="shared" si="6"/>
        <v>199197.9154226002</v>
      </c>
      <c r="AG259" s="13">
        <f t="shared" si="7"/>
        <v>292396.39625414164</v>
      </c>
      <c r="AH259" s="13">
        <f t="shared" si="8"/>
        <v>494741.78674567834</v>
      </c>
      <c r="AI259" s="13">
        <v>458209.03705377993</v>
      </c>
      <c r="AJ259" s="2"/>
    </row>
    <row r="260" spans="1:3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5">
        <f t="shared" si="9"/>
        <v>32.850000000000122</v>
      </c>
      <c r="X260" s="16">
        <f t="shared" si="0"/>
        <v>7.3875488521757841E-104</v>
      </c>
      <c r="Y260" s="16">
        <f t="shared" si="1"/>
        <v>1.5598624465573251E-21</v>
      </c>
      <c r="Z260" s="16">
        <f t="shared" si="2"/>
        <v>85963.362874790866</v>
      </c>
      <c r="AA260" s="16">
        <f t="shared" si="3"/>
        <v>2.4404047203337842</v>
      </c>
      <c r="AB260" s="16">
        <f t="shared" si="4"/>
        <v>66865.265039857142</v>
      </c>
      <c r="AC260" s="16">
        <f t="shared" si="5"/>
        <v>439173.93132552953</v>
      </c>
      <c r="AD260" s="2"/>
      <c r="AE260" s="16">
        <v>85963.362874790851</v>
      </c>
      <c r="AF260" s="16">
        <f t="shared" si="6"/>
        <v>170893.97883730326</v>
      </c>
      <c r="AG260" s="16">
        <f t="shared" si="7"/>
        <v>260161.84360068894</v>
      </c>
      <c r="AH260" s="16">
        <f t="shared" si="8"/>
        <v>456764.71723380982</v>
      </c>
      <c r="AI260" s="16">
        <v>439173.93132552953</v>
      </c>
      <c r="AJ260" s="2"/>
    </row>
    <row r="261" spans="1:3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2">
        <f t="shared" si="9"/>
        <v>32.900000000000119</v>
      </c>
      <c r="X261" s="13">
        <f t="shared" si="0"/>
        <v>2.148523358345747E-112</v>
      </c>
      <c r="Y261" s="13">
        <f t="shared" si="1"/>
        <v>1.1455030004390296E-23</v>
      </c>
      <c r="Z261" s="13">
        <f t="shared" si="2"/>
        <v>70623.590586250677</v>
      </c>
      <c r="AA261" s="13">
        <f t="shared" si="3"/>
        <v>1.6898418176140812E-2</v>
      </c>
      <c r="AB261" s="13">
        <f t="shared" si="4"/>
        <v>19288.418467131036</v>
      </c>
      <c r="AC261" s="13">
        <f t="shared" si="5"/>
        <v>417869.23221057665</v>
      </c>
      <c r="AD261" s="2"/>
      <c r="AE261" s="13">
        <v>70623.590586250677</v>
      </c>
      <c r="AF261" s="13">
        <f t="shared" si="6"/>
        <v>145541.75484215745</v>
      </c>
      <c r="AG261" s="13">
        <f t="shared" si="7"/>
        <v>229793.63295127178</v>
      </c>
      <c r="AH261" s="13">
        <f t="shared" si="8"/>
        <v>418632.87537415081</v>
      </c>
      <c r="AI261" s="13">
        <v>417869.23221057659</v>
      </c>
      <c r="AJ261" s="2"/>
    </row>
    <row r="262" spans="1:3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5">
        <f t="shared" si="9"/>
        <v>32.950000000000117</v>
      </c>
      <c r="X262" s="16">
        <f t="shared" si="0"/>
        <v>3.0011168907299382E-121</v>
      </c>
      <c r="Y262" s="16">
        <f t="shared" si="1"/>
        <v>7.002964728455878E-26</v>
      </c>
      <c r="Z262" s="16">
        <f t="shared" si="2"/>
        <v>57597.18020901976</v>
      </c>
      <c r="AA262" s="16">
        <f t="shared" si="3"/>
        <v>5.6405851983350656E-5</v>
      </c>
      <c r="AB262" s="16">
        <f t="shared" si="4"/>
        <v>4636.2425360963734</v>
      </c>
      <c r="AC262" s="16">
        <f t="shared" si="5"/>
        <v>394707.31601046253</v>
      </c>
      <c r="AD262" s="2"/>
      <c r="AE262" s="16">
        <v>57597.18020901976</v>
      </c>
      <c r="AF262" s="16">
        <f t="shared" si="6"/>
        <v>123045.95075703463</v>
      </c>
      <c r="AG262" s="16">
        <f t="shared" si="7"/>
        <v>201490.78316082709</v>
      </c>
      <c r="AH262" s="16">
        <f t="shared" si="8"/>
        <v>380891.19794376672</v>
      </c>
      <c r="AI262" s="16">
        <v>394707.31601046253</v>
      </c>
      <c r="AJ262" s="2"/>
    </row>
    <row r="263" spans="1:3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2">
        <f t="shared" si="9"/>
        <v>33.000000000000114</v>
      </c>
      <c r="X263" s="13">
        <f t="shared" si="0"/>
        <v>2.013394418420269E-130</v>
      </c>
      <c r="Y263" s="13">
        <f t="shared" si="1"/>
        <v>3.5640470303920372E-28</v>
      </c>
      <c r="Z263" s="13">
        <f t="shared" si="2"/>
        <v>46630.24331958015</v>
      </c>
      <c r="AA263" s="13">
        <f t="shared" si="3"/>
        <v>9.0760355252779477E-8</v>
      </c>
      <c r="AB263" s="13">
        <f t="shared" si="4"/>
        <v>928.55825031479696</v>
      </c>
      <c r="AC263" s="13">
        <f t="shared" si="5"/>
        <v>370118.58783709496</v>
      </c>
      <c r="AD263" s="2"/>
      <c r="AE263" s="13">
        <v>46630.24331958015</v>
      </c>
      <c r="AF263" s="13">
        <f t="shared" si="6"/>
        <v>103268.03642465055</v>
      </c>
      <c r="AG263" s="13">
        <f t="shared" si="7"/>
        <v>175386.10467225511</v>
      </c>
      <c r="AH263" s="13">
        <f t="shared" si="8"/>
        <v>344029.2490461425</v>
      </c>
      <c r="AI263" s="13">
        <v>370118.58783709496</v>
      </c>
      <c r="AJ263" s="2"/>
    </row>
    <row r="264" spans="1:3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5">
        <f t="shared" si="9"/>
        <v>33.050000000000111</v>
      </c>
      <c r="X264" s="16">
        <f t="shared" si="0"/>
        <v>6.4875083105514914E-140</v>
      </c>
      <c r="Y264" s="16">
        <f t="shared" si="1"/>
        <v>1.5100130234391328E-30</v>
      </c>
      <c r="Z264" s="16">
        <f t="shared" si="2"/>
        <v>37475.649832385723</v>
      </c>
      <c r="AA264" s="16">
        <f t="shared" si="3"/>
        <v>7.0398292298091872E-11</v>
      </c>
      <c r="AB264" s="16">
        <f t="shared" si="4"/>
        <v>154.96215145228601</v>
      </c>
      <c r="AC264" s="16">
        <f t="shared" si="5"/>
        <v>344538.33913611807</v>
      </c>
      <c r="AD264" s="2"/>
      <c r="AE264" s="16">
        <v>37475.649832385723</v>
      </c>
      <c r="AF264" s="16">
        <f t="shared" si="6"/>
        <v>86036.628969694633</v>
      </c>
      <c r="AG264" s="16">
        <f t="shared" si="7"/>
        <v>151550.71304646152</v>
      </c>
      <c r="AH264" s="16">
        <f t="shared" si="8"/>
        <v>308472.62070200982</v>
      </c>
      <c r="AI264" s="16">
        <v>344538.33913611807</v>
      </c>
      <c r="AJ264" s="2"/>
    </row>
    <row r="265" spans="1:3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2">
        <f t="shared" si="9"/>
        <v>33.100000000000108</v>
      </c>
      <c r="X265" s="13">
        <f t="shared" si="0"/>
        <v>1.0039916751259984E-149</v>
      </c>
      <c r="Y265" s="13">
        <f t="shared" si="1"/>
        <v>5.325908968489278E-33</v>
      </c>
      <c r="Z265" s="13">
        <f t="shared" si="2"/>
        <v>29898.244846658385</v>
      </c>
      <c r="AA265" s="13">
        <f t="shared" si="3"/>
        <v>2.6322187286674154E-14</v>
      </c>
      <c r="AB265" s="13">
        <f t="shared" si="4"/>
        <v>21.548428347770511</v>
      </c>
      <c r="AC265" s="13">
        <f t="shared" si="5"/>
        <v>318394.20476824103</v>
      </c>
      <c r="AD265" s="2"/>
      <c r="AE265" s="13">
        <v>29898.244846658385</v>
      </c>
      <c r="AF265" s="13">
        <f t="shared" si="6"/>
        <v>71157.343445070277</v>
      </c>
      <c r="AG265" s="13">
        <f t="shared" si="7"/>
        <v>130000.07101767778</v>
      </c>
      <c r="AH265" s="13">
        <f t="shared" si="8"/>
        <v>274577.34646494774</v>
      </c>
      <c r="AI265" s="13">
        <v>318394.20476824103</v>
      </c>
      <c r="AJ265" s="2"/>
    </row>
    <row r="266" spans="1:3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5">
        <f t="shared" si="9"/>
        <v>33.150000000000105</v>
      </c>
      <c r="X266" s="16">
        <f t="shared" si="0"/>
        <v>7.4625183834262489E-160</v>
      </c>
      <c r="Y266" s="16">
        <f t="shared" si="1"/>
        <v>1.5638048822527184E-35</v>
      </c>
      <c r="Z266" s="16">
        <f t="shared" si="2"/>
        <v>23678.666848180834</v>
      </c>
      <c r="AA266" s="16">
        <f t="shared" si="3"/>
        <v>4.7443392792484717E-18</v>
      </c>
      <c r="AB266" s="16">
        <f t="shared" si="4"/>
        <v>2.4967728953697361</v>
      </c>
      <c r="AC266" s="16">
        <f t="shared" si="5"/>
        <v>292094.71018032823</v>
      </c>
      <c r="AD266" s="2"/>
      <c r="AE266" s="16">
        <v>23678.666848180834</v>
      </c>
      <c r="AF266" s="16">
        <f t="shared" si="6"/>
        <v>58421.80082138408</v>
      </c>
      <c r="AG266" s="16">
        <f t="shared" si="7"/>
        <v>110701.11596930538</v>
      </c>
      <c r="AH266" s="16">
        <f t="shared" si="8"/>
        <v>242627.26853772806</v>
      </c>
      <c r="AI266" s="16">
        <v>292094.71018032823</v>
      </c>
      <c r="AJ266" s="2"/>
    </row>
    <row r="267" spans="1:3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2">
        <f t="shared" si="9"/>
        <v>33.200000000000102</v>
      </c>
      <c r="X267" s="13">
        <f t="shared" si="0"/>
        <v>2.6640589702266683E-170</v>
      </c>
      <c r="Y267" s="13">
        <f t="shared" si="1"/>
        <v>3.8224971445380498E-38</v>
      </c>
      <c r="Z267" s="13">
        <f t="shared" si="2"/>
        <v>18615.891170308041</v>
      </c>
      <c r="AA267" s="13">
        <f t="shared" si="3"/>
        <v>4.1221464429226544E-22</v>
      </c>
      <c r="AB267" s="13">
        <f t="shared" si="4"/>
        <v>0.24105489803639596</v>
      </c>
      <c r="AC267" s="13">
        <f t="shared" si="5"/>
        <v>266019.31374615605</v>
      </c>
      <c r="AD267" s="2"/>
      <c r="AE267" s="13">
        <v>18615.891170308041</v>
      </c>
      <c r="AF267" s="13">
        <f t="shared" si="6"/>
        <v>47615.574336780985</v>
      </c>
      <c r="AG267" s="13">
        <f t="shared" si="7"/>
        <v>93580.036955246906</v>
      </c>
      <c r="AH267" s="13">
        <f t="shared" si="8"/>
        <v>212834.16269950723</v>
      </c>
      <c r="AI267" s="13">
        <v>266019.31374615605</v>
      </c>
      <c r="AJ267" s="2"/>
    </row>
    <row r="268" spans="1:3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5">
        <f t="shared" si="9"/>
        <v>33.250000000000099</v>
      </c>
      <c r="X268" s="16">
        <f t="shared" si="0"/>
        <v>4.5677820289444133E-181</v>
      </c>
      <c r="Y268" s="16">
        <f t="shared" si="1"/>
        <v>7.7783513074112018E-41</v>
      </c>
      <c r="Z268" s="16">
        <f t="shared" si="2"/>
        <v>14528.656194069468</v>
      </c>
      <c r="AA268" s="16">
        <f t="shared" si="3"/>
        <v>1.7264937374251341E-26</v>
      </c>
      <c r="AB268" s="16">
        <f t="shared" si="4"/>
        <v>1.9392167697562315E-2</v>
      </c>
      <c r="AC268" s="16">
        <f t="shared" si="5"/>
        <v>240510.24719309693</v>
      </c>
      <c r="AD268" s="2"/>
      <c r="AE268" s="16">
        <v>14528.656194069468</v>
      </c>
      <c r="AF268" s="16">
        <f t="shared" si="6"/>
        <v>38524.941520566274</v>
      </c>
      <c r="AG268" s="16">
        <f t="shared" si="7"/>
        <v>78530.295141950541</v>
      </c>
      <c r="AH268" s="16">
        <f t="shared" si="8"/>
        <v>185340.31392474004</v>
      </c>
      <c r="AI268" s="16">
        <v>240510.24719309693</v>
      </c>
      <c r="AJ268" s="2"/>
    </row>
    <row r="269" spans="1:3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2">
        <f t="shared" si="9"/>
        <v>33.300000000000097</v>
      </c>
      <c r="X269" s="13">
        <f t="shared" si="0"/>
        <v>3.7615776107364761E-192</v>
      </c>
      <c r="Y269" s="13">
        <f t="shared" si="1"/>
        <v>1.317661078775576E-43</v>
      </c>
      <c r="Z269" s="13">
        <f t="shared" si="2"/>
        <v>11255.948394346682</v>
      </c>
      <c r="AA269" s="13">
        <f t="shared" si="3"/>
        <v>3.4857843179712805E-31</v>
      </c>
      <c r="AB269" s="13">
        <f t="shared" si="4"/>
        <v>1.2999008694799224E-3</v>
      </c>
      <c r="AC269" s="13">
        <f t="shared" si="5"/>
        <v>215866.34575131949</v>
      </c>
      <c r="AD269" s="2"/>
      <c r="AE269" s="13">
        <v>11255.948394346682</v>
      </c>
      <c r="AF269" s="13">
        <f t="shared" si="6"/>
        <v>30942.387654136077</v>
      </c>
      <c r="AG269" s="13">
        <f t="shared" si="7"/>
        <v>65420.528902385624</v>
      </c>
      <c r="AH269" s="13">
        <f t="shared" si="8"/>
        <v>160223.15311032024</v>
      </c>
      <c r="AI269" s="13">
        <v>215866.34575131949</v>
      </c>
      <c r="AJ269" s="2"/>
    </row>
    <row r="270" spans="1:3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5">
        <f t="shared" si="9"/>
        <v>33.350000000000094</v>
      </c>
      <c r="X270" s="16">
        <f t="shared" si="0"/>
        <v>1.4877768604768728E-203</v>
      </c>
      <c r="Y270" s="16">
        <f t="shared" si="1"/>
        <v>1.858213714837944E-46</v>
      </c>
      <c r="Z270" s="16">
        <f t="shared" si="2"/>
        <v>8656.7279823352092</v>
      </c>
      <c r="AA270" s="16">
        <f t="shared" si="3"/>
        <v>3.3925786882761616E-36</v>
      </c>
      <c r="AB270" s="16">
        <f t="shared" si="4"/>
        <v>7.2605177033945799E-5</v>
      </c>
      <c r="AC270" s="16">
        <f t="shared" si="5"/>
        <v>192338.94692081251</v>
      </c>
      <c r="AD270" s="2"/>
      <c r="AE270" s="16">
        <v>8656.7279823352092</v>
      </c>
      <c r="AF270" s="16">
        <f t="shared" si="6"/>
        <v>24670.873759989474</v>
      </c>
      <c r="AG270" s="16">
        <f t="shared" si="7"/>
        <v>54102.04435553879</v>
      </c>
      <c r="AH270" s="16">
        <f t="shared" si="8"/>
        <v>137501.51362100121</v>
      </c>
      <c r="AI270" s="16">
        <v>192338.94692081251</v>
      </c>
      <c r="AJ270" s="2"/>
    </row>
    <row r="271" spans="1:3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2">
        <f t="shared" si="9"/>
        <v>33.400000000000091</v>
      </c>
      <c r="X271" s="13">
        <f t="shared" si="0"/>
        <v>2.8262377337849903E-215</v>
      </c>
      <c r="Y271" s="13">
        <f t="shared" si="1"/>
        <v>2.1815410213116628E-49</v>
      </c>
      <c r="Z271" s="13">
        <f t="shared" si="2"/>
        <v>6609.0719511097122</v>
      </c>
      <c r="AA271" s="13">
        <f t="shared" si="3"/>
        <v>1.5916708434654608E-41</v>
      </c>
      <c r="AB271" s="13">
        <f t="shared" si="4"/>
        <v>3.3790795928424628E-6</v>
      </c>
      <c r="AC271" s="13">
        <f t="shared" si="5"/>
        <v>170129.82967538576</v>
      </c>
      <c r="AD271" s="2"/>
      <c r="AE271" s="13">
        <v>6609.0719511097122</v>
      </c>
      <c r="AF271" s="13">
        <f t="shared" si="6"/>
        <v>19526.93645112382</v>
      </c>
      <c r="AG271" s="13">
        <f t="shared" si="7"/>
        <v>44415.658496619202</v>
      </c>
      <c r="AH271" s="13">
        <f t="shared" si="8"/>
        <v>117143.04491235569</v>
      </c>
      <c r="AI271" s="13">
        <v>170129.82967538576</v>
      </c>
      <c r="AJ271" s="2"/>
    </row>
    <row r="272" spans="1:3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5">
        <f t="shared" si="9"/>
        <v>33.450000000000088</v>
      </c>
      <c r="X272" s="16">
        <f t="shared" si="0"/>
        <v>2.5785924029545505E-227</v>
      </c>
      <c r="Y272" s="16">
        <f t="shared" si="1"/>
        <v>2.1320966406408712E-52</v>
      </c>
      <c r="Z272" s="16">
        <f t="shared" si="2"/>
        <v>5008.8983703490476</v>
      </c>
      <c r="AA272" s="16">
        <f t="shared" si="3"/>
        <v>3.5997347919321717E-47</v>
      </c>
      <c r="AB272" s="16">
        <f t="shared" si="4"/>
        <v>1.31039652494364E-7</v>
      </c>
      <c r="AC272" s="16">
        <f t="shared" si="5"/>
        <v>149391.07061621806</v>
      </c>
      <c r="AD272" s="2"/>
      <c r="AE272" s="16">
        <v>5008.8983703490476</v>
      </c>
      <c r="AF272" s="16">
        <f t="shared" si="6"/>
        <v>15342.72738346625</v>
      </c>
      <c r="AG272" s="16">
        <f t="shared" si="7"/>
        <v>36197.730168351183</v>
      </c>
      <c r="AH272" s="16">
        <f t="shared" si="8"/>
        <v>99072.326807921592</v>
      </c>
      <c r="AI272" s="16">
        <v>149391.07061621809</v>
      </c>
      <c r="AJ272" s="2"/>
    </row>
    <row r="273" spans="1:3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2">
        <f t="shared" si="9"/>
        <v>33.500000000000085</v>
      </c>
      <c r="X273" s="13">
        <f t="shared" si="0"/>
        <v>1.1299515567988373E-239</v>
      </c>
      <c r="Y273" s="13">
        <f t="shared" si="1"/>
        <v>1.7347071454187594E-55</v>
      </c>
      <c r="Z273" s="13">
        <f t="shared" si="2"/>
        <v>3768.4173208418197</v>
      </c>
      <c r="AA273" s="13">
        <f t="shared" si="3"/>
        <v>3.9244758757523326E-53</v>
      </c>
      <c r="AB273" s="13">
        <f t="shared" si="4"/>
        <v>4.2342892530568042E-9</v>
      </c>
      <c r="AC273" s="13">
        <f t="shared" si="5"/>
        <v>130226.614766099</v>
      </c>
      <c r="AD273" s="2"/>
      <c r="AE273" s="13">
        <v>3768.4173208418197</v>
      </c>
      <c r="AF273" s="13">
        <f t="shared" si="6"/>
        <v>11967.126931226114</v>
      </c>
      <c r="AG273" s="13">
        <f t="shared" si="7"/>
        <v>29285.279635968436</v>
      </c>
      <c r="AH273" s="13">
        <f t="shared" si="8"/>
        <v>83179.258053209705</v>
      </c>
      <c r="AI273" s="13">
        <v>130226.614766099</v>
      </c>
      <c r="AJ273" s="2"/>
    </row>
    <row r="274" spans="1:3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5">
        <f t="shared" si="9"/>
        <v>33.550000000000082</v>
      </c>
      <c r="X274" s="16">
        <f t="shared" si="0"/>
        <v>2.3781545154984974E-252</v>
      </c>
      <c r="Y274" s="16">
        <f t="shared" si="1"/>
        <v>1.1749549853456793E-58</v>
      </c>
      <c r="Z274" s="16">
        <f t="shared" si="2"/>
        <v>2814.4322181553675</v>
      </c>
      <c r="AA274" s="16">
        <f t="shared" si="3"/>
        <v>2.0624657032040511E-59</v>
      </c>
      <c r="AB274" s="16">
        <f t="shared" si="4"/>
        <v>1.1400707151691196E-10</v>
      </c>
      <c r="AC274" s="16">
        <f t="shared" si="5"/>
        <v>112695.2994682674</v>
      </c>
      <c r="AD274" s="2"/>
      <c r="AE274" s="16">
        <v>2814.4322181553675</v>
      </c>
      <c r="AF274" s="16">
        <f t="shared" si="6"/>
        <v>9266.0811683161246</v>
      </c>
      <c r="AG274" s="16">
        <f t="shared" si="7"/>
        <v>23520.156994127865</v>
      </c>
      <c r="AH274" s="16">
        <f t="shared" si="8"/>
        <v>69327.341455023736</v>
      </c>
      <c r="AI274" s="16">
        <v>112695.2994682674</v>
      </c>
      <c r="AJ274" s="2"/>
    </row>
    <row r="275" spans="1:3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2">
        <f t="shared" si="9"/>
        <v>33.60000000000008</v>
      </c>
      <c r="X275" s="13">
        <f t="shared" si="0"/>
        <v>2.4039389264395176E-265</v>
      </c>
      <c r="Y275" s="13">
        <f t="shared" si="1"/>
        <v>6.6250943666785432E-62</v>
      </c>
      <c r="Z275" s="13">
        <f t="shared" si="2"/>
        <v>2086.592429383807</v>
      </c>
      <c r="AA275" s="13">
        <f t="shared" si="3"/>
        <v>5.2249930902952344E-66</v>
      </c>
      <c r="AB275" s="13">
        <f t="shared" si="4"/>
        <v>2.5577408306723911E-12</v>
      </c>
      <c r="AC275" s="13">
        <f t="shared" si="5"/>
        <v>96815.031659058368</v>
      </c>
      <c r="AD275" s="2"/>
      <c r="AE275" s="13">
        <v>2086.592429383807</v>
      </c>
      <c r="AF275" s="13">
        <f t="shared" si="6"/>
        <v>7122.3149857169092</v>
      </c>
      <c r="AG275" s="13">
        <f t="shared" si="7"/>
        <v>18752.270591478493</v>
      </c>
      <c r="AH275" s="13">
        <f t="shared" si="8"/>
        <v>57361.549621339596</v>
      </c>
      <c r="AI275" s="13">
        <v>96815.031659058353</v>
      </c>
      <c r="AJ275" s="2"/>
    </row>
    <row r="276" spans="1:3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5">
        <f t="shared" si="9"/>
        <v>33.650000000000077</v>
      </c>
      <c r="X276" s="16">
        <f t="shared" si="0"/>
        <v>1.1671049446494021E-278</v>
      </c>
      <c r="Y276" s="16">
        <f t="shared" si="1"/>
        <v>3.1098446050988972E-65</v>
      </c>
      <c r="Z276" s="16">
        <f t="shared" si="2"/>
        <v>1535.6756290139556</v>
      </c>
      <c r="AA276" s="16">
        <f t="shared" si="3"/>
        <v>6.380851227672989E-73</v>
      </c>
      <c r="AB276" s="16">
        <f t="shared" si="4"/>
        <v>4.7813965192659706E-14</v>
      </c>
      <c r="AC276" s="16">
        <f t="shared" si="5"/>
        <v>82567.801468029618</v>
      </c>
      <c r="AD276" s="2"/>
      <c r="AE276" s="16">
        <v>1535.6756290139556</v>
      </c>
      <c r="AF276" s="16">
        <f t="shared" si="6"/>
        <v>5434.5692418251419</v>
      </c>
      <c r="AG276" s="16">
        <f t="shared" si="7"/>
        <v>14841.927642920284</v>
      </c>
      <c r="AH276" s="16">
        <f t="shared" si="8"/>
        <v>47115.524384964076</v>
      </c>
      <c r="AI276" s="16">
        <v>82567.801468029618</v>
      </c>
      <c r="AJ276" s="2"/>
    </row>
    <row r="277" spans="1:3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2">
        <f t="shared" si="9"/>
        <v>33.700000000000074</v>
      </c>
      <c r="X277" s="13">
        <f t="shared" si="0"/>
        <v>2.7214446495778787E-292</v>
      </c>
      <c r="Y277" s="13">
        <f t="shared" si="1"/>
        <v>1.2152372902350781E-68</v>
      </c>
      <c r="Z277" s="13">
        <f t="shared" si="2"/>
        <v>1121.9574535799968</v>
      </c>
      <c r="AA277" s="13">
        <f t="shared" si="3"/>
        <v>3.7563446359626423E-80</v>
      </c>
      <c r="AB277" s="13">
        <f t="shared" si="4"/>
        <v>7.4477735606416974E-16</v>
      </c>
      <c r="AC277" s="13">
        <f t="shared" si="5"/>
        <v>69905.217116905682</v>
      </c>
      <c r="AD277" s="2"/>
      <c r="AE277" s="13">
        <v>1121.9574535799968</v>
      </c>
      <c r="AF277" s="13">
        <f t="shared" si="6"/>
        <v>4116.4983914038157</v>
      </c>
      <c r="AG277" s="13">
        <f t="shared" si="7"/>
        <v>11661.369666989673</v>
      </c>
      <c r="AH277" s="13">
        <f t="shared" si="8"/>
        <v>38417.934142557657</v>
      </c>
      <c r="AI277" s="13">
        <v>69905.217116905682</v>
      </c>
      <c r="AJ277" s="2"/>
    </row>
    <row r="278" spans="1:3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5">
        <f t="shared" si="9"/>
        <v>33.750000000000071</v>
      </c>
      <c r="X278" s="16">
        <f t="shared" si="0"/>
        <v>3.0478403914754229E-306</v>
      </c>
      <c r="Y278" s="16">
        <f t="shared" si="1"/>
        <v>3.9532953920586436E-72</v>
      </c>
      <c r="Z278" s="16">
        <f t="shared" si="2"/>
        <v>813.70749306513255</v>
      </c>
      <c r="AA278" s="16">
        <f t="shared" si="3"/>
        <v>1.0659728815809956E-87</v>
      </c>
      <c r="AB278" s="16">
        <f t="shared" si="4"/>
        <v>9.6665531992673945E-18</v>
      </c>
      <c r="AC278" s="16">
        <f t="shared" si="5"/>
        <v>58754.264788726126</v>
      </c>
      <c r="AD278" s="2"/>
      <c r="AE278" s="16">
        <v>813.70749306513255</v>
      </c>
      <c r="AF278" s="16">
        <f t="shared" si="6"/>
        <v>3095.3491745522751</v>
      </c>
      <c r="AG278" s="16">
        <f t="shared" si="7"/>
        <v>9095.6055808637866</v>
      </c>
      <c r="AH278" s="16">
        <f t="shared" si="8"/>
        <v>31097.881993246348</v>
      </c>
      <c r="AI278" s="16">
        <v>58754.264788726126</v>
      </c>
      <c r="AJ278" s="2"/>
    </row>
    <row r="279" spans="1:3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2">
        <f t="shared" si="9"/>
        <v>33.800000000000068</v>
      </c>
      <c r="X279" s="13">
        <f t="shared" si="0"/>
        <v>0</v>
      </c>
      <c r="Y279" s="13">
        <f t="shared" si="1"/>
        <v>1.0706147545649952E-75</v>
      </c>
      <c r="Z279" s="13">
        <f t="shared" si="2"/>
        <v>585.834944748515</v>
      </c>
      <c r="AA279" s="13">
        <f t="shared" si="3"/>
        <v>1.4582124276835233E-95</v>
      </c>
      <c r="AB279" s="13">
        <f t="shared" si="4"/>
        <v>1.0454187982325181E-19</v>
      </c>
      <c r="AC279" s="13">
        <f t="shared" si="5"/>
        <v>49023.029105480528</v>
      </c>
      <c r="AD279" s="2"/>
      <c r="AE279" s="13">
        <v>585.834944748515</v>
      </c>
      <c r="AF279" s="13">
        <f t="shared" si="6"/>
        <v>2310.5225849685162</v>
      </c>
      <c r="AG279" s="13">
        <f t="shared" si="7"/>
        <v>7042.6560715696369</v>
      </c>
      <c r="AH279" s="13">
        <f t="shared" si="8"/>
        <v>24989.320064372772</v>
      </c>
      <c r="AI279" s="13">
        <v>49023.029105480528</v>
      </c>
      <c r="AJ279" s="2"/>
    </row>
    <row r="280" spans="1:3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5">
        <f t="shared" si="9"/>
        <v>33.850000000000065</v>
      </c>
      <c r="X280" s="16">
        <f t="shared" si="0"/>
        <v>0</v>
      </c>
      <c r="Y280" s="16">
        <f t="shared" si="1"/>
        <v>2.4136981731268406E-79</v>
      </c>
      <c r="Z280" s="16">
        <f t="shared" si="2"/>
        <v>418.69450679602909</v>
      </c>
      <c r="AA280" s="16">
        <f t="shared" si="3"/>
        <v>9.615886920055968E-104</v>
      </c>
      <c r="AB280" s="16">
        <f t="shared" si="4"/>
        <v>9.4206841471215745E-22</v>
      </c>
      <c r="AC280" s="16">
        <f t="shared" si="5"/>
        <v>40606.151262125743</v>
      </c>
      <c r="AD280" s="2"/>
      <c r="AE280" s="16">
        <v>418.69450679602909</v>
      </c>
      <c r="AF280" s="16">
        <f t="shared" si="6"/>
        <v>1712.1021098350352</v>
      </c>
      <c r="AG280" s="16">
        <f t="shared" si="7"/>
        <v>5413.3255369643775</v>
      </c>
      <c r="AH280" s="16">
        <f t="shared" si="8"/>
        <v>19934.479143843815</v>
      </c>
      <c r="AI280" s="16">
        <v>40606.151262125743</v>
      </c>
      <c r="AJ280" s="2"/>
    </row>
    <row r="281" spans="1:3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2">
        <f t="shared" si="9"/>
        <v>33.900000000000063</v>
      </c>
      <c r="X281" s="13">
        <f t="shared" si="0"/>
        <v>0</v>
      </c>
      <c r="Y281" s="13">
        <f t="shared" si="1"/>
        <v>4.530107193381054E-83</v>
      </c>
      <c r="Z281" s="13">
        <f t="shared" si="2"/>
        <v>297.05323321706737</v>
      </c>
      <c r="AA281" s="13">
        <f t="shared" si="3"/>
        <v>3.0566929357146255E-112</v>
      </c>
      <c r="AB281" s="13">
        <f t="shared" si="4"/>
        <v>7.0737231687101566E-24</v>
      </c>
      <c r="AC281" s="13">
        <f t="shared" si="5"/>
        <v>33389.84882343858</v>
      </c>
      <c r="AD281" s="2"/>
      <c r="AE281" s="13">
        <v>297.05323321706737</v>
      </c>
      <c r="AF281" s="13">
        <f t="shared" si="6"/>
        <v>1259.4124449554824</v>
      </c>
      <c r="AG281" s="13">
        <f t="shared" si="7"/>
        <v>4130.6140053576601</v>
      </c>
      <c r="AH281" s="13">
        <f t="shared" si="8"/>
        <v>15786.366117437787</v>
      </c>
      <c r="AI281" s="13">
        <v>33389.84882343858</v>
      </c>
      <c r="AJ281" s="2"/>
    </row>
    <row r="282" spans="1:3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5">
        <f t="shared" si="9"/>
        <v>33.95000000000006</v>
      </c>
      <c r="X282" s="16">
        <f t="shared" si="0"/>
        <v>0</v>
      </c>
      <c r="Y282" s="16">
        <f t="shared" si="1"/>
        <v>7.0779872323088914E-87</v>
      </c>
      <c r="Z282" s="16">
        <f t="shared" si="2"/>
        <v>209.21187685721179</v>
      </c>
      <c r="AA282" s="16">
        <f t="shared" si="3"/>
        <v>4.683906234205867E-121</v>
      </c>
      <c r="AB282" s="16">
        <f t="shared" si="4"/>
        <v>4.4257528166650124E-26</v>
      </c>
      <c r="AC282" s="16">
        <f t="shared" si="5"/>
        <v>27256.370029249134</v>
      </c>
      <c r="AD282" s="2"/>
      <c r="AE282" s="16">
        <v>209.21187685721179</v>
      </c>
      <c r="AF282" s="16">
        <f t="shared" si="6"/>
        <v>919.65549928265102</v>
      </c>
      <c r="AG282" s="16">
        <f t="shared" si="7"/>
        <v>3128.8726403408573</v>
      </c>
      <c r="AH282" s="16">
        <f t="shared" si="8"/>
        <v>12410.414120128615</v>
      </c>
      <c r="AI282" s="16">
        <v>27256.370029249138</v>
      </c>
      <c r="AJ282" s="2"/>
    </row>
    <row r="283" spans="1:3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2">
        <f t="shared" si="9"/>
        <v>34.000000000000057</v>
      </c>
      <c r="X283" s="13">
        <f t="shared" si="0"/>
        <v>0</v>
      </c>
      <c r="Y283" s="13">
        <f t="shared" si="1"/>
        <v>9.2063366251743794E-91</v>
      </c>
      <c r="Z283" s="13">
        <f t="shared" si="2"/>
        <v>146.26937935507735</v>
      </c>
      <c r="AA283" s="13">
        <f t="shared" si="3"/>
        <v>3.4598596756625213E-130</v>
      </c>
      <c r="AB283" s="13">
        <f t="shared" si="4"/>
        <v>2.3072769508054713E-28</v>
      </c>
      <c r="AC283" s="13">
        <f t="shared" si="5"/>
        <v>22087.802962303798</v>
      </c>
      <c r="AD283" s="2"/>
      <c r="AE283" s="13">
        <v>146.26937935507735</v>
      </c>
      <c r="AF283" s="13">
        <f t="shared" si="6"/>
        <v>666.65514843868766</v>
      </c>
      <c r="AG283" s="13">
        <f t="shared" si="7"/>
        <v>2352.7943149128237</v>
      </c>
      <c r="AH283" s="13">
        <f t="shared" si="8"/>
        <v>9685.3919679922819</v>
      </c>
      <c r="AI283" s="13">
        <v>22087.802962303798</v>
      </c>
      <c r="AJ283" s="2"/>
    </row>
    <row r="284" spans="1:3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5">
        <f t="shared" si="9"/>
        <v>34.050000000000054</v>
      </c>
      <c r="X284" s="16">
        <f t="shared" si="0"/>
        <v>0</v>
      </c>
      <c r="Y284" s="16">
        <f t="shared" si="1"/>
        <v>9.9687270693742866E-95</v>
      </c>
      <c r="Z284" s="16">
        <f t="shared" si="2"/>
        <v>101.51624210740479</v>
      </c>
      <c r="AA284" s="16">
        <f t="shared" si="3"/>
        <v>1.2319772587894378E-139</v>
      </c>
      <c r="AB284" s="16">
        <f t="shared" si="4"/>
        <v>1.0022724183271709E-30</v>
      </c>
      <c r="AC284" s="16">
        <f t="shared" si="5"/>
        <v>17769.203516983875</v>
      </c>
      <c r="AD284" s="2"/>
      <c r="AE284" s="16">
        <v>101.51624210740479</v>
      </c>
      <c r="AF284" s="16">
        <f t="shared" si="6"/>
        <v>479.72922491239592</v>
      </c>
      <c r="AG284" s="16">
        <f t="shared" si="7"/>
        <v>1756.3167469212829</v>
      </c>
      <c r="AH284" s="16">
        <f t="shared" si="8"/>
        <v>7503.6912118253103</v>
      </c>
      <c r="AI284" s="16">
        <v>17769.203516983875</v>
      </c>
      <c r="AJ284" s="2"/>
    </row>
    <row r="285" spans="1:3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2">
        <f t="shared" si="9"/>
        <v>34.100000000000051</v>
      </c>
      <c r="X285" s="13">
        <f t="shared" si="0"/>
        <v>0</v>
      </c>
      <c r="Y285" s="13">
        <f t="shared" si="1"/>
        <v>8.9860398520681634E-99</v>
      </c>
      <c r="Z285" s="13">
        <f t="shared" si="2"/>
        <v>69.941135400612609</v>
      </c>
      <c r="AA285" s="13">
        <f t="shared" si="3"/>
        <v>2.1146612675194324E-149</v>
      </c>
      <c r="AB285" s="13">
        <f t="shared" si="4"/>
        <v>3.6278164772179417E-33</v>
      </c>
      <c r="AC285" s="13">
        <f t="shared" si="5"/>
        <v>14191.043872879476</v>
      </c>
      <c r="AD285" s="2"/>
      <c r="AE285" s="13">
        <v>69.941135400612609</v>
      </c>
      <c r="AF285" s="13">
        <f t="shared" si="6"/>
        <v>342.69675241084929</v>
      </c>
      <c r="AG285" s="13">
        <f t="shared" si="7"/>
        <v>1301.5010617617504</v>
      </c>
      <c r="AH285" s="13">
        <f t="shared" si="8"/>
        <v>5771.1123789498051</v>
      </c>
      <c r="AI285" s="13">
        <v>14191.043872879476</v>
      </c>
      <c r="AJ285" s="2"/>
    </row>
    <row r="286" spans="1:3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5">
        <f t="shared" si="9"/>
        <v>34.150000000000048</v>
      </c>
      <c r="X286" s="16">
        <f t="shared" si="0"/>
        <v>0</v>
      </c>
      <c r="Y286" s="16">
        <f t="shared" si="1"/>
        <v>6.7433042392781538E-103</v>
      </c>
      <c r="Z286" s="16">
        <f t="shared" si="2"/>
        <v>47.834898284009768</v>
      </c>
      <c r="AA286" s="16">
        <f t="shared" si="3"/>
        <v>1.749737274834309E-159</v>
      </c>
      <c r="AB286" s="16">
        <f t="shared" si="4"/>
        <v>1.0941536595324222E-35</v>
      </c>
      <c r="AC286" s="16">
        <f t="shared" si="5"/>
        <v>11251.013946899355</v>
      </c>
      <c r="AD286" s="2"/>
      <c r="AE286" s="16">
        <v>47.834898284009775</v>
      </c>
      <c r="AF286" s="16">
        <f t="shared" si="6"/>
        <v>243.02036843892694</v>
      </c>
      <c r="AG286" s="16">
        <f t="shared" si="7"/>
        <v>957.43437271013624</v>
      </c>
      <c r="AH286" s="16">
        <f t="shared" si="8"/>
        <v>4406.2682539542084</v>
      </c>
      <c r="AI286" s="16">
        <v>11251.013946899355</v>
      </c>
      <c r="AJ286" s="2"/>
    </row>
    <row r="287" spans="1:3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2">
        <f t="shared" si="9"/>
        <v>34.200000000000045</v>
      </c>
      <c r="X287" s="13">
        <f t="shared" si="0"/>
        <v>0</v>
      </c>
      <c r="Y287" s="13">
        <f t="shared" si="1"/>
        <v>4.2126264251370617E-107</v>
      </c>
      <c r="Z287" s="13">
        <f t="shared" si="2"/>
        <v>32.476712644083513</v>
      </c>
      <c r="AA287" s="13">
        <f t="shared" si="3"/>
        <v>6.9790898601637365E-170</v>
      </c>
      <c r="AB287" s="13">
        <f t="shared" si="4"/>
        <v>2.7496967721685487E-38</v>
      </c>
      <c r="AC287" s="13">
        <f t="shared" si="5"/>
        <v>8855.2315649587017</v>
      </c>
      <c r="AD287" s="2"/>
      <c r="AE287" s="13">
        <v>32.476712644083513</v>
      </c>
      <c r="AF287" s="13">
        <f t="shared" si="6"/>
        <v>171.07802766865521</v>
      </c>
      <c r="AG287" s="13">
        <f t="shared" si="7"/>
        <v>699.19176910136309</v>
      </c>
      <c r="AH287" s="13">
        <f t="shared" si="8"/>
        <v>3339.7131037704157</v>
      </c>
      <c r="AI287" s="13">
        <v>8855.2315649587017</v>
      </c>
      <c r="AJ287" s="2"/>
    </row>
    <row r="288" spans="1:3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5">
        <f t="shared" si="9"/>
        <v>34.250000000000043</v>
      </c>
      <c r="X288" s="16">
        <f t="shared" si="0"/>
        <v>0</v>
      </c>
      <c r="Y288" s="16">
        <f t="shared" si="1"/>
        <v>2.1908312168778582E-111</v>
      </c>
      <c r="Z288" s="16">
        <f t="shared" si="2"/>
        <v>21.888414376810037</v>
      </c>
      <c r="AA288" s="16">
        <f t="shared" si="3"/>
        <v>1.3418953564944661E-180</v>
      </c>
      <c r="AB288" s="16">
        <f t="shared" si="4"/>
        <v>5.7579086283713531E-41</v>
      </c>
      <c r="AC288" s="16">
        <f t="shared" si="5"/>
        <v>6918.9329363550651</v>
      </c>
      <c r="AD288" s="2"/>
      <c r="AE288" s="16">
        <v>21.888414376810037</v>
      </c>
      <c r="AF288" s="16">
        <f t="shared" si="6"/>
        <v>119.55415330065235</v>
      </c>
      <c r="AG288" s="16">
        <f t="shared" si="7"/>
        <v>506.88145619553842</v>
      </c>
      <c r="AH288" s="16">
        <f t="shared" si="8"/>
        <v>2512.8942495656524</v>
      </c>
      <c r="AI288" s="16">
        <v>6918.9329363550651</v>
      </c>
      <c r="AJ288" s="2"/>
    </row>
    <row r="289" spans="1:3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2">
        <f t="shared" si="9"/>
        <v>34.30000000000004</v>
      </c>
      <c r="X289" s="13">
        <f t="shared" si="0"/>
        <v>0</v>
      </c>
      <c r="Y289" s="13">
        <f t="shared" si="1"/>
        <v>9.4850728919004758E-116</v>
      </c>
      <c r="Z289" s="13">
        <f t="shared" si="2"/>
        <v>14.644399666266702</v>
      </c>
      <c r="AA289" s="13">
        <f t="shared" si="3"/>
        <v>1.2437480801828254E-191</v>
      </c>
      <c r="AB289" s="13">
        <f t="shared" si="4"/>
        <v>1.0046579197665307E-43</v>
      </c>
      <c r="AC289" s="13">
        <f t="shared" si="5"/>
        <v>5366.7239738554936</v>
      </c>
      <c r="AD289" s="2"/>
      <c r="AE289" s="13">
        <v>14.644399666266702</v>
      </c>
      <c r="AF289" s="13">
        <f t="shared" si="6"/>
        <v>82.938079567405339</v>
      </c>
      <c r="AG289" s="13">
        <f t="shared" si="7"/>
        <v>364.78695834377078</v>
      </c>
      <c r="AH289" s="13">
        <f t="shared" si="8"/>
        <v>1877.0078515246878</v>
      </c>
      <c r="AI289" s="13">
        <v>5366.7239738554936</v>
      </c>
      <c r="AJ289" s="2"/>
    </row>
    <row r="290" spans="1:3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5">
        <f t="shared" si="9"/>
        <v>34.350000000000037</v>
      </c>
      <c r="X290" s="16">
        <f t="shared" si="0"/>
        <v>0</v>
      </c>
      <c r="Y290" s="16">
        <f t="shared" si="1"/>
        <v>3.4185993397407283E-120</v>
      </c>
      <c r="Z290" s="16">
        <f t="shared" si="2"/>
        <v>9.7262152509761997</v>
      </c>
      <c r="AA290" s="16">
        <f t="shared" si="3"/>
        <v>5.556996332568904E-203</v>
      </c>
      <c r="AB290" s="16">
        <f t="shared" si="4"/>
        <v>1.4606465385640586E-46</v>
      </c>
      <c r="AC290" s="16">
        <f t="shared" si="5"/>
        <v>4132.4759589836822</v>
      </c>
      <c r="AD290" s="2"/>
      <c r="AE290" s="16">
        <v>9.7262152509761997</v>
      </c>
      <c r="AF290" s="16">
        <f t="shared" si="6"/>
        <v>57.116574816960018</v>
      </c>
      <c r="AG290" s="16">
        <f t="shared" si="7"/>
        <v>260.61235893399794</v>
      </c>
      <c r="AH290" s="16">
        <f t="shared" si="8"/>
        <v>1391.825505888316</v>
      </c>
      <c r="AI290" s="16">
        <v>4132.4759589836822</v>
      </c>
      <c r="AJ290" s="2"/>
    </row>
    <row r="291" spans="1:3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2">
        <f t="shared" si="9"/>
        <v>34.400000000000034</v>
      </c>
      <c r="X291" s="13">
        <f t="shared" si="0"/>
        <v>0</v>
      </c>
      <c r="Y291" s="13">
        <f t="shared" si="1"/>
        <v>1.025726357550753E-124</v>
      </c>
      <c r="Z291" s="13">
        <f t="shared" si="2"/>
        <v>6.4125566752869192</v>
      </c>
      <c r="AA291" s="13">
        <f t="shared" si="3"/>
        <v>1.1968554738479287E-214</v>
      </c>
      <c r="AB291" s="13">
        <f t="shared" si="4"/>
        <v>1.7694794932716874E-49</v>
      </c>
      <c r="AC291" s="13">
        <f t="shared" si="5"/>
        <v>3158.9470889162135</v>
      </c>
      <c r="AD291" s="2"/>
      <c r="AE291" s="13">
        <v>6.4125566752869192</v>
      </c>
      <c r="AF291" s="13">
        <f t="shared" si="6"/>
        <v>39.047138230957451</v>
      </c>
      <c r="AG291" s="13">
        <f t="shared" si="7"/>
        <v>184.83044758186972</v>
      </c>
      <c r="AH291" s="13">
        <f t="shared" si="8"/>
        <v>1024.543299415649</v>
      </c>
      <c r="AI291" s="13">
        <v>3158.9470889162135</v>
      </c>
      <c r="AJ291" s="2"/>
    </row>
    <row r="292" spans="1:3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5">
        <f t="shared" si="9"/>
        <v>34.450000000000031</v>
      </c>
      <c r="X292" s="16">
        <f t="shared" si="0"/>
        <v>0</v>
      </c>
      <c r="Y292" s="16">
        <f t="shared" si="1"/>
        <v>2.5620677274704116E-129</v>
      </c>
      <c r="Z292" s="16">
        <f t="shared" si="2"/>
        <v>4.1969481236667701</v>
      </c>
      <c r="AA292" s="16">
        <f t="shared" si="3"/>
        <v>1.2426168090000074E-226</v>
      </c>
      <c r="AB292" s="16">
        <f t="shared" si="4"/>
        <v>1.7861561050104938E-52</v>
      </c>
      <c r="AC292" s="16">
        <f t="shared" si="5"/>
        <v>2397.2057285305914</v>
      </c>
      <c r="AD292" s="2"/>
      <c r="AE292" s="16">
        <v>4.1969481236667701</v>
      </c>
      <c r="AF292" s="16">
        <f t="shared" si="6"/>
        <v>26.49934490387453</v>
      </c>
      <c r="AG292" s="16">
        <f t="shared" si="7"/>
        <v>130.12922013280973</v>
      </c>
      <c r="AH292" s="16">
        <f t="shared" si="8"/>
        <v>748.6910967737557</v>
      </c>
      <c r="AI292" s="16">
        <v>2397.2057285305914</v>
      </c>
      <c r="AJ292" s="2"/>
    </row>
    <row r="293" spans="1:3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2">
        <f t="shared" si="9"/>
        <v>34.500000000000028</v>
      </c>
      <c r="X293" s="13">
        <f t="shared" si="0"/>
        <v>0</v>
      </c>
      <c r="Y293" s="13">
        <f t="shared" si="1"/>
        <v>5.3275247492701866E-134</v>
      </c>
      <c r="Z293" s="13">
        <f t="shared" si="2"/>
        <v>2.7267860035477605</v>
      </c>
      <c r="AA293" s="13">
        <f t="shared" si="3"/>
        <v>6.2190872705705854E-239</v>
      </c>
      <c r="AB293" s="13">
        <f t="shared" si="4"/>
        <v>1.5023349444920311E-55</v>
      </c>
      <c r="AC293" s="13">
        <f t="shared" si="5"/>
        <v>1805.9228834265271</v>
      </c>
      <c r="AD293" s="2"/>
      <c r="AE293" s="13">
        <v>2.72678600354776</v>
      </c>
      <c r="AF293" s="13">
        <f t="shared" si="6"/>
        <v>17.852536899628742</v>
      </c>
      <c r="AG293" s="13">
        <f t="shared" si="7"/>
        <v>90.949212471244991</v>
      </c>
      <c r="AH293" s="13">
        <f t="shared" si="8"/>
        <v>543.12756497043904</v>
      </c>
      <c r="AI293" s="13">
        <v>1805.9228834265271</v>
      </c>
      <c r="AJ293" s="2"/>
    </row>
    <row r="294" spans="1:3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5">
        <f t="shared" si="9"/>
        <v>34.550000000000026</v>
      </c>
      <c r="X294" s="16">
        <f t="shared" si="0"/>
        <v>0</v>
      </c>
      <c r="Y294" s="16">
        <f t="shared" si="1"/>
        <v>9.2222337387148358E-139</v>
      </c>
      <c r="Z294" s="16">
        <f t="shared" si="2"/>
        <v>1.7586671614842135</v>
      </c>
      <c r="AA294" s="16">
        <f t="shared" si="3"/>
        <v>1.5004101442428266E-251</v>
      </c>
      <c r="AB294" s="16">
        <f t="shared" si="4"/>
        <v>1.0529011602169075E-58</v>
      </c>
      <c r="AC294" s="16">
        <f t="shared" si="5"/>
        <v>1350.5915695966892</v>
      </c>
      <c r="AD294" s="2"/>
      <c r="AE294" s="16">
        <v>1.7586671614842133</v>
      </c>
      <c r="AF294" s="16">
        <f t="shared" si="6"/>
        <v>11.939430585374529</v>
      </c>
      <c r="AG294" s="16">
        <f t="shared" si="7"/>
        <v>63.102397870604541</v>
      </c>
      <c r="AH294" s="16">
        <f t="shared" si="8"/>
        <v>391.13605016504948</v>
      </c>
      <c r="AI294" s="16">
        <v>1350.5915695966892</v>
      </c>
      <c r="AJ294" s="2"/>
    </row>
    <row r="295" spans="1:3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2">
        <f t="shared" si="9"/>
        <v>34.600000000000023</v>
      </c>
      <c r="X295" s="13">
        <f t="shared" si="0"/>
        <v>0</v>
      </c>
      <c r="Y295" s="13">
        <f t="shared" si="1"/>
        <v>1.3289925733705853E-143</v>
      </c>
      <c r="Z295" s="13">
        <f t="shared" si="2"/>
        <v>1.1259824066065949</v>
      </c>
      <c r="AA295" s="13">
        <f t="shared" si="3"/>
        <v>1.7449671107294863E-264</v>
      </c>
      <c r="AB295" s="13">
        <f t="shared" si="4"/>
        <v>6.1486803738270079E-62</v>
      </c>
      <c r="AC295" s="13">
        <f t="shared" si="5"/>
        <v>1002.7202994743774</v>
      </c>
      <c r="AD295" s="2"/>
      <c r="AE295" s="13">
        <v>1.1259824066065949</v>
      </c>
      <c r="AF295" s="13">
        <f t="shared" si="6"/>
        <v>7.9265858011240127</v>
      </c>
      <c r="AG295" s="13">
        <f t="shared" si="7"/>
        <v>43.462588327456501</v>
      </c>
      <c r="AH295" s="13">
        <f t="shared" si="8"/>
        <v>279.62800974662758</v>
      </c>
      <c r="AI295" s="13">
        <v>1002.7202994743774</v>
      </c>
      <c r="AJ295" s="2"/>
    </row>
    <row r="296" spans="1:3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5">
        <f t="shared" si="9"/>
        <v>34.65000000000002</v>
      </c>
      <c r="X296" s="16">
        <f t="shared" si="0"/>
        <v>0</v>
      </c>
      <c r="Y296" s="16">
        <f t="shared" si="1"/>
        <v>1.5943540240008343E-148</v>
      </c>
      <c r="Z296" s="16">
        <f t="shared" si="2"/>
        <v>0.71564148119939175</v>
      </c>
      <c r="AA296" s="16">
        <f t="shared" si="3"/>
        <v>9.7826927406460956E-278</v>
      </c>
      <c r="AB296" s="16">
        <f t="shared" si="4"/>
        <v>2.9919181587302645E-65</v>
      </c>
      <c r="AC296" s="16">
        <f t="shared" si="5"/>
        <v>739.03757309591288</v>
      </c>
      <c r="AD296" s="2"/>
      <c r="AE296" s="16">
        <v>0.71564148119939186</v>
      </c>
      <c r="AF296" s="16">
        <f t="shared" si="6"/>
        <v>5.2240532028971565</v>
      </c>
      <c r="AG296" s="16">
        <f t="shared" si="7"/>
        <v>29.717215519044881</v>
      </c>
      <c r="AH296" s="16">
        <f t="shared" si="8"/>
        <v>198.45421266880331</v>
      </c>
      <c r="AI296" s="16">
        <v>739.03757309591288</v>
      </c>
      <c r="AJ296" s="2"/>
    </row>
    <row r="297" spans="1:3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2">
        <f t="shared" si="9"/>
        <v>34.700000000000017</v>
      </c>
      <c r="X297" s="13">
        <f t="shared" si="0"/>
        <v>0</v>
      </c>
      <c r="Y297" s="13">
        <f t="shared" si="1"/>
        <v>1.5922921346022077E-153</v>
      </c>
      <c r="Z297" s="13">
        <f t="shared" si="2"/>
        <v>0.45152008464888554</v>
      </c>
      <c r="AA297" s="13">
        <f t="shared" si="3"/>
        <v>2.6437689284435286E-291</v>
      </c>
      <c r="AB297" s="13">
        <f t="shared" si="4"/>
        <v>1.2130842938820566E-68</v>
      </c>
      <c r="AC297" s="13">
        <f t="shared" si="5"/>
        <v>540.73461228763063</v>
      </c>
      <c r="AD297" s="2"/>
      <c r="AE297" s="13">
        <v>0.45152008464888554</v>
      </c>
      <c r="AF297" s="13">
        <f t="shared" si="6"/>
        <v>3.4178098614044403</v>
      </c>
      <c r="AG297" s="13">
        <f t="shared" si="7"/>
        <v>20.170814968292326</v>
      </c>
      <c r="AH297" s="13">
        <f t="shared" si="8"/>
        <v>139.81919513803049</v>
      </c>
      <c r="AI297" s="13">
        <v>540.73461228763063</v>
      </c>
      <c r="AJ297" s="2"/>
    </row>
    <row r="298" spans="1:3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5">
        <f t="shared" si="9"/>
        <v>34.750000000000014</v>
      </c>
      <c r="X298" s="16">
        <f t="shared" si="0"/>
        <v>0</v>
      </c>
      <c r="Y298" s="16">
        <f t="shared" si="1"/>
        <v>1.3238431020673483E-158</v>
      </c>
      <c r="Z298" s="16">
        <f t="shared" si="2"/>
        <v>0.28280118563257128</v>
      </c>
      <c r="AA298" s="16">
        <f t="shared" si="3"/>
        <v>3.4441534167824907E-305</v>
      </c>
      <c r="AB298" s="16">
        <f t="shared" si="4"/>
        <v>4.09831870708121E-72</v>
      </c>
      <c r="AC298" s="16">
        <f t="shared" si="5"/>
        <v>392.76498138659662</v>
      </c>
      <c r="AD298" s="2"/>
      <c r="AE298" s="16">
        <v>0.28280118563257128</v>
      </c>
      <c r="AF298" s="16">
        <f t="shared" si="6"/>
        <v>2.2197655180985967</v>
      </c>
      <c r="AG298" s="16">
        <f t="shared" si="7"/>
        <v>13.591318224999208</v>
      </c>
      <c r="AH298" s="16">
        <f t="shared" si="8"/>
        <v>97.791272677075099</v>
      </c>
      <c r="AI298" s="16">
        <v>392.76498138659662</v>
      </c>
      <c r="AJ298" s="2"/>
    </row>
    <row r="299" spans="1:3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2">
        <f t="shared" si="9"/>
        <v>34.800000000000011</v>
      </c>
      <c r="X299" s="13">
        <f t="shared" si="0"/>
        <v>0</v>
      </c>
      <c r="Y299" s="13">
        <f t="shared" si="1"/>
        <v>9.1627547692113537E-164</v>
      </c>
      <c r="Z299" s="13">
        <f t="shared" si="2"/>
        <v>0.1758417781341293</v>
      </c>
      <c r="AA299" s="13">
        <f t="shared" si="3"/>
        <v>0</v>
      </c>
      <c r="AB299" s="13">
        <f t="shared" si="4"/>
        <v>1.1537028231894955E-75</v>
      </c>
      <c r="AC299" s="13">
        <f t="shared" si="5"/>
        <v>283.21241581267373</v>
      </c>
      <c r="AD299" s="2"/>
      <c r="AE299" s="13">
        <v>0.1758417781341293</v>
      </c>
      <c r="AF299" s="13">
        <f t="shared" si="6"/>
        <v>1.4311502745931808</v>
      </c>
      <c r="AG299" s="13">
        <f t="shared" si="7"/>
        <v>9.0912273957694847</v>
      </c>
      <c r="AH299" s="13">
        <f t="shared" si="8"/>
        <v>67.898506775096394</v>
      </c>
      <c r="AI299" s="13">
        <v>283.21241581267373</v>
      </c>
      <c r="AJ299" s="2"/>
    </row>
    <row r="300" spans="1:3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5">
        <f t="shared" si="9"/>
        <v>34.850000000000009</v>
      </c>
      <c r="X300" s="16">
        <f t="shared" si="0"/>
        <v>0</v>
      </c>
      <c r="Y300" s="16">
        <f t="shared" si="1"/>
        <v>5.2794829198541594E-169</v>
      </c>
      <c r="Z300" s="16">
        <f t="shared" si="2"/>
        <v>0.10855255328231685</v>
      </c>
      <c r="AA300" s="16">
        <f t="shared" si="3"/>
        <v>0</v>
      </c>
      <c r="AB300" s="16">
        <f t="shared" si="4"/>
        <v>2.7061736480538858E-79</v>
      </c>
      <c r="AC300" s="16">
        <f t="shared" si="5"/>
        <v>202.73221097979976</v>
      </c>
      <c r="AD300" s="2"/>
      <c r="AE300" s="16">
        <v>0.10855255328231685</v>
      </c>
      <c r="AF300" s="16">
        <f t="shared" si="6"/>
        <v>0.91597248266516085</v>
      </c>
      <c r="AG300" s="16">
        <f t="shared" si="7"/>
        <v>6.0367927292670496</v>
      </c>
      <c r="AH300" s="16">
        <f t="shared" si="8"/>
        <v>46.800142282647862</v>
      </c>
      <c r="AI300" s="16">
        <v>202.73221097979973</v>
      </c>
      <c r="AJ300" s="2"/>
    </row>
    <row r="301" spans="1:3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2">
        <f t="shared" si="9"/>
        <v>34.900000000000006</v>
      </c>
      <c r="X301" s="13">
        <f t="shared" si="0"/>
        <v>0</v>
      </c>
      <c r="Y301" s="13">
        <f t="shared" si="1"/>
        <v>2.5324011057701897E-174</v>
      </c>
      <c r="Z301" s="13">
        <f t="shared" si="2"/>
        <v>6.6550469826124989E-2</v>
      </c>
      <c r="AA301" s="13">
        <f t="shared" si="3"/>
        <v>0</v>
      </c>
      <c r="AB301" s="13">
        <f t="shared" si="4"/>
        <v>5.2892104141488703E-83</v>
      </c>
      <c r="AC301" s="13">
        <f t="shared" si="5"/>
        <v>144.06688437852736</v>
      </c>
      <c r="AD301" s="2"/>
      <c r="AE301" s="13">
        <v>6.6550469826124989E-2</v>
      </c>
      <c r="AF301" s="13">
        <f t="shared" si="6"/>
        <v>0.58196786116920141</v>
      </c>
      <c r="AG301" s="13">
        <f t="shared" si="7"/>
        <v>3.9793561867738649</v>
      </c>
      <c r="AH301" s="13">
        <f t="shared" si="8"/>
        <v>32.022921321867777</v>
      </c>
      <c r="AI301" s="13">
        <v>144.06688437852736</v>
      </c>
      <c r="AJ301" s="2"/>
    </row>
    <row r="302" spans="1:3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5">
        <f t="shared" si="9"/>
        <v>34.950000000000003</v>
      </c>
      <c r="X302" s="16">
        <f t="shared" si="0"/>
        <v>0</v>
      </c>
      <c r="Y302" s="16">
        <f t="shared" si="1"/>
        <v>1.0112286819215391E-179</v>
      </c>
      <c r="Z302" s="16">
        <f t="shared" si="2"/>
        <v>4.0549681714251801E-2</v>
      </c>
      <c r="AA302" s="16">
        <f t="shared" si="3"/>
        <v>0</v>
      </c>
      <c r="AB302" s="16">
        <f t="shared" si="4"/>
        <v>8.613893667569358E-87</v>
      </c>
      <c r="AC302" s="16">
        <f t="shared" si="5"/>
        <v>101.63341312544429</v>
      </c>
      <c r="AD302" s="2"/>
      <c r="AE302" s="16">
        <v>4.0549681714251808E-2</v>
      </c>
      <c r="AF302" s="16">
        <f t="shared" si="6"/>
        <v>0.3670590435048417</v>
      </c>
      <c r="AG302" s="16">
        <f t="shared" si="7"/>
        <v>2.6040071401105602</v>
      </c>
      <c r="AH302" s="16">
        <f t="shared" si="8"/>
        <v>21.752117876934694</v>
      </c>
      <c r="AI302" s="16">
        <v>101.63341312544428</v>
      </c>
      <c r="AJ302" s="2"/>
    </row>
    <row r="303" spans="1:3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2">
        <f t="shared" si="9"/>
        <v>35</v>
      </c>
      <c r="X303" s="13">
        <f t="shared" si="0"/>
        <v>0</v>
      </c>
      <c r="Y303" s="13">
        <f t="shared" si="1"/>
        <v>3.3615691026761262E-185</v>
      </c>
      <c r="Z303" s="13">
        <f t="shared" si="2"/>
        <v>2.4609148510009664E-2</v>
      </c>
      <c r="AA303" s="13">
        <f t="shared" si="3"/>
        <v>0</v>
      </c>
      <c r="AB303" s="13">
        <f t="shared" si="4"/>
        <v>1.168911541618215E-90</v>
      </c>
      <c r="AC303" s="13">
        <f t="shared" si="5"/>
        <v>71.177019176818519</v>
      </c>
      <c r="AD303" s="2"/>
      <c r="AE303" s="13">
        <v>2.4609148510009681E-2</v>
      </c>
      <c r="AF303" s="13">
        <f t="shared" si="6"/>
        <v>0.22982432694422184</v>
      </c>
      <c r="AG303" s="13">
        <f t="shared" si="7"/>
        <v>1.6915870112167695</v>
      </c>
      <c r="AH303" s="13">
        <f t="shared" si="8"/>
        <v>14.667934862906456</v>
      </c>
      <c r="AI303" s="13">
        <v>71.177019176818519</v>
      </c>
      <c r="AJ303" s="2"/>
    </row>
    <row r="304" spans="1:3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5">
        <f t="shared" si="9"/>
        <v>35.049999999999997</v>
      </c>
      <c r="X304" s="16">
        <f t="shared" si="0"/>
        <v>0</v>
      </c>
      <c r="Y304" s="16">
        <f t="shared" si="1"/>
        <v>9.3027315122136856E-191</v>
      </c>
      <c r="Z304" s="16">
        <f t="shared" si="2"/>
        <v>1.4967562608835699E-2</v>
      </c>
      <c r="AA304" s="16">
        <f t="shared" si="3"/>
        <v>0</v>
      </c>
      <c r="AB304" s="16">
        <f t="shared" si="4"/>
        <v>1.3217133163236238E-94</v>
      </c>
      <c r="AC304" s="16">
        <f t="shared" si="5"/>
        <v>49.485050861488524</v>
      </c>
      <c r="AD304" s="2"/>
      <c r="AE304" s="16">
        <v>1.4967562608835723E-2</v>
      </c>
      <c r="AF304" s="16">
        <f t="shared" si="6"/>
        <v>0.14285230785499831</v>
      </c>
      <c r="AG304" s="16">
        <f t="shared" si="7"/>
        <v>1.0908608282337686</v>
      </c>
      <c r="AH304" s="16">
        <f t="shared" si="8"/>
        <v>9.8189087090401159</v>
      </c>
      <c r="AI304" s="16">
        <v>49.485050861488524</v>
      </c>
      <c r="AJ304" s="2"/>
    </row>
    <row r="305" spans="1:3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2">
        <f t="shared" si="9"/>
        <v>35.099999999999994</v>
      </c>
      <c r="X305" s="13">
        <f t="shared" si="0"/>
        <v>0</v>
      </c>
      <c r="Y305" s="13">
        <f t="shared" si="1"/>
        <v>2.1431605668767288E-196</v>
      </c>
      <c r="Z305" s="13">
        <f t="shared" si="2"/>
        <v>9.2777945198659964E-3</v>
      </c>
      <c r="AA305" s="13">
        <f t="shared" si="3"/>
        <v>0</v>
      </c>
      <c r="AB305" s="13">
        <f t="shared" si="4"/>
        <v>1.2452781349937808E-98</v>
      </c>
      <c r="AC305" s="13">
        <f t="shared" si="5"/>
        <v>34.153812106007969</v>
      </c>
      <c r="AD305" s="2"/>
      <c r="AE305" s="13">
        <v>9.2777945198660363E-3</v>
      </c>
      <c r="AF305" s="13">
        <f t="shared" si="6"/>
        <v>8.8152165074779409E-2</v>
      </c>
      <c r="AG305" s="13">
        <f t="shared" si="7"/>
        <v>0.69834052270888081</v>
      </c>
      <c r="AH305" s="13">
        <f t="shared" si="8"/>
        <v>6.5250568036880408</v>
      </c>
      <c r="AI305" s="13">
        <v>34.153812106007969</v>
      </c>
      <c r="AJ305" s="2"/>
    </row>
    <row r="306" spans="1:3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5">
        <f t="shared" si="9"/>
        <v>35.149999999999991</v>
      </c>
      <c r="X306" s="16">
        <f t="shared" si="0"/>
        <v>0</v>
      </c>
      <c r="Y306" s="16">
        <f t="shared" si="1"/>
        <v>4.1103579538082477E-202</v>
      </c>
      <c r="Z306" s="16">
        <f t="shared" si="2"/>
        <v>6.1117188713696521E-3</v>
      </c>
      <c r="AA306" s="16">
        <f t="shared" si="3"/>
        <v>0</v>
      </c>
      <c r="AB306" s="16">
        <f t="shared" si="4"/>
        <v>9.7761743479794286E-103</v>
      </c>
      <c r="AC306" s="16">
        <f t="shared" si="5"/>
        <v>23.40104694677806</v>
      </c>
      <c r="AD306" s="2"/>
      <c r="AE306" s="16">
        <v>6.1117188713697319E-3</v>
      </c>
      <c r="AF306" s="16">
        <f t="shared" si="6"/>
        <v>5.401325511610526E-2</v>
      </c>
      <c r="AG306" s="16">
        <f t="shared" si="7"/>
        <v>0.44380092061156878</v>
      </c>
      <c r="AH306" s="16">
        <f t="shared" si="8"/>
        <v>4.3045940070621258</v>
      </c>
      <c r="AI306" s="16">
        <v>23.401046946778056</v>
      </c>
      <c r="AJ306" s="2"/>
    </row>
    <row r="307" spans="1:3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2">
        <f t="shared" si="9"/>
        <v>35.199999999999989</v>
      </c>
      <c r="X307" s="13">
        <f t="shared" si="0"/>
        <v>0</v>
      </c>
      <c r="Y307" s="13">
        <f t="shared" si="1"/>
        <v>2.1441176021152357E-201</v>
      </c>
      <c r="Z307" s="13">
        <f t="shared" si="2"/>
        <v>4.6481857366597722E-3</v>
      </c>
      <c r="AA307" s="13">
        <f t="shared" si="3"/>
        <v>0</v>
      </c>
      <c r="AB307" s="13">
        <f t="shared" si="4"/>
        <v>6.395065426466388E-107</v>
      </c>
      <c r="AC307" s="13">
        <f t="shared" si="5"/>
        <v>15.917040819726381</v>
      </c>
      <c r="AD307" s="2"/>
      <c r="AE307" s="13">
        <v>4.6481857366599006E-3</v>
      </c>
      <c r="AF307" s="13">
        <f t="shared" si="6"/>
        <v>3.2876328462997338E-2</v>
      </c>
      <c r="AG307" s="13">
        <f t="shared" si="7"/>
        <v>0.27998366709248923</v>
      </c>
      <c r="AH307" s="13">
        <f t="shared" si="8"/>
        <v>2.8190769014535424</v>
      </c>
      <c r="AI307" s="13">
        <v>15.917040819726381</v>
      </c>
      <c r="AJ307" s="2"/>
    </row>
    <row r="308" spans="1:3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5">
        <f t="shared" si="9"/>
        <v>35.249999999999986</v>
      </c>
      <c r="X308" s="16">
        <f t="shared" si="0"/>
        <v>0</v>
      </c>
      <c r="Y308" s="16">
        <f t="shared" si="1"/>
        <v>8.2588238258303956E-196</v>
      </c>
      <c r="Z308" s="16">
        <f t="shared" si="2"/>
        <v>4.4868052148364394E-3</v>
      </c>
      <c r="AA308" s="16">
        <f t="shared" si="3"/>
        <v>0</v>
      </c>
      <c r="AB308" s="16">
        <f t="shared" si="4"/>
        <v>3.4857362604911343E-111</v>
      </c>
      <c r="AC308" s="16">
        <f t="shared" si="5"/>
        <v>10.747818190966592</v>
      </c>
      <c r="AD308" s="2"/>
      <c r="AE308" s="16">
        <v>4.486805214836625E-3</v>
      </c>
      <c r="AF308" s="16">
        <f t="shared" si="6"/>
        <v>1.9904008334392213E-2</v>
      </c>
      <c r="AG308" s="16">
        <f t="shared" si="7"/>
        <v>0.17534853817416424</v>
      </c>
      <c r="AH308" s="16">
        <f t="shared" si="8"/>
        <v>1.8327721594027822</v>
      </c>
      <c r="AI308" s="16">
        <v>10.747818190966592</v>
      </c>
      <c r="AJ308" s="2"/>
    </row>
    <row r="309" spans="1:3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2">
        <f t="shared" si="9"/>
        <v>35.299999999999983</v>
      </c>
      <c r="X309" s="13">
        <f t="shared" si="0"/>
        <v>0</v>
      </c>
      <c r="Y309" s="13">
        <f t="shared" si="1"/>
        <v>2.6677048320835134E-190</v>
      </c>
      <c r="Z309" s="13">
        <f t="shared" si="2"/>
        <v>5.5517818817323455E-3</v>
      </c>
      <c r="AA309" s="13">
        <f t="shared" si="3"/>
        <v>0</v>
      </c>
      <c r="AB309" s="13">
        <f t="shared" si="4"/>
        <v>1.5831334849428059E-115</v>
      </c>
      <c r="AC309" s="13">
        <f t="shared" si="5"/>
        <v>7.2045893505186429</v>
      </c>
      <c r="AD309" s="2"/>
      <c r="AE309" s="13">
        <v>5.5517818817326526E-3</v>
      </c>
      <c r="AF309" s="13">
        <f t="shared" si="6"/>
        <v>1.2030141918059609E-2</v>
      </c>
      <c r="AG309" s="13">
        <f t="shared" si="7"/>
        <v>0.10901861395081736</v>
      </c>
      <c r="AH309" s="13">
        <f t="shared" si="8"/>
        <v>1.1828696089220838</v>
      </c>
      <c r="AI309" s="13">
        <v>7.2045893505186429</v>
      </c>
      <c r="AJ309" s="2"/>
    </row>
    <row r="310" spans="1:3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5">
        <f t="shared" si="9"/>
        <v>35.34999999999998</v>
      </c>
      <c r="X310" s="16">
        <f t="shared" si="0"/>
        <v>0</v>
      </c>
      <c r="Y310" s="16">
        <f t="shared" si="1"/>
        <v>7.2261536133228645E-185</v>
      </c>
      <c r="Z310" s="16">
        <f t="shared" si="2"/>
        <v>8.0660989789729035E-3</v>
      </c>
      <c r="AA310" s="16">
        <f t="shared" si="3"/>
        <v>0</v>
      </c>
      <c r="AB310" s="16">
        <f t="shared" si="4"/>
        <v>5.9912028436380079E-120</v>
      </c>
      <c r="AC310" s="16">
        <f t="shared" si="5"/>
        <v>4.7943428904713459</v>
      </c>
      <c r="AD310" s="2"/>
      <c r="AE310" s="16">
        <v>8.0660989789734638E-3</v>
      </c>
      <c r="AF310" s="16">
        <f t="shared" si="6"/>
        <v>7.3343273302728671E-3</v>
      </c>
      <c r="AG310" s="16">
        <f t="shared" si="7"/>
        <v>6.7288391178173937E-2</v>
      </c>
      <c r="AH310" s="16">
        <f t="shared" si="8"/>
        <v>0.75786549360129418</v>
      </c>
      <c r="AI310" s="16">
        <v>4.7943428904713459</v>
      </c>
      <c r="AJ310" s="2"/>
    </row>
    <row r="311" spans="1:3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2">
        <f t="shared" si="9"/>
        <v>35.399999999999977</v>
      </c>
      <c r="X311" s="13">
        <f t="shared" si="0"/>
        <v>0</v>
      </c>
      <c r="Y311" s="13">
        <f t="shared" si="1"/>
        <v>1.6414454118187044E-179</v>
      </c>
      <c r="Z311" s="13">
        <f t="shared" si="2"/>
        <v>1.2589135966010627E-2</v>
      </c>
      <c r="AA311" s="13">
        <f t="shared" si="3"/>
        <v>0</v>
      </c>
      <c r="AB311" s="13">
        <f t="shared" si="4"/>
        <v>1.8892263357704488E-124</v>
      </c>
      <c r="AC311" s="13">
        <f t="shared" si="5"/>
        <v>3.1672321008729001</v>
      </c>
      <c r="AD311" s="2"/>
      <c r="AE311" s="13">
        <v>1.2589135966011546E-2</v>
      </c>
      <c r="AF311" s="13">
        <f t="shared" si="6"/>
        <v>4.635774886669772E-3</v>
      </c>
      <c r="AG311" s="13">
        <f t="shared" si="7"/>
        <v>4.1233985666577724E-2</v>
      </c>
      <c r="AH311" s="13">
        <f t="shared" si="8"/>
        <v>0.48203029790376112</v>
      </c>
      <c r="AI311" s="13">
        <v>3.1672321008729001</v>
      </c>
      <c r="AJ311" s="2"/>
    </row>
    <row r="312" spans="1:3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5">
        <f t="shared" si="9"/>
        <v>35.449999999999974</v>
      </c>
      <c r="X312" s="16">
        <f t="shared" si="0"/>
        <v>0</v>
      </c>
      <c r="Y312" s="16">
        <f t="shared" si="1"/>
        <v>3.1267671443637446E-174</v>
      </c>
      <c r="Z312" s="16">
        <f t="shared" si="2"/>
        <v>2.0122131275722096E-2</v>
      </c>
      <c r="AA312" s="16">
        <f t="shared" si="3"/>
        <v>0</v>
      </c>
      <c r="AB312" s="16">
        <f t="shared" si="4"/>
        <v>4.9639504376656096E-129</v>
      </c>
      <c r="AC312" s="16">
        <f t="shared" si="5"/>
        <v>2.0771201998471041</v>
      </c>
      <c r="AD312" s="2"/>
      <c r="AE312" s="16">
        <v>2.012213127572338E-2</v>
      </c>
      <c r="AF312" s="16">
        <f t="shared" si="6"/>
        <v>3.2347117821520822E-3</v>
      </c>
      <c r="AG312" s="16">
        <f t="shared" si="7"/>
        <v>2.5092683322109371E-2</v>
      </c>
      <c r="AH312" s="16">
        <f t="shared" si="8"/>
        <v>0.30435729125958</v>
      </c>
      <c r="AI312" s="16">
        <v>2.0771201998471041</v>
      </c>
      <c r="AJ312" s="2"/>
    </row>
    <row r="313" spans="1:3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2">
        <f t="shared" si="9"/>
        <v>35.499999999999972</v>
      </c>
      <c r="X313" s="13">
        <f t="shared" si="0"/>
        <v>0</v>
      </c>
      <c r="Y313" s="13">
        <f t="shared" si="1"/>
        <v>4.9947582850918297E-169</v>
      </c>
      <c r="Z313" s="13">
        <f t="shared" si="2"/>
        <v>3.2297371534431095E-2</v>
      </c>
      <c r="AA313" s="13">
        <f t="shared" si="3"/>
        <v>0</v>
      </c>
      <c r="AB313" s="13">
        <f t="shared" si="4"/>
        <v>1.0867868144846096E-133</v>
      </c>
      <c r="AC313" s="13">
        <f t="shared" si="5"/>
        <v>1.3523039262235312</v>
      </c>
      <c r="AD313" s="2"/>
      <c r="AE313" s="13">
        <v>3.229737153443317E-2</v>
      </c>
      <c r="AF313" s="13">
        <f t="shared" si="6"/>
        <v>2.7536646007540579E-3</v>
      </c>
      <c r="AG313" s="13">
        <f t="shared" si="7"/>
        <v>1.5174306214666611E-2</v>
      </c>
      <c r="AH313" s="13">
        <f t="shared" si="8"/>
        <v>0.19077476245837302</v>
      </c>
      <c r="AI313" s="13">
        <v>1.3523039262235315</v>
      </c>
      <c r="AJ313" s="2"/>
    </row>
    <row r="314" spans="1:3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5">
        <f t="shared" si="9"/>
        <v>35.549999999999969</v>
      </c>
      <c r="X314" s="16">
        <f t="shared" si="0"/>
        <v>0</v>
      </c>
      <c r="Y314" s="16">
        <f t="shared" si="1"/>
        <v>6.6908801822761065E-164</v>
      </c>
      <c r="Z314" s="16">
        <f t="shared" si="2"/>
        <v>5.168012162692711E-2</v>
      </c>
      <c r="AA314" s="16">
        <f t="shared" si="3"/>
        <v>0</v>
      </c>
      <c r="AB314" s="16">
        <f t="shared" si="4"/>
        <v>1.9825984533656119E-138</v>
      </c>
      <c r="AC314" s="16">
        <f t="shared" si="5"/>
        <v>0.87401308211525564</v>
      </c>
      <c r="AD314" s="2"/>
      <c r="AE314" s="16">
        <v>5.1680121626930614E-2</v>
      </c>
      <c r="AF314" s="16">
        <f t="shared" si="6"/>
        <v>3.0481172486723886E-3</v>
      </c>
      <c r="AG314" s="16">
        <f t="shared" si="7"/>
        <v>9.1367160663815925E-3</v>
      </c>
      <c r="AH314" s="16">
        <f t="shared" si="8"/>
        <v>0.11871016885646687</v>
      </c>
      <c r="AI314" s="16">
        <v>0.87401308211525564</v>
      </c>
      <c r="AJ314" s="2"/>
    </row>
    <row r="315" spans="1:3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2">
        <f t="shared" si="9"/>
        <v>35.599999999999966</v>
      </c>
      <c r="X315" s="13">
        <f t="shared" si="0"/>
        <v>0</v>
      </c>
      <c r="Y315" s="13">
        <f t="shared" si="1"/>
        <v>7.5162613085541087E-159</v>
      </c>
      <c r="Z315" s="13">
        <f t="shared" si="2"/>
        <v>8.2228690785541944E-2</v>
      </c>
      <c r="AA315" s="13">
        <f t="shared" si="3"/>
        <v>0</v>
      </c>
      <c r="AB315" s="13">
        <f t="shared" si="4"/>
        <v>3.0136904631793535E-143</v>
      </c>
      <c r="AC315" s="13">
        <f t="shared" si="5"/>
        <v>0.56077999476867846</v>
      </c>
      <c r="AD315" s="2"/>
      <c r="AE315" s="13">
        <v>8.222869078554737E-2</v>
      </c>
      <c r="AF315" s="13">
        <f t="shared" si="6"/>
        <v>4.1685026448562814E-3</v>
      </c>
      <c r="AG315" s="13">
        <f t="shared" si="7"/>
        <v>5.5084162784546677E-3</v>
      </c>
      <c r="AH315" s="13">
        <f t="shared" si="8"/>
        <v>7.3331477312448004E-2</v>
      </c>
      <c r="AI315" s="13">
        <v>0.56077999476867846</v>
      </c>
      <c r="AJ315" s="2"/>
    </row>
    <row r="316" spans="1:3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5">
        <f t="shared" si="9"/>
        <v>35.649999999999963</v>
      </c>
      <c r="X316" s="16">
        <f t="shared" si="0"/>
        <v>0</v>
      </c>
      <c r="Y316" s="16">
        <f t="shared" si="1"/>
        <v>7.0806043645003686E-154</v>
      </c>
      <c r="Z316" s="16">
        <f t="shared" si="2"/>
        <v>0.12997942571100546</v>
      </c>
      <c r="AA316" s="16">
        <f t="shared" si="3"/>
        <v>0</v>
      </c>
      <c r="AB316" s="16">
        <f t="shared" si="4"/>
        <v>3.8171216670633119E-148</v>
      </c>
      <c r="AC316" s="16">
        <f t="shared" si="5"/>
        <v>0.35718900084307509</v>
      </c>
      <c r="AD316" s="2"/>
      <c r="AE316" s="16">
        <v>0.12997942571101381</v>
      </c>
      <c r="AF316" s="16">
        <f t="shared" si="6"/>
        <v>6.3649875551953722E-3</v>
      </c>
      <c r="AG316" s="16">
        <f t="shared" si="7"/>
        <v>3.3775136235086674E-3</v>
      </c>
      <c r="AH316" s="16">
        <f t="shared" si="8"/>
        <v>4.4972312225435539E-2</v>
      </c>
      <c r="AI316" s="16">
        <v>0.35718900084307509</v>
      </c>
      <c r="AJ316" s="2"/>
    </row>
    <row r="317" spans="1:3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2">
        <f t="shared" si="9"/>
        <v>35.69999999999996</v>
      </c>
      <c r="X317" s="13">
        <f t="shared" si="0"/>
        <v>0</v>
      </c>
      <c r="Y317" s="13">
        <f t="shared" si="1"/>
        <v>5.5935642032610601E-149</v>
      </c>
      <c r="Z317" s="13">
        <f t="shared" si="2"/>
        <v>0.20405189259667691</v>
      </c>
      <c r="AA317" s="13">
        <f t="shared" si="3"/>
        <v>0</v>
      </c>
      <c r="AB317" s="13">
        <f t="shared" si="4"/>
        <v>4.0285322096964408E-153</v>
      </c>
      <c r="AC317" s="13">
        <f t="shared" si="5"/>
        <v>0.22585760448756678</v>
      </c>
      <c r="AD317" s="2"/>
      <c r="AE317" s="13">
        <v>0.20405189259669002</v>
      </c>
      <c r="AF317" s="13">
        <f t="shared" si="6"/>
        <v>1.0134437305921583E-2</v>
      </c>
      <c r="AG317" s="13">
        <f t="shared" si="7"/>
        <v>2.1920706356829949E-3</v>
      </c>
      <c r="AH317" s="13">
        <f t="shared" si="8"/>
        <v>2.7384283973875004E-2</v>
      </c>
      <c r="AI317" s="13">
        <v>0.22585760448756678</v>
      </c>
      <c r="AJ317" s="2"/>
    </row>
    <row r="318" spans="1:3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5">
        <f t="shared" si="9"/>
        <v>35.749999999999957</v>
      </c>
      <c r="X318" s="16">
        <f t="shared" si="0"/>
        <v>0</v>
      </c>
      <c r="Y318" s="16">
        <f t="shared" si="1"/>
        <v>3.7055848901172429E-144</v>
      </c>
      <c r="Z318" s="16">
        <f t="shared" si="2"/>
        <v>0.31810750343433308</v>
      </c>
      <c r="AA318" s="16">
        <f t="shared" si="3"/>
        <v>0</v>
      </c>
      <c r="AB318" s="16">
        <f t="shared" si="4"/>
        <v>3.5426737239893615E-158</v>
      </c>
      <c r="AC318" s="16">
        <f t="shared" si="5"/>
        <v>0.1417759940214551</v>
      </c>
      <c r="AD318" s="2"/>
      <c r="AE318" s="16">
        <v>0.31810750343435296</v>
      </c>
      <c r="AF318" s="16">
        <f t="shared" si="6"/>
        <v>1.6316467333278847E-2</v>
      </c>
      <c r="AG318" s="16">
        <f t="shared" si="7"/>
        <v>1.6350468863549309E-3</v>
      </c>
      <c r="AH318" s="16">
        <f t="shared" si="8"/>
        <v>1.656162128078174E-2</v>
      </c>
      <c r="AI318" s="16">
        <v>0.1417759940214551</v>
      </c>
      <c r="AJ318" s="2"/>
    </row>
    <row r="319" spans="1:3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2">
        <f t="shared" si="9"/>
        <v>35.799999999999955</v>
      </c>
      <c r="X319" s="13">
        <f t="shared" si="0"/>
        <v>0</v>
      </c>
      <c r="Y319" s="13">
        <f t="shared" si="1"/>
        <v>2.0586131709286591E-139</v>
      </c>
      <c r="Z319" s="13">
        <f t="shared" si="2"/>
        <v>0.49244526846423148</v>
      </c>
      <c r="AA319" s="13">
        <f t="shared" si="3"/>
        <v>0</v>
      </c>
      <c r="AB319" s="13">
        <f t="shared" si="4"/>
        <v>2.5959059290150982E-163</v>
      </c>
      <c r="AC319" s="13">
        <f t="shared" si="5"/>
        <v>8.8349239075838387E-2</v>
      </c>
      <c r="AD319" s="2"/>
      <c r="AE319" s="13">
        <v>0.49244526846426223</v>
      </c>
      <c r="AF319" s="13">
        <f t="shared" si="6"/>
        <v>2.6253667575050488E-2</v>
      </c>
      <c r="AG319" s="13">
        <f t="shared" si="7"/>
        <v>1.5498153930317681E-3</v>
      </c>
      <c r="AH319" s="13">
        <f t="shared" si="8"/>
        <v>9.9579636628283671E-3</v>
      </c>
      <c r="AI319" s="13">
        <v>8.8349239075838401E-2</v>
      </c>
      <c r="AJ319" s="2"/>
    </row>
    <row r="320" spans="1:3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5">
        <f t="shared" si="9"/>
        <v>35.849999999999952</v>
      </c>
      <c r="X320" s="16">
        <f t="shared" si="0"/>
        <v>0</v>
      </c>
      <c r="Y320" s="16">
        <f t="shared" si="1"/>
        <v>9.5905291112412425E-135</v>
      </c>
      <c r="Z320" s="16">
        <f t="shared" si="2"/>
        <v>0.7569846344646195</v>
      </c>
      <c r="AA320" s="16">
        <f t="shared" si="3"/>
        <v>0</v>
      </c>
      <c r="AB320" s="16">
        <f t="shared" si="4"/>
        <v>1.5849669946719284E-168</v>
      </c>
      <c r="AC320" s="16">
        <f t="shared" si="5"/>
        <v>5.4655940994579287E-2</v>
      </c>
      <c r="AD320" s="2"/>
      <c r="AE320" s="16">
        <v>0.75698463446466557</v>
      </c>
      <c r="AF320" s="16">
        <f t="shared" si="6"/>
        <v>4.204099362168863E-2</v>
      </c>
      <c r="AG320" s="16">
        <f t="shared" si="7"/>
        <v>1.9013283356160906E-3</v>
      </c>
      <c r="AH320" s="16">
        <f t="shared" si="8"/>
        <v>5.9693881877054111E-3</v>
      </c>
      <c r="AI320" s="16">
        <v>5.4655940994579287E-2</v>
      </c>
      <c r="AJ320" s="2"/>
    </row>
    <row r="321" spans="1:3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2">
        <f t="shared" si="9"/>
        <v>35.899999999999949</v>
      </c>
      <c r="X321" s="13">
        <f t="shared" si="0"/>
        <v>0</v>
      </c>
      <c r="Y321" s="13">
        <f t="shared" si="1"/>
        <v>3.7467975666327109E-130</v>
      </c>
      <c r="Z321" s="13">
        <f t="shared" si="2"/>
        <v>1.1554714245317423</v>
      </c>
      <c r="AA321" s="13">
        <f t="shared" si="3"/>
        <v>0</v>
      </c>
      <c r="AB321" s="13">
        <f t="shared" si="4"/>
        <v>8.0635256879052326E-174</v>
      </c>
      <c r="AC321" s="13">
        <f t="shared" si="5"/>
        <v>3.3567054776893805E-2</v>
      </c>
      <c r="AD321" s="2"/>
      <c r="AE321" s="13">
        <v>1.1554714245318127</v>
      </c>
      <c r="AF321" s="13">
        <f t="shared" si="6"/>
        <v>6.6902123833439853E-2</v>
      </c>
      <c r="AG321" s="13">
        <f t="shared" si="7"/>
        <v>2.7646661695000904E-3</v>
      </c>
      <c r="AH321" s="13">
        <f t="shared" si="8"/>
        <v>3.5966263804162266E-3</v>
      </c>
      <c r="AI321" s="13">
        <v>3.3567054776893805E-2</v>
      </c>
      <c r="AJ321" s="2"/>
    </row>
    <row r="322" spans="1:3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5">
        <f t="shared" si="9"/>
        <v>35.949999999999946</v>
      </c>
      <c r="X322" s="16">
        <f t="shared" si="0"/>
        <v>0</v>
      </c>
      <c r="Y322" s="16">
        <f t="shared" si="1"/>
        <v>1.2275176114399852E-125</v>
      </c>
      <c r="Z322" s="16">
        <f t="shared" si="2"/>
        <v>1.7513530990786785</v>
      </c>
      <c r="AA322" s="16">
        <f t="shared" si="3"/>
        <v>0</v>
      </c>
      <c r="AB322" s="16">
        <f t="shared" si="4"/>
        <v>3.4182451249415626E-179</v>
      </c>
      <c r="AC322" s="16">
        <f t="shared" si="5"/>
        <v>2.0466831623269718E-2</v>
      </c>
      <c r="AD322" s="2"/>
      <c r="AE322" s="16">
        <v>1.751353099078782</v>
      </c>
      <c r="AF322" s="16">
        <f t="shared" si="6"/>
        <v>0.10574763786367848</v>
      </c>
      <c r="AG322" s="16">
        <f t="shared" si="7"/>
        <v>4.3379186353272236E-3</v>
      </c>
      <c r="AH322" s="16">
        <f t="shared" si="8"/>
        <v>2.2270170183266635E-3</v>
      </c>
      <c r="AI322" s="16">
        <v>2.0466831623269718E-2</v>
      </c>
      <c r="AJ322" s="2"/>
    </row>
    <row r="323" spans="1:3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2">
        <f t="shared" si="9"/>
        <v>35.999999999999943</v>
      </c>
      <c r="X323" s="13">
        <f t="shared" si="0"/>
        <v>0</v>
      </c>
      <c r="Y323" s="13">
        <f t="shared" si="1"/>
        <v>3.3724465454868121E-121</v>
      </c>
      <c r="Z323" s="13">
        <f t="shared" si="2"/>
        <v>2.6359085664157687</v>
      </c>
      <c r="AA323" s="13">
        <f t="shared" si="3"/>
        <v>0</v>
      </c>
      <c r="AB323" s="13">
        <f t="shared" si="4"/>
        <v>1.2074103955559154E-184</v>
      </c>
      <c r="AC323" s="13">
        <f t="shared" si="5"/>
        <v>1.2391081243411851E-2</v>
      </c>
      <c r="AD323" s="2"/>
      <c r="AE323" s="13">
        <v>2.6359085664159192</v>
      </c>
      <c r="AF323" s="13">
        <f t="shared" si="6"/>
        <v>0.16599279720309434</v>
      </c>
      <c r="AG323" s="13">
        <f t="shared" si="7"/>
        <v>6.9809069919729658E-3</v>
      </c>
      <c r="AH323" s="13">
        <f t="shared" si="8"/>
        <v>1.4961459884196351E-3</v>
      </c>
      <c r="AI323" s="13">
        <v>1.2391081243411851E-2</v>
      </c>
      <c r="AJ323" s="2"/>
    </row>
    <row r="324" spans="1:3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5">
        <f t="shared" si="9"/>
        <v>36.04999999999994</v>
      </c>
      <c r="X324" s="16">
        <f t="shared" si="0"/>
        <v>0</v>
      </c>
      <c r="Y324" s="16">
        <f t="shared" si="1"/>
        <v>7.7698432662076045E-117</v>
      </c>
      <c r="Z324" s="16">
        <f t="shared" si="2"/>
        <v>3.9393902482214296</v>
      </c>
      <c r="AA324" s="16">
        <f t="shared" si="3"/>
        <v>0</v>
      </c>
      <c r="AB324" s="16">
        <f t="shared" si="4"/>
        <v>3.5536945538329138E-190</v>
      </c>
      <c r="AC324" s="16">
        <f t="shared" si="5"/>
        <v>7.4518678320895171E-3</v>
      </c>
      <c r="AD324" s="2"/>
      <c r="AE324" s="16">
        <v>3.9393902482216547</v>
      </c>
      <c r="AF324" s="16">
        <f t="shared" si="6"/>
        <v>0.25874345521212455</v>
      </c>
      <c r="AG324" s="16">
        <f t="shared" si="7"/>
        <v>1.128584957397411E-2</v>
      </c>
      <c r="AH324" s="16">
        <f t="shared" si="8"/>
        <v>1.2026999112507973E-3</v>
      </c>
      <c r="AI324" s="16">
        <v>7.4518678320895171E-3</v>
      </c>
      <c r="AJ324" s="2"/>
    </row>
    <row r="325" spans="1:3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2">
        <f t="shared" si="9"/>
        <v>36.099999999999937</v>
      </c>
      <c r="X325" s="13">
        <f t="shared" si="0"/>
        <v>0</v>
      </c>
      <c r="Y325" s="13">
        <f t="shared" si="1"/>
        <v>1.5011679462539676E-112</v>
      </c>
      <c r="Z325" s="13">
        <f t="shared" si="2"/>
        <v>5.8461462864018303</v>
      </c>
      <c r="AA325" s="13">
        <f t="shared" si="3"/>
        <v>0</v>
      </c>
      <c r="AB325" s="13">
        <f t="shared" si="4"/>
        <v>8.7152281575869174E-196</v>
      </c>
      <c r="AC325" s="13">
        <f t="shared" si="5"/>
        <v>4.4569448083258377E-3</v>
      </c>
      <c r="AD325" s="2"/>
      <c r="AE325" s="13">
        <v>5.8461462864021643</v>
      </c>
      <c r="AF325" s="13">
        <f t="shared" si="6"/>
        <v>0.40049953650006698</v>
      </c>
      <c r="AG325" s="13">
        <f t="shared" si="7"/>
        <v>1.819134960376597E-2</v>
      </c>
      <c r="AH325" s="13">
        <f t="shared" si="8"/>
        <v>1.2595731645598657E-3</v>
      </c>
      <c r="AI325" s="13">
        <v>4.4569448083258377E-3</v>
      </c>
      <c r="AJ325" s="2"/>
    </row>
    <row r="326" spans="1:3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5">
        <f t="shared" si="9"/>
        <v>36.149999999999935</v>
      </c>
      <c r="X326" s="16">
        <f t="shared" si="0"/>
        <v>0</v>
      </c>
      <c r="Y326" s="16">
        <f t="shared" si="1"/>
        <v>2.4321824338320398E-108</v>
      </c>
      <c r="Z326" s="16">
        <f t="shared" si="2"/>
        <v>8.614941846592771</v>
      </c>
      <c r="AA326" s="16">
        <f t="shared" si="3"/>
        <v>0</v>
      </c>
      <c r="AB326" s="16">
        <f t="shared" si="4"/>
        <v>1.7809466247709685E-201</v>
      </c>
      <c r="AC326" s="16">
        <f t="shared" si="5"/>
        <v>2.6603847322125185E-3</v>
      </c>
      <c r="AD326" s="2"/>
      <c r="AE326" s="16">
        <v>8.6149418465932328</v>
      </c>
      <c r="AF326" s="16">
        <f t="shared" si="6"/>
        <v>0.61557937238253924</v>
      </c>
      <c r="AG326" s="16">
        <f t="shared" si="7"/>
        <v>2.9157728815792722E-2</v>
      </c>
      <c r="AH326" s="16">
        <f t="shared" si="8"/>
        <v>1.6710412124308069E-3</v>
      </c>
      <c r="AI326" s="16">
        <v>2.6603847322125185E-3</v>
      </c>
      <c r="AJ326" s="2"/>
    </row>
    <row r="327" spans="1:3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2">
        <f t="shared" si="9"/>
        <v>36.199999999999932</v>
      </c>
      <c r="X327" s="13">
        <f t="shared" si="0"/>
        <v>0</v>
      </c>
      <c r="Y327" s="13">
        <f t="shared" si="1"/>
        <v>3.3045540002483925E-104</v>
      </c>
      <c r="Z327" s="13">
        <f t="shared" si="2"/>
        <v>12.605991717139375</v>
      </c>
      <c r="AA327" s="13">
        <f t="shared" si="3"/>
        <v>0</v>
      </c>
      <c r="AB327" s="13">
        <f t="shared" si="4"/>
        <v>3.032470082064302E-207</v>
      </c>
      <c r="AC327" s="13">
        <f t="shared" si="5"/>
        <v>1.6008567184578259E-3</v>
      </c>
      <c r="AD327" s="2"/>
      <c r="AE327" s="13">
        <v>12.605991717140052</v>
      </c>
      <c r="AF327" s="13">
        <f t="shared" si="6"/>
        <v>0.9395381534958227</v>
      </c>
      <c r="AG327" s="13">
        <f t="shared" si="7"/>
        <v>4.6430518066745544E-2</v>
      </c>
      <c r="AH327" s="13">
        <f t="shared" si="8"/>
        <v>2.5308460125733246E-3</v>
      </c>
      <c r="AI327" s="13">
        <v>1.6008567184578259E-3</v>
      </c>
      <c r="AJ327" s="2"/>
    </row>
    <row r="328" spans="1:3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5">
        <f t="shared" si="9"/>
        <v>36.249999999999929</v>
      </c>
      <c r="X328" s="16">
        <f t="shared" si="0"/>
        <v>0</v>
      </c>
      <c r="Y328" s="16">
        <f t="shared" si="1"/>
        <v>3.7651250030100253E-100</v>
      </c>
      <c r="Z328" s="16">
        <f t="shared" si="2"/>
        <v>18.316550131839922</v>
      </c>
      <c r="AA328" s="16">
        <f t="shared" si="3"/>
        <v>0</v>
      </c>
      <c r="AB328" s="16">
        <f t="shared" si="4"/>
        <v>4.3024479432303588E-213</v>
      </c>
      <c r="AC328" s="16">
        <f t="shared" si="5"/>
        <v>9.9806333894736777E-4</v>
      </c>
      <c r="AD328" s="2"/>
      <c r="AE328" s="16">
        <v>18.316550131840902</v>
      </c>
      <c r="AF328" s="16">
        <f t="shared" si="6"/>
        <v>1.4239434264818827</v>
      </c>
      <c r="AG328" s="16">
        <f t="shared" si="7"/>
        <v>7.343076955325116E-2</v>
      </c>
      <c r="AH328" s="16">
        <f t="shared" si="8"/>
        <v>4.0401080265617794E-3</v>
      </c>
      <c r="AI328" s="16">
        <v>9.9806333894736777E-4</v>
      </c>
      <c r="AJ328" s="2"/>
    </row>
    <row r="329" spans="1:3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2">
        <f t="shared" si="9"/>
        <v>36.299999999999926</v>
      </c>
      <c r="X329" s="13">
        <f t="shared" si="0"/>
        <v>0</v>
      </c>
      <c r="Y329" s="13">
        <f t="shared" si="1"/>
        <v>3.5974584485696769E-96</v>
      </c>
      <c r="Z329" s="13">
        <f t="shared" si="2"/>
        <v>26.427271978890243</v>
      </c>
      <c r="AA329" s="13">
        <f t="shared" si="3"/>
        <v>0</v>
      </c>
      <c r="AB329" s="13">
        <f t="shared" si="4"/>
        <v>3.1308151267464386E-217</v>
      </c>
      <c r="AC329" s="13">
        <f t="shared" si="5"/>
        <v>6.8765383240278709E-4</v>
      </c>
      <c r="AD329" s="2"/>
      <c r="AE329" s="13">
        <v>26.427271978891614</v>
      </c>
      <c r="AF329" s="13">
        <f t="shared" si="6"/>
        <v>2.1429837276387294</v>
      </c>
      <c r="AG329" s="13">
        <f t="shared" si="7"/>
        <v>0.11532689787104182</v>
      </c>
      <c r="AH329" s="13">
        <f t="shared" si="8"/>
        <v>6.5477215907129398E-3</v>
      </c>
      <c r="AI329" s="13">
        <v>6.8765383240278709E-4</v>
      </c>
      <c r="AJ329" s="2"/>
    </row>
    <row r="330" spans="1:3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5">
        <f t="shared" si="9"/>
        <v>36.349999999999923</v>
      </c>
      <c r="X330" s="16">
        <f t="shared" si="0"/>
        <v>0</v>
      </c>
      <c r="Y330" s="16">
        <f t="shared" si="1"/>
        <v>2.8824515365048392E-92</v>
      </c>
      <c r="Z330" s="16">
        <f t="shared" si="2"/>
        <v>37.861950501605499</v>
      </c>
      <c r="AA330" s="16">
        <f t="shared" si="3"/>
        <v>0</v>
      </c>
      <c r="AB330" s="16">
        <f t="shared" si="4"/>
        <v>1.8121049991643406E-211</v>
      </c>
      <c r="AC330" s="16">
        <f t="shared" si="5"/>
        <v>5.8173859724655543E-4</v>
      </c>
      <c r="AD330" s="2"/>
      <c r="AE330" s="16">
        <v>37.861950501607396</v>
      </c>
      <c r="AF330" s="16">
        <f t="shared" si="6"/>
        <v>3.2025269409466013</v>
      </c>
      <c r="AG330" s="16">
        <f t="shared" si="7"/>
        <v>0.17986436080827869</v>
      </c>
      <c r="AH330" s="16">
        <f t="shared" si="8"/>
        <v>1.061987662264423E-2</v>
      </c>
      <c r="AI330" s="16">
        <v>5.8173859724655543E-4</v>
      </c>
      <c r="AJ330" s="2"/>
    </row>
    <row r="331" spans="1:3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2">
        <f t="shared" si="9"/>
        <v>36.39999999999992</v>
      </c>
      <c r="X331" s="13">
        <f t="shared" si="0"/>
        <v>0</v>
      </c>
      <c r="Y331" s="13">
        <f t="shared" si="1"/>
        <v>1.9367701474446291E-88</v>
      </c>
      <c r="Z331" s="13">
        <f t="shared" si="2"/>
        <v>53.863630977966061</v>
      </c>
      <c r="AA331" s="13">
        <f t="shared" si="3"/>
        <v>0</v>
      </c>
      <c r="AB331" s="13">
        <f t="shared" si="4"/>
        <v>8.9530135719371085E-206</v>
      </c>
      <c r="AC331" s="13">
        <f t="shared" si="5"/>
        <v>6.4687541458300344E-4</v>
      </c>
      <c r="AD331" s="2"/>
      <c r="AE331" s="13">
        <v>53.863630977968661</v>
      </c>
      <c r="AF331" s="13">
        <f t="shared" si="6"/>
        <v>4.7524162880023431</v>
      </c>
      <c r="AG331" s="13">
        <f t="shared" si="7"/>
        <v>0.27855831557024535</v>
      </c>
      <c r="AH331" s="13">
        <f t="shared" si="8"/>
        <v>1.7150145923628429E-2</v>
      </c>
      <c r="AI331" s="13">
        <v>6.4687541458300333E-4</v>
      </c>
      <c r="AJ331" s="2"/>
    </row>
    <row r="332" spans="1:3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5">
        <f t="shared" si="9"/>
        <v>36.449999999999918</v>
      </c>
      <c r="X332" s="16">
        <f t="shared" si="0"/>
        <v>0</v>
      </c>
      <c r="Y332" s="16">
        <f t="shared" si="1"/>
        <v>1.0912995885869136E-84</v>
      </c>
      <c r="Z332" s="16">
        <f t="shared" si="2"/>
        <v>76.090469259261084</v>
      </c>
      <c r="AA332" s="16">
        <f t="shared" si="3"/>
        <v>0</v>
      </c>
      <c r="AB332" s="16">
        <f t="shared" si="4"/>
        <v>3.7145098667770785E-200</v>
      </c>
      <c r="AC332" s="16">
        <f t="shared" si="5"/>
        <v>8.9477361890427003E-4</v>
      </c>
      <c r="AD332" s="2"/>
      <c r="AE332" s="16">
        <v>76.090469259264765</v>
      </c>
      <c r="AF332" s="16">
        <f t="shared" si="6"/>
        <v>7.0029966640268304</v>
      </c>
      <c r="AG332" s="16">
        <f t="shared" si="7"/>
        <v>0.42839240561343522</v>
      </c>
      <c r="AH332" s="16">
        <f t="shared" si="8"/>
        <v>2.7527802341268323E-2</v>
      </c>
      <c r="AI332" s="16">
        <v>8.9477361890427003E-4</v>
      </c>
      <c r="AJ332" s="2"/>
    </row>
    <row r="333" spans="1:3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2">
        <f t="shared" si="9"/>
        <v>36.499999999999915</v>
      </c>
      <c r="X333" s="13">
        <f t="shared" si="0"/>
        <v>0</v>
      </c>
      <c r="Y333" s="13">
        <f t="shared" si="1"/>
        <v>5.1565560314033824E-81</v>
      </c>
      <c r="Z333" s="13">
        <f t="shared" si="2"/>
        <v>106.7350093438185</v>
      </c>
      <c r="AA333" s="13">
        <f t="shared" si="3"/>
        <v>0</v>
      </c>
      <c r="AB333" s="13">
        <f t="shared" si="4"/>
        <v>1.2941367757993889E-194</v>
      </c>
      <c r="AC333" s="13">
        <f t="shared" si="5"/>
        <v>1.3834892413898765E-3</v>
      </c>
      <c r="AD333" s="2"/>
      <c r="AE333" s="13">
        <v>106.73500934382365</v>
      </c>
      <c r="AF333" s="13">
        <f t="shared" si="6"/>
        <v>10.247103469316068</v>
      </c>
      <c r="AG333" s="13">
        <f t="shared" si="7"/>
        <v>0.6542163361522183</v>
      </c>
      <c r="AH333" s="13">
        <f t="shared" si="8"/>
        <v>4.3890408810852377E-2</v>
      </c>
      <c r="AI333" s="13">
        <v>1.3834892413898765E-3</v>
      </c>
      <c r="AJ333" s="2"/>
    </row>
    <row r="334" spans="1:3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5">
        <f t="shared" si="9"/>
        <v>36.549999999999912</v>
      </c>
      <c r="X334" s="16">
        <f t="shared" si="0"/>
        <v>0</v>
      </c>
      <c r="Y334" s="16">
        <f t="shared" si="1"/>
        <v>2.0432679909064508E-77</v>
      </c>
      <c r="Z334" s="16">
        <f t="shared" si="2"/>
        <v>148.67074443256726</v>
      </c>
      <c r="AA334" s="16">
        <f t="shared" si="3"/>
        <v>0</v>
      </c>
      <c r="AB334" s="16">
        <f t="shared" si="4"/>
        <v>3.7862146403513552E-189</v>
      </c>
      <c r="AC334" s="16">
        <f t="shared" si="5"/>
        <v>2.2289669513478076E-3</v>
      </c>
      <c r="AD334" s="2"/>
      <c r="AE334" s="16">
        <v>148.6707444325742</v>
      </c>
      <c r="AF334" s="16">
        <f t="shared" si="6"/>
        <v>14.889018896656284</v>
      </c>
      <c r="AG334" s="16">
        <f t="shared" si="7"/>
        <v>0.99209845281766729</v>
      </c>
      <c r="AH334" s="16">
        <f t="shared" si="8"/>
        <v>6.9498140317062265E-2</v>
      </c>
      <c r="AI334" s="16">
        <v>2.2289669513478076E-3</v>
      </c>
      <c r="AJ334" s="2"/>
    </row>
    <row r="335" spans="1:3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2">
        <f t="shared" si="9"/>
        <v>36.599999999999909</v>
      </c>
      <c r="X335" s="13">
        <f t="shared" si="0"/>
        <v>0</v>
      </c>
      <c r="Y335" s="13">
        <f t="shared" si="1"/>
        <v>6.7895464306939329E-74</v>
      </c>
      <c r="Z335" s="13">
        <f t="shared" si="2"/>
        <v>205.6298379661884</v>
      </c>
      <c r="AA335" s="13">
        <f t="shared" si="3"/>
        <v>0</v>
      </c>
      <c r="AB335" s="13">
        <f t="shared" si="4"/>
        <v>9.3020071967549865E-184</v>
      </c>
      <c r="AC335" s="13">
        <f t="shared" si="5"/>
        <v>3.6287593416790614E-3</v>
      </c>
      <c r="AD335" s="2"/>
      <c r="AE335" s="13">
        <v>205.62983796619798</v>
      </c>
      <c r="AF335" s="13">
        <f t="shared" si="6"/>
        <v>21.482202105843495</v>
      </c>
      <c r="AG335" s="13">
        <f t="shared" si="7"/>
        <v>1.4939699147670884</v>
      </c>
      <c r="AH335" s="13">
        <f t="shared" si="8"/>
        <v>0.10928284270156272</v>
      </c>
      <c r="AI335" s="13">
        <v>3.6287593416790614E-3</v>
      </c>
      <c r="AJ335" s="2"/>
    </row>
    <row r="336" spans="1:3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5">
        <f t="shared" si="9"/>
        <v>36.649999999999906</v>
      </c>
      <c r="X336" s="16">
        <f t="shared" si="0"/>
        <v>7.078786244024134E-298</v>
      </c>
      <c r="Y336" s="16">
        <f t="shared" si="1"/>
        <v>1.8919342280654963E-70</v>
      </c>
      <c r="Z336" s="16">
        <f t="shared" si="2"/>
        <v>282.41564010940982</v>
      </c>
      <c r="AA336" s="16">
        <f t="shared" si="3"/>
        <v>0</v>
      </c>
      <c r="AB336" s="16">
        <f t="shared" si="4"/>
        <v>1.9190862818185169E-178</v>
      </c>
      <c r="AC336" s="16">
        <f t="shared" si="5"/>
        <v>5.9019272457003424E-3</v>
      </c>
      <c r="AD336" s="2"/>
      <c r="AE336" s="16">
        <v>282.41564010942278</v>
      </c>
      <c r="AF336" s="16">
        <f t="shared" si="6"/>
        <v>30.777920426536248</v>
      </c>
      <c r="AG336" s="16">
        <f t="shared" si="7"/>
        <v>2.2339970607565403</v>
      </c>
      <c r="AH336" s="16">
        <f t="shared" si="8"/>
        <v>0.17064585821845146</v>
      </c>
      <c r="AI336" s="16">
        <v>5.9019272457003424E-3</v>
      </c>
      <c r="AJ336" s="2"/>
    </row>
    <row r="337" spans="1:3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2">
        <f t="shared" si="9"/>
        <v>36.699999999999903</v>
      </c>
      <c r="X337" s="13">
        <f t="shared" si="0"/>
        <v>2.1106647053919475E-284</v>
      </c>
      <c r="Y337" s="13">
        <f t="shared" si="1"/>
        <v>4.4210064320935782E-67</v>
      </c>
      <c r="Z337" s="13">
        <f t="shared" si="2"/>
        <v>385.15305647977618</v>
      </c>
      <c r="AA337" s="13">
        <f t="shared" si="3"/>
        <v>0</v>
      </c>
      <c r="AB337" s="13">
        <f t="shared" si="4"/>
        <v>3.3247478961958812E-173</v>
      </c>
      <c r="AC337" s="13">
        <f t="shared" si="5"/>
        <v>9.5518082571275399E-3</v>
      </c>
      <c r="AD337" s="2"/>
      <c r="AE337" s="13">
        <v>385.15305647979312</v>
      </c>
      <c r="AF337" s="13">
        <f t="shared" si="6"/>
        <v>43.787233200656722</v>
      </c>
      <c r="AG337" s="13">
        <f t="shared" si="7"/>
        <v>3.3172408147842698</v>
      </c>
      <c r="AH337" s="13">
        <f t="shared" si="8"/>
        <v>0.26460679872421772</v>
      </c>
      <c r="AI337" s="13">
        <v>9.5518082571275399E-3</v>
      </c>
      <c r="AJ337" s="2"/>
    </row>
    <row r="338" spans="1:3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5">
        <f t="shared" si="9"/>
        <v>36.749999999999901</v>
      </c>
      <c r="X338" s="16">
        <f t="shared" si="0"/>
        <v>3.1122828548739734E-271</v>
      </c>
      <c r="Y338" s="16">
        <f t="shared" si="1"/>
        <v>8.663354778862463E-64</v>
      </c>
      <c r="Z338" s="16">
        <f t="shared" si="2"/>
        <v>521.57881917110512</v>
      </c>
      <c r="AA338" s="16">
        <f t="shared" si="3"/>
        <v>0</v>
      </c>
      <c r="AB338" s="16">
        <f t="shared" si="4"/>
        <v>4.8369247157140211E-168</v>
      </c>
      <c r="AC338" s="16">
        <f t="shared" si="5"/>
        <v>1.536188391063123E-2</v>
      </c>
      <c r="AD338" s="2"/>
      <c r="AE338" s="16">
        <v>521.57881917112752</v>
      </c>
      <c r="AF338" s="16">
        <f t="shared" si="6"/>
        <v>61.859085187769431</v>
      </c>
      <c r="AG338" s="16">
        <f t="shared" si="7"/>
        <v>4.8913085258987383</v>
      </c>
      <c r="AH338" s="16">
        <f t="shared" si="8"/>
        <v>0.40744269752836809</v>
      </c>
      <c r="AI338" s="16">
        <v>1.536188391063123E-2</v>
      </c>
      <c r="AJ338" s="2"/>
    </row>
    <row r="339" spans="1:3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2">
        <f t="shared" si="9"/>
        <v>36.799999999999898</v>
      </c>
      <c r="X339" s="13">
        <f t="shared" si="0"/>
        <v>2.2695420583473403E-258</v>
      </c>
      <c r="Y339" s="13">
        <f t="shared" si="1"/>
        <v>1.423642333137901E-60</v>
      </c>
      <c r="Z339" s="13">
        <f t="shared" si="2"/>
        <v>701.37218482486753</v>
      </c>
      <c r="AA339" s="13">
        <f t="shared" si="3"/>
        <v>0</v>
      </c>
      <c r="AB339" s="13">
        <f t="shared" si="4"/>
        <v>5.9091678315666769E-163</v>
      </c>
      <c r="AC339" s="13">
        <f t="shared" si="5"/>
        <v>2.4539797000213318E-2</v>
      </c>
      <c r="AD339" s="2"/>
      <c r="AE339" s="13">
        <v>701.37218482489709</v>
      </c>
      <c r="AF339" s="13">
        <f t="shared" si="6"/>
        <v>86.777520995041826</v>
      </c>
      <c r="AG339" s="13">
        <f t="shared" si="7"/>
        <v>7.1618755127359268</v>
      </c>
      <c r="AH339" s="13">
        <f t="shared" si="8"/>
        <v>0.6230056268319355</v>
      </c>
      <c r="AI339" s="13">
        <v>2.4539797000213318E-2</v>
      </c>
      <c r="AJ339" s="2"/>
    </row>
    <row r="340" spans="1:3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5">
        <f t="shared" si="9"/>
        <v>36.849999999999895</v>
      </c>
      <c r="X340" s="16">
        <f t="shared" si="0"/>
        <v>8.1845870683997881E-246</v>
      </c>
      <c r="Y340" s="16">
        <f t="shared" si="1"/>
        <v>1.9618487768380994E-57</v>
      </c>
      <c r="Z340" s="16">
        <f t="shared" si="2"/>
        <v>936.52445832227659</v>
      </c>
      <c r="AA340" s="16">
        <f t="shared" si="3"/>
        <v>0</v>
      </c>
      <c r="AB340" s="16">
        <f t="shared" si="4"/>
        <v>6.0621923350818435E-158</v>
      </c>
      <c r="AC340" s="16">
        <f t="shared" si="5"/>
        <v>3.893118638027649E-2</v>
      </c>
      <c r="AD340" s="2"/>
      <c r="AE340" s="16">
        <v>936.52445832231524</v>
      </c>
      <c r="AF340" s="16">
        <f t="shared" si="6"/>
        <v>120.88119449131936</v>
      </c>
      <c r="AG340" s="16">
        <f t="shared" si="7"/>
        <v>10.413150165224049</v>
      </c>
      <c r="AH340" s="16">
        <f t="shared" si="8"/>
        <v>0.94596954333630889</v>
      </c>
      <c r="AI340" s="16">
        <v>3.8931186380276483E-2</v>
      </c>
      <c r="AJ340" s="2"/>
    </row>
    <row r="341" spans="1:3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2">
        <f t="shared" si="9"/>
        <v>36.899999999999892</v>
      </c>
      <c r="X341" s="13">
        <f t="shared" si="0"/>
        <v>1.4596699710324169E-233</v>
      </c>
      <c r="Y341" s="13">
        <f t="shared" si="1"/>
        <v>2.2671486853106795E-54</v>
      </c>
      <c r="Z341" s="13">
        <f t="shared" si="2"/>
        <v>1241.7429498746112</v>
      </c>
      <c r="AA341" s="13">
        <f t="shared" si="3"/>
        <v>0</v>
      </c>
      <c r="AB341" s="13">
        <f t="shared" si="4"/>
        <v>5.222512478670918E-153</v>
      </c>
      <c r="AC341" s="13">
        <f t="shared" si="5"/>
        <v>6.1334064256599222E-2</v>
      </c>
      <c r="AD341" s="2"/>
      <c r="AE341" s="13">
        <v>1241.7429498746615</v>
      </c>
      <c r="AF341" s="13">
        <f t="shared" si="6"/>
        <v>167.2083663047371</v>
      </c>
      <c r="AG341" s="13">
        <f t="shared" si="7"/>
        <v>15.034574710312469</v>
      </c>
      <c r="AH341" s="13">
        <f t="shared" si="8"/>
        <v>1.4263366667609783</v>
      </c>
      <c r="AI341" s="13">
        <v>6.1334064256599222E-2</v>
      </c>
      <c r="AJ341" s="2"/>
    </row>
    <row r="342" spans="1:3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5">
        <f t="shared" si="9"/>
        <v>36.949999999999889</v>
      </c>
      <c r="X342" s="16">
        <f t="shared" si="0"/>
        <v>1.2873953519999631E-221</v>
      </c>
      <c r="Y342" s="16">
        <f t="shared" si="1"/>
        <v>2.1970721498261766E-51</v>
      </c>
      <c r="Z342" s="16">
        <f t="shared" si="2"/>
        <v>1634.8814852713901</v>
      </c>
      <c r="AA342" s="16">
        <f t="shared" si="3"/>
        <v>0</v>
      </c>
      <c r="AB342" s="16">
        <f t="shared" si="4"/>
        <v>3.7781191553402362E-148</v>
      </c>
      <c r="AC342" s="16">
        <f t="shared" si="5"/>
        <v>9.5956767037113699E-2</v>
      </c>
      <c r="AD342" s="2"/>
      <c r="AE342" s="16">
        <v>1634.8814852714534</v>
      </c>
      <c r="AF342" s="16">
        <f t="shared" si="6"/>
        <v>229.67039734595244</v>
      </c>
      <c r="AG342" s="16">
        <f t="shared" si="7"/>
        <v>21.55528734180238</v>
      </c>
      <c r="AH342" s="16">
        <f t="shared" si="8"/>
        <v>2.1356330427025929</v>
      </c>
      <c r="AI342" s="16">
        <v>9.5956767037113699E-2</v>
      </c>
      <c r="AJ342" s="2"/>
    </row>
    <row r="343" spans="1:3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2">
        <f t="shared" si="9"/>
        <v>36.999999999999886</v>
      </c>
      <c r="X343" s="13">
        <f t="shared" si="0"/>
        <v>5.6152430984290729E-210</v>
      </c>
      <c r="Y343" s="13">
        <f t="shared" si="1"/>
        <v>1.785494330308685E-48</v>
      </c>
      <c r="Z343" s="13">
        <f t="shared" si="2"/>
        <v>2137.3854163233018</v>
      </c>
      <c r="AA343" s="13">
        <f t="shared" si="3"/>
        <v>0</v>
      </c>
      <c r="AB343" s="13">
        <f t="shared" si="4"/>
        <v>2.2951876803699172E-143</v>
      </c>
      <c r="AC343" s="13">
        <f t="shared" si="5"/>
        <v>0.14907905857223902</v>
      </c>
      <c r="AD343" s="2"/>
      <c r="AE343" s="13">
        <v>2137.3854163233846</v>
      </c>
      <c r="AF343" s="13">
        <f t="shared" si="6"/>
        <v>313.25628785188923</v>
      </c>
      <c r="AG343" s="13">
        <f t="shared" si="7"/>
        <v>30.688109730947826</v>
      </c>
      <c r="AH343" s="13">
        <f t="shared" si="8"/>
        <v>3.175344892997888</v>
      </c>
      <c r="AI343" s="13">
        <v>0.14907905857223902</v>
      </c>
      <c r="AJ343" s="2"/>
    </row>
    <row r="344" spans="1:3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5">
        <f t="shared" si="9"/>
        <v>37.049999999999883</v>
      </c>
      <c r="X344" s="16">
        <f t="shared" si="0"/>
        <v>1.211224233499619E-198</v>
      </c>
      <c r="Y344" s="16">
        <f t="shared" si="1"/>
        <v>1.2168091662890502E-45</v>
      </c>
      <c r="Z344" s="16">
        <f t="shared" si="2"/>
        <v>2774.7342932919032</v>
      </c>
      <c r="AA344" s="16">
        <f t="shared" si="3"/>
        <v>0</v>
      </c>
      <c r="AB344" s="16">
        <f t="shared" si="4"/>
        <v>1.1708658696565295E-138</v>
      </c>
      <c r="AC344" s="16">
        <f t="shared" si="5"/>
        <v>0.229997954880276</v>
      </c>
      <c r="AD344" s="2"/>
      <c r="AE344" s="16">
        <v>2774.7342932920055</v>
      </c>
      <c r="AF344" s="16">
        <f t="shared" si="6"/>
        <v>424.27000567011777</v>
      </c>
      <c r="AG344" s="16">
        <f t="shared" si="7"/>
        <v>43.385051067664079</v>
      </c>
      <c r="AH344" s="16">
        <f t="shared" si="8"/>
        <v>4.6882942389881039</v>
      </c>
      <c r="AI344" s="16">
        <v>0.229997954880276</v>
      </c>
      <c r="AJ344" s="2"/>
    </row>
    <row r="345" spans="1:3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2">
        <f t="shared" si="9"/>
        <v>37.099999999999881</v>
      </c>
      <c r="X345" s="13">
        <f t="shared" si="0"/>
        <v>1.2920517323963274E-187</v>
      </c>
      <c r="Y345" s="13">
        <f t="shared" si="1"/>
        <v>6.9540260055566213E-43</v>
      </c>
      <c r="Z345" s="13">
        <f t="shared" si="2"/>
        <v>3576.8601089094145</v>
      </c>
      <c r="AA345" s="13">
        <f t="shared" si="3"/>
        <v>0</v>
      </c>
      <c r="AB345" s="13">
        <f t="shared" si="4"/>
        <v>5.0158261840393945E-134</v>
      </c>
      <c r="AC345" s="13">
        <f t="shared" si="5"/>
        <v>0.35236869001064824</v>
      </c>
      <c r="AD345" s="2"/>
      <c r="AE345" s="13">
        <v>3576.8601089095455</v>
      </c>
      <c r="AF345" s="13">
        <f t="shared" si="6"/>
        <v>570.60112002755886</v>
      </c>
      <c r="AG345" s="13">
        <f t="shared" si="7"/>
        <v>60.906513593007844</v>
      </c>
      <c r="AH345" s="13">
        <f t="shared" si="8"/>
        <v>6.8738254803971346</v>
      </c>
      <c r="AI345" s="13">
        <v>0.35236869001064824</v>
      </c>
      <c r="AJ345" s="2"/>
    </row>
    <row r="346" spans="1:3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5">
        <f t="shared" si="9"/>
        <v>37.149999999999878</v>
      </c>
      <c r="X346" s="16">
        <f t="shared" si="0"/>
        <v>6.816079021755081E-177</v>
      </c>
      <c r="Y346" s="16">
        <f t="shared" si="1"/>
        <v>3.3327289111008536E-40</v>
      </c>
      <c r="Z346" s="16">
        <f t="shared" si="2"/>
        <v>4578.5135346562183</v>
      </c>
      <c r="AA346" s="16">
        <f t="shared" si="3"/>
        <v>0</v>
      </c>
      <c r="AB346" s="16">
        <f t="shared" si="4"/>
        <v>1.8043641883120461E-129</v>
      </c>
      <c r="AC346" s="16">
        <f t="shared" si="5"/>
        <v>0.5360885793211001</v>
      </c>
      <c r="AD346" s="2"/>
      <c r="AE346" s="16">
        <v>4578.5135346563793</v>
      </c>
      <c r="AF346" s="16">
        <f t="shared" si="6"/>
        <v>762.02753971560423</v>
      </c>
      <c r="AG346" s="16">
        <f t="shared" si="7"/>
        <v>84.906515962872135</v>
      </c>
      <c r="AH346" s="16">
        <f t="shared" si="8"/>
        <v>10.007873959690267</v>
      </c>
      <c r="AI346" s="16">
        <v>0.5360885793211001</v>
      </c>
      <c r="AJ346" s="2"/>
    </row>
    <row r="347" spans="1:3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2">
        <f t="shared" si="9"/>
        <v>37.199999999999875</v>
      </c>
      <c r="X347" s="13">
        <f t="shared" si="0"/>
        <v>1.7782331146478393E-166</v>
      </c>
      <c r="Y347" s="13">
        <f t="shared" si="1"/>
        <v>1.3394099109134697E-37</v>
      </c>
      <c r="Z347" s="13">
        <f t="shared" si="2"/>
        <v>5819.54516580779</v>
      </c>
      <c r="AA347" s="13">
        <f t="shared" si="3"/>
        <v>0</v>
      </c>
      <c r="AB347" s="13">
        <f t="shared" si="4"/>
        <v>5.450700365284515E-125</v>
      </c>
      <c r="AC347" s="13">
        <f t="shared" si="5"/>
        <v>0.80991915627870614</v>
      </c>
      <c r="AD347" s="2"/>
      <c r="AE347" s="13">
        <v>5819.5451658079883</v>
      </c>
      <c r="AF347" s="13">
        <f t="shared" si="6"/>
        <v>1010.5468940493467</v>
      </c>
      <c r="AG347" s="13">
        <f t="shared" si="7"/>
        <v>117.53628328592816</v>
      </c>
      <c r="AH347" s="13">
        <f t="shared" si="8"/>
        <v>14.469210566535327</v>
      </c>
      <c r="AI347" s="13">
        <v>0.80991915627870614</v>
      </c>
      <c r="AJ347" s="2"/>
    </row>
    <row r="348" spans="1:3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5">
        <f t="shared" si="9"/>
        <v>37.249999999999872</v>
      </c>
      <c r="X348" s="16">
        <f t="shared" si="0"/>
        <v>2.2942573567462243E-156</v>
      </c>
      <c r="Y348" s="16">
        <f t="shared" si="1"/>
        <v>4.5141591670749849E-35</v>
      </c>
      <c r="Z348" s="16">
        <f t="shared" si="2"/>
        <v>7345.0638853274813</v>
      </c>
      <c r="AA348" s="16">
        <f t="shared" si="3"/>
        <v>0</v>
      </c>
      <c r="AB348" s="16">
        <f t="shared" si="4"/>
        <v>1.3826963220140197E-120</v>
      </c>
      <c r="AC348" s="16">
        <f t="shared" si="5"/>
        <v>1.2151017550109731</v>
      </c>
      <c r="AD348" s="2"/>
      <c r="AE348" s="16">
        <v>7345.0638853277233</v>
      </c>
      <c r="AF348" s="16">
        <f t="shared" si="6"/>
        <v>1330.73026256408</v>
      </c>
      <c r="AG348" s="16">
        <f t="shared" si="7"/>
        <v>161.56844273494286</v>
      </c>
      <c r="AH348" s="16">
        <f t="shared" si="8"/>
        <v>20.773397464497087</v>
      </c>
      <c r="AI348" s="16">
        <v>1.2151017550109731</v>
      </c>
      <c r="AJ348" s="2"/>
    </row>
    <row r="349" spans="1:3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2">
        <f t="shared" si="9"/>
        <v>37.299999999999869</v>
      </c>
      <c r="X349" s="13">
        <f t="shared" si="0"/>
        <v>1.4638444657890898E-146</v>
      </c>
      <c r="Y349" s="13">
        <f t="shared" si="1"/>
        <v>1.2758219465686967E-32</v>
      </c>
      <c r="Z349" s="13">
        <f t="shared" si="2"/>
        <v>9205.4305436977957</v>
      </c>
      <c r="AA349" s="13">
        <f t="shared" si="3"/>
        <v>0</v>
      </c>
      <c r="AB349" s="13">
        <f t="shared" si="4"/>
        <v>2.945423147850104E-116</v>
      </c>
      <c r="AC349" s="13">
        <f t="shared" si="5"/>
        <v>1.8102955451256957</v>
      </c>
      <c r="AD349" s="2"/>
      <c r="AE349" s="13">
        <v>9205.4305436980885</v>
      </c>
      <c r="AF349" s="13">
        <f t="shared" si="6"/>
        <v>1740.0885629235747</v>
      </c>
      <c r="AG349" s="13">
        <f t="shared" si="7"/>
        <v>220.54376154830624</v>
      </c>
      <c r="AH349" s="13">
        <f t="shared" si="8"/>
        <v>29.61623917186753</v>
      </c>
      <c r="AI349" s="13">
        <v>1.8102955451256957</v>
      </c>
      <c r="AJ349" s="2"/>
    </row>
    <row r="350" spans="1:3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5">
        <f t="shared" si="9"/>
        <v>37.349999999999866</v>
      </c>
      <c r="X350" s="16">
        <f t="shared" si="0"/>
        <v>4.618990830108043E-137</v>
      </c>
      <c r="Y350" s="16">
        <f t="shared" si="1"/>
        <v>3.0238003279060053E-30</v>
      </c>
      <c r="Z350" s="16">
        <f t="shared" si="2"/>
        <v>11456.042791740103</v>
      </c>
      <c r="AA350" s="16">
        <f t="shared" si="3"/>
        <v>0</v>
      </c>
      <c r="AB350" s="16">
        <f t="shared" si="4"/>
        <v>5.2688395411540733E-112</v>
      </c>
      <c r="AC350" s="16">
        <f t="shared" si="5"/>
        <v>2.6782565360136945</v>
      </c>
      <c r="AD350" s="2"/>
      <c r="AE350" s="16">
        <v>11456.042791740458</v>
      </c>
      <c r="AF350" s="16">
        <f t="shared" si="6"/>
        <v>2259.4380018462352</v>
      </c>
      <c r="AG350" s="16">
        <f t="shared" si="7"/>
        <v>298.94181622979943</v>
      </c>
      <c r="AH350" s="16">
        <f t="shared" si="8"/>
        <v>41.928755362706909</v>
      </c>
      <c r="AI350" s="16">
        <v>2.6782565360136945</v>
      </c>
      <c r="AJ350" s="2"/>
    </row>
    <row r="351" spans="1:3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2">
        <f t="shared" si="9"/>
        <v>37.399999999999864</v>
      </c>
      <c r="X351" s="13">
        <f t="shared" si="0"/>
        <v>7.2077319578287762E-128</v>
      </c>
      <c r="Y351" s="13">
        <f t="shared" si="1"/>
        <v>6.0098826461150788E-28</v>
      </c>
      <c r="Z351" s="13">
        <f t="shared" si="2"/>
        <v>14156.866689078925</v>
      </c>
      <c r="AA351" s="13">
        <f t="shared" si="3"/>
        <v>0</v>
      </c>
      <c r="AB351" s="13">
        <f t="shared" si="4"/>
        <v>7.9145939506785668E-108</v>
      </c>
      <c r="AC351" s="13">
        <f t="shared" si="5"/>
        <v>3.934782398374248</v>
      </c>
      <c r="AD351" s="2"/>
      <c r="AE351" s="13">
        <v>14156.866689079345</v>
      </c>
      <c r="AF351" s="13">
        <f t="shared" si="6"/>
        <v>2913.2466964316882</v>
      </c>
      <c r="AG351" s="13">
        <f t="shared" si="7"/>
        <v>402.37613317347677</v>
      </c>
      <c r="AH351" s="13">
        <f t="shared" si="8"/>
        <v>58.945915469092903</v>
      </c>
      <c r="AI351" s="13">
        <v>3.934782398374248</v>
      </c>
      <c r="AJ351" s="2"/>
    </row>
    <row r="352" spans="1:3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5">
        <f t="shared" si="9"/>
        <v>37.449999999999861</v>
      </c>
      <c r="X352" s="16">
        <f t="shared" si="0"/>
        <v>5.5622373626092661E-119</v>
      </c>
      <c r="Y352" s="16">
        <f t="shared" si="1"/>
        <v>1.0016793351340159E-25</v>
      </c>
      <c r="Z352" s="16">
        <f t="shared" si="2"/>
        <v>17371.673225936989</v>
      </c>
      <c r="AA352" s="16">
        <f t="shared" si="3"/>
        <v>0</v>
      </c>
      <c r="AB352" s="16">
        <f t="shared" si="4"/>
        <v>9.9836349797124371E-104</v>
      </c>
      <c r="AC352" s="16">
        <f t="shared" si="5"/>
        <v>5.740571389036969</v>
      </c>
      <c r="AD352" s="2"/>
      <c r="AE352" s="16">
        <v>17371.673225937495</v>
      </c>
      <c r="AF352" s="16">
        <f t="shared" si="6"/>
        <v>3729.9400673848422</v>
      </c>
      <c r="AG352" s="16">
        <f t="shared" si="7"/>
        <v>537.81314087217902</v>
      </c>
      <c r="AH352" s="16">
        <f t="shared" si="8"/>
        <v>82.291531956317513</v>
      </c>
      <c r="AI352" s="16">
        <v>5.740571389036969</v>
      </c>
      <c r="AJ352" s="2"/>
    </row>
    <row r="353" spans="1:3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2">
        <f t="shared" si="9"/>
        <v>37.499999999999858</v>
      </c>
      <c r="X353" s="13">
        <f t="shared" si="0"/>
        <v>2.1227545039147061E-110</v>
      </c>
      <c r="Y353" s="13">
        <f t="shared" si="1"/>
        <v>1.4000426873448039E-23</v>
      </c>
      <c r="Z353" s="13">
        <f t="shared" si="2"/>
        <v>21166.943662592592</v>
      </c>
      <c r="AA353" s="13">
        <f t="shared" si="3"/>
        <v>0</v>
      </c>
      <c r="AB353" s="13">
        <f t="shared" si="4"/>
        <v>1.0575359465424414E-99</v>
      </c>
      <c r="AC353" s="13">
        <f t="shared" si="5"/>
        <v>8.3167831878397358</v>
      </c>
      <c r="AD353" s="2"/>
      <c r="AE353" s="13">
        <v>21166.943662593181</v>
      </c>
      <c r="AF353" s="13">
        <f t="shared" si="6"/>
        <v>4742.1381502293198</v>
      </c>
      <c r="AG353" s="13">
        <f t="shared" si="7"/>
        <v>713.8126811016989</v>
      </c>
      <c r="AH353" s="13">
        <f t="shared" si="8"/>
        <v>114.0817729082143</v>
      </c>
      <c r="AI353" s="13">
        <v>8.3167831878397358</v>
      </c>
      <c r="AJ353" s="2"/>
    </row>
    <row r="354" spans="1:3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5">
        <f t="shared" si="9"/>
        <v>37.549999999999855</v>
      </c>
      <c r="X354" s="16">
        <f t="shared" si="0"/>
        <v>4.0063546087708733E-102</v>
      </c>
      <c r="Y354" s="16">
        <f t="shared" si="1"/>
        <v>1.640981486812037E-21</v>
      </c>
      <c r="Z354" s="16">
        <f t="shared" si="2"/>
        <v>25610.417009124401</v>
      </c>
      <c r="AA354" s="16">
        <f t="shared" si="3"/>
        <v>0</v>
      </c>
      <c r="AB354" s="16">
        <f t="shared" si="4"/>
        <v>9.4069312873622135E-96</v>
      </c>
      <c r="AC354" s="16">
        <f t="shared" si="5"/>
        <v>11.965242178716728</v>
      </c>
      <c r="AD354" s="2"/>
      <c r="AE354" s="16">
        <v>25610.417009125093</v>
      </c>
      <c r="AF354" s="16">
        <f t="shared" si="6"/>
        <v>5986.7938997299007</v>
      </c>
      <c r="AG354" s="16">
        <f t="shared" si="7"/>
        <v>940.78581674612053</v>
      </c>
      <c r="AH354" s="16">
        <f t="shared" si="8"/>
        <v>157.0496816507146</v>
      </c>
      <c r="AI354" s="16">
        <v>11.965242178716728</v>
      </c>
      <c r="AJ354" s="2"/>
    </row>
    <row r="355" spans="1:3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2">
        <f t="shared" si="9"/>
        <v>37.599999999999852</v>
      </c>
      <c r="X355" s="13">
        <f t="shared" si="0"/>
        <v>3.7393693604176885E-94</v>
      </c>
      <c r="Y355" s="13">
        <f t="shared" si="1"/>
        <v>1.6129315091448227E-19</v>
      </c>
      <c r="Z355" s="13">
        <f t="shared" si="2"/>
        <v>30769.2662514941</v>
      </c>
      <c r="AA355" s="13">
        <f t="shared" si="3"/>
        <v>0</v>
      </c>
      <c r="AB355" s="13">
        <f t="shared" si="4"/>
        <v>7.026631758272574E-92</v>
      </c>
      <c r="AC355" s="13">
        <f t="shared" si="5"/>
        <v>17.094384260697229</v>
      </c>
      <c r="AD355" s="2"/>
      <c r="AE355" s="13">
        <v>30769.266251494893</v>
      </c>
      <c r="AF355" s="13">
        <f t="shared" si="6"/>
        <v>7505.1982790147977</v>
      </c>
      <c r="AG355" s="13">
        <f t="shared" si="7"/>
        <v>1231.2632481515432</v>
      </c>
      <c r="AH355" s="13">
        <f t="shared" si="8"/>
        <v>214.6928311781522</v>
      </c>
      <c r="AI355" s="13">
        <v>17.094384260697229</v>
      </c>
      <c r="AJ355" s="2"/>
    </row>
    <row r="356" spans="1:3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5">
        <f t="shared" si="9"/>
        <v>37.649999999999849</v>
      </c>
      <c r="X356" s="16">
        <f t="shared" si="0"/>
        <v>1.7260235078459473E-86</v>
      </c>
      <c r="Y356" s="16">
        <f t="shared" si="1"/>
        <v>1.3294683763715478E-17</v>
      </c>
      <c r="Z356" s="16">
        <f t="shared" si="2"/>
        <v>36707.907042841478</v>
      </c>
      <c r="AA356" s="16">
        <f t="shared" si="3"/>
        <v>0</v>
      </c>
      <c r="AB356" s="16">
        <f t="shared" si="4"/>
        <v>4.4075049207088136E-88</v>
      </c>
      <c r="AC356" s="16">
        <f t="shared" si="5"/>
        <v>24.252208127237751</v>
      </c>
      <c r="AD356" s="2"/>
      <c r="AE356" s="16">
        <v>36707.907042842395</v>
      </c>
      <c r="AF356" s="16">
        <f t="shared" si="6"/>
        <v>9342.8158844766513</v>
      </c>
      <c r="AG356" s="16">
        <f t="shared" si="7"/>
        <v>1600.1648428257249</v>
      </c>
      <c r="AH356" s="16">
        <f t="shared" si="8"/>
        <v>291.445738838262</v>
      </c>
      <c r="AI356" s="16">
        <v>24.252208127237751</v>
      </c>
      <c r="AJ356" s="2"/>
    </row>
    <row r="357" spans="1:3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2">
        <f t="shared" si="9"/>
        <v>37.699999999999847</v>
      </c>
      <c r="X357" s="13">
        <f t="shared" si="0"/>
        <v>3.9399835649356969E-79</v>
      </c>
      <c r="Y357" s="13">
        <f t="shared" si="1"/>
        <v>9.189458849719006E-16</v>
      </c>
      <c r="Z357" s="13">
        <f t="shared" si="2"/>
        <v>43485.463181916915</v>
      </c>
      <c r="AA357" s="13">
        <f t="shared" si="3"/>
        <v>0</v>
      </c>
      <c r="AB357" s="13">
        <f t="shared" si="4"/>
        <v>2.3215861623126039E-84</v>
      </c>
      <c r="AC357" s="13">
        <f t="shared" si="5"/>
        <v>34.167638744006084</v>
      </c>
      <c r="AD357" s="2"/>
      <c r="AE357" s="13">
        <v>43485.463181917963</v>
      </c>
      <c r="AF357" s="13">
        <f t="shared" si="6"/>
        <v>11548.914545805108</v>
      </c>
      <c r="AG357" s="13">
        <f t="shared" si="7"/>
        <v>2065.057671947482</v>
      </c>
      <c r="AH357" s="13">
        <f t="shared" si="8"/>
        <v>392.87786491356701</v>
      </c>
      <c r="AI357" s="13">
        <v>34.167638744006084</v>
      </c>
      <c r="AJ357" s="2"/>
    </row>
    <row r="358" spans="1:3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5">
        <f t="shared" si="9"/>
        <v>37.749999999999844</v>
      </c>
      <c r="X358" s="16">
        <f t="shared" si="0"/>
        <v>4.4477613521776505E-72</v>
      </c>
      <c r="Y358" s="16">
        <f t="shared" si="1"/>
        <v>5.3266198598757064E-14</v>
      </c>
      <c r="Z358" s="16">
        <f t="shared" si="2"/>
        <v>51152.93661280816</v>
      </c>
      <c r="AA358" s="16">
        <f t="shared" si="3"/>
        <v>0</v>
      </c>
      <c r="AB358" s="16">
        <f t="shared" si="4"/>
        <v>1.02688827775278E-80</v>
      </c>
      <c r="AC358" s="16">
        <f t="shared" si="5"/>
        <v>47.801827707211402</v>
      </c>
      <c r="AD358" s="2"/>
      <c r="AE358" s="16">
        <v>51152.936612809339</v>
      </c>
      <c r="AF358" s="16">
        <f t="shared" si="6"/>
        <v>14175.954238134775</v>
      </c>
      <c r="AG358" s="16">
        <f t="shared" si="7"/>
        <v>2646.3866579035289</v>
      </c>
      <c r="AH358" s="16">
        <f t="shared" si="8"/>
        <v>525.9168627836076</v>
      </c>
      <c r="AI358" s="16">
        <v>47.801827707211395</v>
      </c>
      <c r="AJ358" s="2"/>
    </row>
    <row r="359" spans="1:3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2">
        <f t="shared" si="9"/>
        <v>37.799999999999841</v>
      </c>
      <c r="X359" s="13">
        <f t="shared" si="0"/>
        <v>2.4830639579429394E-65</v>
      </c>
      <c r="Y359" s="13">
        <f t="shared" si="1"/>
        <v>2.5891863650512024E-12</v>
      </c>
      <c r="Z359" s="13">
        <f t="shared" si="2"/>
        <v>59750.15486331471</v>
      </c>
      <c r="AA359" s="13">
        <f t="shared" si="3"/>
        <v>0</v>
      </c>
      <c r="AB359" s="13">
        <f t="shared" si="4"/>
        <v>3.8142396385491365E-77</v>
      </c>
      <c r="AC359" s="13">
        <f t="shared" si="5"/>
        <v>66.410980669520455</v>
      </c>
      <c r="AD359" s="2"/>
      <c r="AE359" s="13">
        <v>59750.15486331602</v>
      </c>
      <c r="AF359" s="13">
        <f t="shared" si="6"/>
        <v>17278.705183678579</v>
      </c>
      <c r="AG359" s="13">
        <f t="shared" si="7"/>
        <v>3367.6586504283791</v>
      </c>
      <c r="AH359" s="13">
        <f t="shared" si="8"/>
        <v>699.0951920338556</v>
      </c>
      <c r="AI359" s="13">
        <v>66.410980669520455</v>
      </c>
      <c r="AJ359" s="2"/>
    </row>
    <row r="360" spans="1:3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5">
        <f t="shared" si="9"/>
        <v>37.849999999999838</v>
      </c>
      <c r="X360" s="16">
        <f t="shared" si="0"/>
        <v>6.8554141745820621E-59</v>
      </c>
      <c r="Y360" s="16">
        <f t="shared" si="1"/>
        <v>1.0554186381104076E-10</v>
      </c>
      <c r="Z360" s="16">
        <f t="shared" si="2"/>
        <v>69302.594412337436</v>
      </c>
      <c r="AA360" s="16">
        <f t="shared" si="3"/>
        <v>0</v>
      </c>
      <c r="AB360" s="16">
        <f t="shared" si="4"/>
        <v>1.18970460627502E-73</v>
      </c>
      <c r="AC360" s="16">
        <f t="shared" si="5"/>
        <v>91.622289534625125</v>
      </c>
      <c r="AD360" s="2"/>
      <c r="AE360" s="16">
        <v>69302.594412338905</v>
      </c>
      <c r="AF360" s="16">
        <f t="shared" si="6"/>
        <v>20913.072540234276</v>
      </c>
      <c r="AG360" s="16">
        <f t="shared" si="7"/>
        <v>4255.5577005365876</v>
      </c>
      <c r="AH360" s="16">
        <f t="shared" si="8"/>
        <v>922.81621858379356</v>
      </c>
      <c r="AI360" s="16">
        <v>91.622289534625125</v>
      </c>
      <c r="AJ360" s="2"/>
    </row>
    <row r="361" spans="1:3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2">
        <f t="shared" si="9"/>
        <v>37.899999999999835</v>
      </c>
      <c r="X361" s="13">
        <f t="shared" si="0"/>
        <v>9.3600647451524019E-53</v>
      </c>
      <c r="Y361" s="13">
        <f t="shared" si="1"/>
        <v>3.6077467820484803E-9</v>
      </c>
      <c r="Z361" s="13">
        <f t="shared" si="2"/>
        <v>79818.202763831228</v>
      </c>
      <c r="AA361" s="13">
        <f t="shared" si="3"/>
        <v>6.9886270151368557E-296</v>
      </c>
      <c r="AB361" s="13">
        <f t="shared" si="4"/>
        <v>3.1161381270283241E-70</v>
      </c>
      <c r="AC361" s="13">
        <f t="shared" si="5"/>
        <v>125.52442549978069</v>
      </c>
      <c r="AD361" s="2"/>
      <c r="AE361" s="13">
        <v>79818.202763832829</v>
      </c>
      <c r="AF361" s="13">
        <f t="shared" si="6"/>
        <v>25134.615761319415</v>
      </c>
      <c r="AG361" s="13">
        <f t="shared" si="7"/>
        <v>5339.9667782332717</v>
      </c>
      <c r="AH361" s="13">
        <f t="shared" si="8"/>
        <v>1209.6335009888805</v>
      </c>
      <c r="AI361" s="13">
        <v>125.52442549978069</v>
      </c>
      <c r="AJ361" s="2"/>
    </row>
    <row r="362" spans="1:3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5">
        <f t="shared" si="9"/>
        <v>37.949999999999832</v>
      </c>
      <c r="X362" s="16">
        <f t="shared" si="0"/>
        <v>6.320091563732741E-47</v>
      </c>
      <c r="Y362" s="16">
        <f t="shared" si="1"/>
        <v>1.0341824828452557E-7</v>
      </c>
      <c r="Z362" s="16">
        <f t="shared" si="2"/>
        <v>91284.363120554903</v>
      </c>
      <c r="AA362" s="16">
        <f t="shared" si="3"/>
        <v>1.6356397151989201E-282</v>
      </c>
      <c r="AB362" s="16">
        <f t="shared" si="4"/>
        <v>6.8539454917759445E-67</v>
      </c>
      <c r="AC362" s="16">
        <f t="shared" si="5"/>
        <v>170.77378345192975</v>
      </c>
      <c r="AD362" s="2"/>
      <c r="AE362" s="16">
        <v>91284.363120556634</v>
      </c>
      <c r="AF362" s="16">
        <f t="shared" si="6"/>
        <v>29996.764554381301</v>
      </c>
      <c r="AG362" s="16">
        <f t="shared" si="7"/>
        <v>6653.8695102877373</v>
      </c>
      <c r="AH362" s="16">
        <f t="shared" si="8"/>
        <v>1574.5341258190028</v>
      </c>
      <c r="AI362" s="16">
        <v>170.77378345192975</v>
      </c>
      <c r="AJ362" s="2"/>
    </row>
    <row r="363" spans="1:3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2">
        <f t="shared" si="9"/>
        <v>37.999999999999829</v>
      </c>
      <c r="X363" s="13">
        <f t="shared" si="0"/>
        <v>2.1104120134010531E-41</v>
      </c>
      <c r="Y363" s="13">
        <f t="shared" si="1"/>
        <v>2.4860402020012366E-6</v>
      </c>
      <c r="Z363" s="13">
        <f t="shared" si="2"/>
        <v>103665.1615183987</v>
      </c>
      <c r="AA363" s="13">
        <f t="shared" si="3"/>
        <v>1.9035705972776916E-269</v>
      </c>
      <c r="AB363" s="13">
        <f t="shared" si="4"/>
        <v>1.2659337589536882E-63</v>
      </c>
      <c r="AC363" s="13">
        <f t="shared" si="5"/>
        <v>230.71722187779989</v>
      </c>
      <c r="AD363" s="2"/>
      <c r="AE363" s="13">
        <v>103665.16151840056</v>
      </c>
      <c r="AF363" s="13">
        <f t="shared" si="6"/>
        <v>35548.750100677978</v>
      </c>
      <c r="AG363" s="13">
        <f t="shared" si="7"/>
        <v>8233.1050512186775</v>
      </c>
      <c r="AH363" s="13">
        <f t="shared" si="8"/>
        <v>2035.213775561811</v>
      </c>
      <c r="AI363" s="13">
        <v>230.71722187779989</v>
      </c>
      <c r="AJ363" s="2"/>
    </row>
    <row r="364" spans="1:3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5">
        <f t="shared" si="9"/>
        <v>38.049999999999827</v>
      </c>
      <c r="X364" s="16">
        <f t="shared" si="0"/>
        <v>3.4850618761225935E-36</v>
      </c>
      <c r="Y364" s="16">
        <f t="shared" si="1"/>
        <v>5.0115141173322866E-5</v>
      </c>
      <c r="Z364" s="16">
        <f t="shared" si="2"/>
        <v>116899.12518192087</v>
      </c>
      <c r="AA364" s="16">
        <f t="shared" si="3"/>
        <v>1.1016303321794157E-256</v>
      </c>
      <c r="AB364" s="16">
        <f t="shared" si="4"/>
        <v>1.9634855331199408E-60</v>
      </c>
      <c r="AC364" s="16">
        <f t="shared" si="5"/>
        <v>309.53137903316184</v>
      </c>
      <c r="AD364" s="2"/>
      <c r="AE364" s="16">
        <v>116899.12518192286</v>
      </c>
      <c r="AF364" s="16">
        <f t="shared" si="6"/>
        <v>41833.289295719384</v>
      </c>
      <c r="AG364" s="16">
        <f t="shared" si="7"/>
        <v>10115.95029825605</v>
      </c>
      <c r="AH364" s="16">
        <f t="shared" si="8"/>
        <v>2612.3278076959486</v>
      </c>
      <c r="AI364" s="16">
        <v>309.53137903316184</v>
      </c>
      <c r="AJ364" s="2"/>
    </row>
    <row r="365" spans="1:3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2">
        <f t="shared" si="9"/>
        <v>38.099999999999824</v>
      </c>
      <c r="X365" s="13">
        <f t="shared" si="0"/>
        <v>2.8461192900917901E-31</v>
      </c>
      <c r="Y365" s="13">
        <f t="shared" si="1"/>
        <v>8.4718763698797019E-4</v>
      </c>
      <c r="Z365" s="13">
        <f t="shared" si="2"/>
        <v>130897.60099904846</v>
      </c>
      <c r="AA365" s="13">
        <f t="shared" si="3"/>
        <v>3.1702122427280128E-244</v>
      </c>
      <c r="AB365" s="13">
        <f t="shared" si="4"/>
        <v>2.5573538235656557E-57</v>
      </c>
      <c r="AC365" s="13">
        <f t="shared" si="5"/>
        <v>412.37773330252145</v>
      </c>
      <c r="AD365" s="2"/>
      <c r="AE365" s="13">
        <v>130897.60099905057</v>
      </c>
      <c r="AF365" s="13">
        <f t="shared" si="6"/>
        <v>48884.080392700605</v>
      </c>
      <c r="AG365" s="13">
        <f t="shared" si="7"/>
        <v>12342.506644611074</v>
      </c>
      <c r="AH365" s="13">
        <f t="shared" si="8"/>
        <v>3329.6991666898321</v>
      </c>
      <c r="AI365" s="13">
        <v>412.37773330252145</v>
      </c>
      <c r="AJ365" s="2"/>
    </row>
    <row r="366" spans="1:3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5">
        <f t="shared" si="9"/>
        <v>38.149999999999821</v>
      </c>
      <c r="X366" s="16">
        <f t="shared" si="0"/>
        <v>1.1494631872423683E-26</v>
      </c>
      <c r="Y366" s="16">
        <f t="shared" si="1"/>
        <v>1.2009919641768001E-2</v>
      </c>
      <c r="Z366" s="16">
        <f t="shared" si="2"/>
        <v>145543.93309164874</v>
      </c>
      <c r="AA366" s="16">
        <f t="shared" si="3"/>
        <v>4.5365567569957872E-232</v>
      </c>
      <c r="AB366" s="16">
        <f t="shared" si="4"/>
        <v>2.7970505908892609E-54</v>
      </c>
      <c r="AC366" s="16">
        <f t="shared" si="5"/>
        <v>545.57138946912244</v>
      </c>
      <c r="AD366" s="2"/>
      <c r="AE366" s="16">
        <v>145543.93309165092</v>
      </c>
      <c r="AF366" s="16">
        <f t="shared" si="6"/>
        <v>56723.18947039733</v>
      </c>
      <c r="AG366" s="16">
        <f t="shared" si="7"/>
        <v>14953.873595825436</v>
      </c>
      <c r="AH366" s="16">
        <f t="shared" si="8"/>
        <v>4214.4606725990843</v>
      </c>
      <c r="AI366" s="16">
        <v>545.57138946912244</v>
      </c>
      <c r="AJ366" s="2"/>
    </row>
    <row r="367" spans="1:3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2">
        <f t="shared" si="9"/>
        <v>38.199999999999818</v>
      </c>
      <c r="X367" s="13">
        <f t="shared" si="0"/>
        <v>2.2958124044412964E-22</v>
      </c>
      <c r="Y367" s="13">
        <f t="shared" si="1"/>
        <v>0.14277442976928525</v>
      </c>
      <c r="Z367" s="13">
        <f t="shared" si="2"/>
        <v>160693.57774623812</v>
      </c>
      <c r="AA367" s="13">
        <f t="shared" si="3"/>
        <v>3.2281218171431655E-220</v>
      </c>
      <c r="AB367" s="13">
        <f t="shared" si="4"/>
        <v>2.5689533220434947E-51</v>
      </c>
      <c r="AC367" s="13">
        <f t="shared" si="5"/>
        <v>716.76010249037847</v>
      </c>
      <c r="AD367" s="2"/>
      <c r="AE367" s="13">
        <v>160693.57774624039</v>
      </c>
      <c r="AF367" s="13">
        <f t="shared" si="6"/>
        <v>65358.42724333948</v>
      </c>
      <c r="AG367" s="13">
        <f t="shared" si="7"/>
        <v>17991.099009707439</v>
      </c>
      <c r="AH367" s="13">
        <f t="shared" si="8"/>
        <v>5297.1064166046563</v>
      </c>
      <c r="AI367" s="13">
        <v>716.76010249037859</v>
      </c>
      <c r="AJ367" s="2"/>
    </row>
    <row r="368" spans="1:3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5">
        <f t="shared" si="9"/>
        <v>38.249999999999815</v>
      </c>
      <c r="X368" s="16">
        <f t="shared" si="0"/>
        <v>2.2676555738089294E-18</v>
      </c>
      <c r="Y368" s="16">
        <f t="shared" si="1"/>
        <v>1.4233464015434134</v>
      </c>
      <c r="Z368" s="16">
        <f t="shared" si="2"/>
        <v>176175.26243418682</v>
      </c>
      <c r="AA368" s="16">
        <f t="shared" si="3"/>
        <v>1.142244400209956E-208</v>
      </c>
      <c r="AB368" s="16">
        <f t="shared" si="4"/>
        <v>1.9813376574721159E-48</v>
      </c>
      <c r="AC368" s="16">
        <f t="shared" si="5"/>
        <v>935.10830499483723</v>
      </c>
      <c r="AD368" s="2"/>
      <c r="AE368" s="16">
        <v>176175.26243418906</v>
      </c>
      <c r="AF368" s="16">
        <f t="shared" si="6"/>
        <v>74780.833349065942</v>
      </c>
      <c r="AG368" s="16">
        <f t="shared" si="7"/>
        <v>21493.905479269306</v>
      </c>
      <c r="AH368" s="16">
        <f t="shared" si="8"/>
        <v>6611.4249776985962</v>
      </c>
      <c r="AI368" s="16">
        <v>935.10830499483723</v>
      </c>
      <c r="AJ368" s="2"/>
    </row>
    <row r="369" spans="1:3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2">
        <f t="shared" si="9"/>
        <v>38.299999999999812</v>
      </c>
      <c r="X369" s="13">
        <f t="shared" si="0"/>
        <v>1.1076872280044555E-14</v>
      </c>
      <c r="Y369" s="13">
        <f t="shared" si="1"/>
        <v>11.899278297666104</v>
      </c>
      <c r="Z369" s="13">
        <f t="shared" si="2"/>
        <v>191793.25405769621</v>
      </c>
      <c r="AA369" s="13">
        <f t="shared" si="3"/>
        <v>2.0098040480174222E-197</v>
      </c>
      <c r="AB369" s="13">
        <f t="shared" si="4"/>
        <v>1.2832378578335307E-45</v>
      </c>
      <c r="AC369" s="13">
        <f t="shared" si="5"/>
        <v>1211.4789177448529</v>
      </c>
      <c r="AD369" s="2"/>
      <c r="AE369" s="13">
        <v>191793.2540576985</v>
      </c>
      <c r="AF369" s="13">
        <f t="shared" si="6"/>
        <v>84962.398765105085</v>
      </c>
      <c r="AG369" s="13">
        <f t="shared" si="7"/>
        <v>25499.20430344568</v>
      </c>
      <c r="AH369" s="13">
        <f t="shared" si="8"/>
        <v>8194.2863193026096</v>
      </c>
      <c r="AI369" s="13">
        <v>1211.4789177448529</v>
      </c>
      <c r="AJ369" s="2"/>
    </row>
    <row r="370" spans="1:3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5">
        <f t="shared" si="9"/>
        <v>38.34999999999981</v>
      </c>
      <c r="X370" s="16">
        <f t="shared" si="0"/>
        <v>2.6758179779993893E-11</v>
      </c>
      <c r="Y370" s="16">
        <f t="shared" si="1"/>
        <v>83.421976754020321</v>
      </c>
      <c r="Z370" s="16">
        <f t="shared" si="2"/>
        <v>207330.75150226912</v>
      </c>
      <c r="AA370" s="16">
        <f t="shared" si="3"/>
        <v>1.7584659041530676E-186</v>
      </c>
      <c r="AB370" s="16">
        <f t="shared" si="4"/>
        <v>6.9791450166356685E-43</v>
      </c>
      <c r="AC370" s="16">
        <f t="shared" si="5"/>
        <v>1558.6035578112876</v>
      </c>
      <c r="AD370" s="2"/>
      <c r="AE370" s="16">
        <v>207330.75150227142</v>
      </c>
      <c r="AF370" s="16">
        <f t="shared" si="6"/>
        <v>95854.164843763487</v>
      </c>
      <c r="AG370" s="16">
        <f t="shared" si="7"/>
        <v>30039.422225225491</v>
      </c>
      <c r="AH370" s="16">
        <f t="shared" si="8"/>
        <v>10085.254901805814</v>
      </c>
      <c r="AI370" s="16">
        <v>1558.6035578112876</v>
      </c>
      <c r="AJ370" s="2"/>
    </row>
    <row r="371" spans="1:3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2">
        <f t="shared" si="9"/>
        <v>38.399999999999807</v>
      </c>
      <c r="X371" s="13">
        <f t="shared" si="0"/>
        <v>3.1966519210809024E-8</v>
      </c>
      <c r="Y371" s="13">
        <f t="shared" si="1"/>
        <v>490.44484271878889</v>
      </c>
      <c r="Z371" s="13">
        <f t="shared" si="2"/>
        <v>222554.36145223462</v>
      </c>
      <c r="AA371" s="13">
        <f t="shared" si="3"/>
        <v>7.6506748256323739E-176</v>
      </c>
      <c r="AB371" s="13">
        <f t="shared" si="4"/>
        <v>3.1874521242827529E-40</v>
      </c>
      <c r="AC371" s="13">
        <f t="shared" si="5"/>
        <v>1991.2295159324972</v>
      </c>
      <c r="AD371" s="2"/>
      <c r="AE371" s="13">
        <v>222554.36145223683</v>
      </c>
      <c r="AF371" s="13">
        <f t="shared" si="6"/>
        <v>107384.83819542128</v>
      </c>
      <c r="AG371" s="13">
        <f t="shared" si="7"/>
        <v>35140.681091004997</v>
      </c>
      <c r="AH371" s="13">
        <f t="shared" si="8"/>
        <v>12326.004107484328</v>
      </c>
      <c r="AI371" s="13">
        <v>1991.2295159324972</v>
      </c>
      <c r="AJ371" s="2"/>
    </row>
    <row r="372" spans="1:3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5">
        <f t="shared" si="9"/>
        <v>38.449999999999804</v>
      </c>
      <c r="X372" s="16">
        <f t="shared" si="0"/>
        <v>1.8885717701041199E-5</v>
      </c>
      <c r="Y372" s="16">
        <f t="shared" si="1"/>
        <v>2417.9633187772833</v>
      </c>
      <c r="Z372" s="16">
        <f t="shared" si="2"/>
        <v>237219.55731824468</v>
      </c>
      <c r="AA372" s="16">
        <f t="shared" si="3"/>
        <v>1.6552023403600867E-165</v>
      </c>
      <c r="AB372" s="16">
        <f t="shared" si="4"/>
        <v>1.2224511329564519E-37</v>
      </c>
      <c r="AC372" s="16">
        <f t="shared" si="5"/>
        <v>2526.2296882554497</v>
      </c>
      <c r="AD372" s="2"/>
      <c r="AE372" s="16">
        <v>237219.55731824678</v>
      </c>
      <c r="AF372" s="16">
        <f t="shared" si="6"/>
        <v>119460.05320584503</v>
      </c>
      <c r="AG372" s="16">
        <f t="shared" si="7"/>
        <v>40820.886018968245</v>
      </c>
      <c r="AH372" s="16">
        <f t="shared" si="8"/>
        <v>14959.511811929038</v>
      </c>
      <c r="AI372" s="16">
        <v>2526.2296882554497</v>
      </c>
      <c r="AJ372" s="2"/>
    </row>
    <row r="373" spans="1:3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2">
        <f t="shared" si="9"/>
        <v>38.499999999999801</v>
      </c>
      <c r="X373" s="13">
        <f t="shared" si="0"/>
        <v>5.5178641118394326E-3</v>
      </c>
      <c r="Y373" s="13">
        <f t="shared" si="1"/>
        <v>9996.7558388222296</v>
      </c>
      <c r="Z373" s="13">
        <f t="shared" si="2"/>
        <v>251076.96263232676</v>
      </c>
      <c r="AA373" s="13">
        <f t="shared" si="3"/>
        <v>1.7806886729527374E-155</v>
      </c>
      <c r="AB373" s="13">
        <f t="shared" si="4"/>
        <v>3.9370028890218442E-35</v>
      </c>
      <c r="AC373" s="13">
        <f t="shared" si="5"/>
        <v>3182.659690744511</v>
      </c>
      <c r="AD373" s="2"/>
      <c r="AE373" s="13">
        <v>251076.96263232877</v>
      </c>
      <c r="AF373" s="13">
        <f t="shared" si="6"/>
        <v>131962.39769640882</v>
      </c>
      <c r="AG373" s="13">
        <f t="shared" si="7"/>
        <v>47087.792592964586</v>
      </c>
      <c r="AH373" s="13">
        <f t="shared" si="8"/>
        <v>18029.024048879917</v>
      </c>
      <c r="AI373" s="13">
        <v>3182.659690744511</v>
      </c>
      <c r="AJ373" s="2"/>
    </row>
    <row r="374" spans="1:3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5">
        <f t="shared" si="9"/>
        <v>38.549999999999798</v>
      </c>
      <c r="X374" s="16">
        <f t="shared" si="0"/>
        <v>0.79727449455629584</v>
      </c>
      <c r="Y374" s="16">
        <f t="shared" si="1"/>
        <v>34659.181512861833</v>
      </c>
      <c r="Z374" s="16">
        <f t="shared" si="2"/>
        <v>263879.24625728553</v>
      </c>
      <c r="AA374" s="16">
        <f t="shared" si="3"/>
        <v>9.525997362098336E-146</v>
      </c>
      <c r="AB374" s="16">
        <f t="shared" si="4"/>
        <v>1.0647468126480775E-32</v>
      </c>
      <c r="AC374" s="16">
        <f t="shared" si="5"/>
        <v>3981.7448619063566</v>
      </c>
      <c r="AD374" s="2"/>
      <c r="AE374" s="16">
        <v>263879.24625728733</v>
      </c>
      <c r="AF374" s="16">
        <f t="shared" si="6"/>
        <v>144752.29205108239</v>
      </c>
      <c r="AG374" s="16">
        <f t="shared" si="7"/>
        <v>53937.136915975854</v>
      </c>
      <c r="AH374" s="16">
        <f t="shared" si="8"/>
        <v>21576.783265148406</v>
      </c>
      <c r="AI374" s="16">
        <v>3981.7448619063566</v>
      </c>
      <c r="AJ374" s="2"/>
    </row>
    <row r="375" spans="1:3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2">
        <f t="shared" si="9"/>
        <v>38.599999999999795</v>
      </c>
      <c r="X375" s="13">
        <f t="shared" si="0"/>
        <v>56.969722441744146</v>
      </c>
      <c r="Y375" s="13">
        <f t="shared" si="1"/>
        <v>100769.09557076277</v>
      </c>
      <c r="Z375" s="13">
        <f t="shared" si="2"/>
        <v>275388.37109053857</v>
      </c>
      <c r="AA375" s="13">
        <f t="shared" si="3"/>
        <v>2.5340692214700596E-136</v>
      </c>
      <c r="AB375" s="13">
        <f t="shared" si="4"/>
        <v>2.4180949661174642E-30</v>
      </c>
      <c r="AC375" s="13">
        <f t="shared" si="5"/>
        <v>4946.7790002999973</v>
      </c>
      <c r="AD375" s="2"/>
      <c r="AE375" s="13">
        <v>275388.3710905402</v>
      </c>
      <c r="AF375" s="13">
        <f t="shared" si="6"/>
        <v>157669.77861087545</v>
      </c>
      <c r="AG375" s="13">
        <f t="shared" si="7"/>
        <v>61350.922883752479</v>
      </c>
      <c r="AH375" s="13">
        <f t="shared" si="8"/>
        <v>25642.529538007428</v>
      </c>
      <c r="AI375" s="13">
        <v>4946.7790002999973</v>
      </c>
      <c r="AJ375" s="2"/>
    </row>
    <row r="376" spans="1:3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5">
        <f t="shared" si="9"/>
        <v>38.649999999999793</v>
      </c>
      <c r="X376" s="16">
        <f t="shared" si="0"/>
        <v>2013.1665186493055</v>
      </c>
      <c r="Y376" s="16">
        <f t="shared" si="1"/>
        <v>245689.30936767551</v>
      </c>
      <c r="Z376" s="16">
        <f t="shared" si="2"/>
        <v>285382.9041557649</v>
      </c>
      <c r="AA376" s="16">
        <f t="shared" si="3"/>
        <v>3.3520620366488956E-127</v>
      </c>
      <c r="AB376" s="16">
        <f t="shared" si="4"/>
        <v>4.611548137080622E-28</v>
      </c>
      <c r="AC376" s="16">
        <f t="shared" si="5"/>
        <v>6102.9167281108512</v>
      </c>
      <c r="AD376" s="2"/>
      <c r="AE376" s="16">
        <v>285382.9041557663</v>
      </c>
      <c r="AF376" s="16">
        <f t="shared" si="6"/>
        <v>170537.23752639489</v>
      </c>
      <c r="AG376" s="16">
        <f t="shared" si="7"/>
        <v>69295.967604607868</v>
      </c>
      <c r="AH376" s="16">
        <f t="shared" si="8"/>
        <v>30261.797015401247</v>
      </c>
      <c r="AI376" s="16">
        <v>6102.9167281108512</v>
      </c>
      <c r="AJ376" s="2"/>
    </row>
    <row r="377" spans="1:3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2">
        <f t="shared" si="9"/>
        <v>38.69999999999979</v>
      </c>
      <c r="X377" s="13">
        <f t="shared" si="0"/>
        <v>35181.524702271367</v>
      </c>
      <c r="Y377" s="13">
        <f t="shared" si="1"/>
        <v>502336.80501500954</v>
      </c>
      <c r="Z377" s="13">
        <f t="shared" si="2"/>
        <v>293665.07698561484</v>
      </c>
      <c r="AA377" s="13">
        <f t="shared" si="3"/>
        <v>2.2049115750346706E-118</v>
      </c>
      <c r="AB377" s="13">
        <f t="shared" si="4"/>
        <v>7.3852725739905021E-26</v>
      </c>
      <c r="AC377" s="13">
        <f t="shared" si="5"/>
        <v>7476.8425552134713</v>
      </c>
      <c r="AD377" s="2"/>
      <c r="AE377" s="13">
        <v>293665.076985616</v>
      </c>
      <c r="AF377" s="13">
        <f t="shared" si="6"/>
        <v>183162.99947240544</v>
      </c>
      <c r="AG377" s="13">
        <f t="shared" si="7"/>
        <v>77722.807433796814</v>
      </c>
      <c r="AH377" s="13">
        <f t="shared" si="8"/>
        <v>35464.043205892856</v>
      </c>
      <c r="AI377" s="13">
        <v>7476.8425552134713</v>
      </c>
      <c r="AJ377" s="2"/>
    </row>
    <row r="378" spans="1:3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5">
        <f t="shared" si="9"/>
        <v>38.749999999999787</v>
      </c>
      <c r="X378" s="16">
        <f t="shared" si="0"/>
        <v>304052.77949055302</v>
      </c>
      <c r="Y378" s="16">
        <f t="shared" si="1"/>
        <v>861298.27862575767</v>
      </c>
      <c r="Z378" s="16">
        <f t="shared" si="2"/>
        <v>300067.28303233912</v>
      </c>
      <c r="AA378" s="16">
        <f t="shared" si="3"/>
        <v>7.212002416435251E-110</v>
      </c>
      <c r="AB378" s="16">
        <f t="shared" si="4"/>
        <v>9.9319082821518869E-24</v>
      </c>
      <c r="AC378" s="16">
        <f t="shared" si="5"/>
        <v>9096.3022461544369</v>
      </c>
      <c r="AD378" s="2"/>
      <c r="AE378" s="16">
        <v>300067.28303234</v>
      </c>
      <c r="AF378" s="16">
        <f t="shared" si="6"/>
        <v>195345.77715135479</v>
      </c>
      <c r="AG378" s="16">
        <f t="shared" si="7"/>
        <v>86565.062760439032</v>
      </c>
      <c r="AH378" s="16">
        <f t="shared" si="8"/>
        <v>41270.664835577991</v>
      </c>
      <c r="AI378" s="16">
        <v>9096.3022461544369</v>
      </c>
      <c r="AJ378" s="2"/>
    </row>
    <row r="379" spans="1:3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2">
        <f t="shared" si="9"/>
        <v>38.799999999999784</v>
      </c>
      <c r="X379" s="13">
        <f t="shared" si="0"/>
        <v>1299519.0830795742</v>
      </c>
      <c r="Y379" s="13">
        <f t="shared" si="1"/>
        <v>1238403.0134504372</v>
      </c>
      <c r="Z379" s="13">
        <f t="shared" si="2"/>
        <v>304457.71443089069</v>
      </c>
      <c r="AA379" s="13">
        <f t="shared" si="3"/>
        <v>1.1730218615564573E-101</v>
      </c>
      <c r="AB379" s="13">
        <f t="shared" si="4"/>
        <v>1.1216187505946058E-21</v>
      </c>
      <c r="AC379" s="13">
        <f t="shared" si="5"/>
        <v>10989.486119429797</v>
      </c>
      <c r="AD379" s="2"/>
      <c r="AE379" s="13">
        <v>304457.71443089127</v>
      </c>
      <c r="AF379" s="13">
        <f t="shared" si="6"/>
        <v>206879.78926746862</v>
      </c>
      <c r="AG379" s="13">
        <f t="shared" si="7"/>
        <v>95739.348944490383</v>
      </c>
      <c r="AH379" s="13">
        <f t="shared" si="8"/>
        <v>47692.969846009728</v>
      </c>
      <c r="AI379" s="13">
        <v>10989.486119429797</v>
      </c>
      <c r="AJ379" s="2"/>
    </row>
    <row r="380" spans="1:3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5">
        <f t="shared" si="9"/>
        <v>38.849999999999781</v>
      </c>
      <c r="X380" s="16">
        <f t="shared" si="0"/>
        <v>2746728.3345881398</v>
      </c>
      <c r="Y380" s="16">
        <f t="shared" si="1"/>
        <v>1493207.8406338945</v>
      </c>
      <c r="Z380" s="16">
        <f t="shared" si="2"/>
        <v>306744.87349006318</v>
      </c>
      <c r="AA380" s="16">
        <f t="shared" si="3"/>
        <v>9.4872840815338735E-94</v>
      </c>
      <c r="AB380" s="16">
        <f t="shared" si="4"/>
        <v>1.0636633877768809E-19</v>
      </c>
      <c r="AC380" s="16">
        <f t="shared" si="5"/>
        <v>13184.259510025731</v>
      </c>
      <c r="AD380" s="2"/>
      <c r="AE380" s="16">
        <v>306744.87349006347</v>
      </c>
      <c r="AF380" s="16">
        <f t="shared" si="6"/>
        <v>217560.40580332442</v>
      </c>
      <c r="AG380" s="16">
        <f t="shared" si="7"/>
        <v>105145.80351420636</v>
      </c>
      <c r="AH380" s="16">
        <f t="shared" si="8"/>
        <v>54730.189611637499</v>
      </c>
      <c r="AI380" s="16">
        <v>13184.259510025731</v>
      </c>
      <c r="AJ380" s="2"/>
    </row>
    <row r="381" spans="1:3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2">
        <f t="shared" si="9"/>
        <v>38.899999999999778</v>
      </c>
      <c r="X381" s="13">
        <f t="shared" si="0"/>
        <v>2871098.6604780862</v>
      </c>
      <c r="Y381" s="13">
        <f t="shared" si="1"/>
        <v>1509831.0897409706</v>
      </c>
      <c r="Z381" s="13">
        <f t="shared" si="2"/>
        <v>306880.74326389137</v>
      </c>
      <c r="AA381" s="13">
        <f t="shared" si="3"/>
        <v>3.8156036915945937E-86</v>
      </c>
      <c r="AB381" s="13">
        <f t="shared" si="4"/>
        <v>8.47050980521956E-18</v>
      </c>
      <c r="AC381" s="13">
        <f t="shared" si="5"/>
        <v>15707.242774872544</v>
      </c>
      <c r="AD381" s="2"/>
      <c r="AE381" s="13">
        <v>306880.74326389137</v>
      </c>
      <c r="AF381" s="13">
        <f t="shared" si="6"/>
        <v>227190.10515234634</v>
      </c>
      <c r="AG381" s="13">
        <f t="shared" si="7"/>
        <v>114669.27622892451</v>
      </c>
      <c r="AH381" s="13">
        <f t="shared" si="8"/>
        <v>62367.62738989223</v>
      </c>
      <c r="AI381" s="13">
        <v>15707.242774872544</v>
      </c>
      <c r="AJ381" s="2"/>
    </row>
    <row r="382" spans="1:3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5">
        <f t="shared" si="9"/>
        <v>38.949999999999775</v>
      </c>
      <c r="X382" s="16">
        <f t="shared" si="0"/>
        <v>1484157.1484674986</v>
      </c>
      <c r="Y382" s="16">
        <f t="shared" si="1"/>
        <v>1280225.009036487</v>
      </c>
      <c r="Z382" s="16">
        <f t="shared" si="2"/>
        <v>304862.46375220933</v>
      </c>
      <c r="AA382" s="16">
        <f t="shared" si="3"/>
        <v>7.6308017726478929E-79</v>
      </c>
      <c r="AB382" s="16">
        <f t="shared" si="4"/>
        <v>5.6644960387541561E-16</v>
      </c>
      <c r="AC382" s="16">
        <f t="shared" si="5"/>
        <v>18582.751764586352</v>
      </c>
      <c r="AD382" s="2"/>
      <c r="AE382" s="16">
        <v>304862.46375220903</v>
      </c>
      <c r="AF382" s="16">
        <f t="shared" si="6"/>
        <v>235584.50488988555</v>
      </c>
      <c r="AG382" s="16">
        <f t="shared" si="7"/>
        <v>124181.19971194289</v>
      </c>
      <c r="AH382" s="16">
        <f t="shared" si="8"/>
        <v>70575.047148896192</v>
      </c>
      <c r="AI382" s="16">
        <v>18582.751764586352</v>
      </c>
      <c r="AJ382" s="2"/>
    </row>
    <row r="383" spans="1:3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2">
        <f t="shared" si="9"/>
        <v>38.999999999999773</v>
      </c>
      <c r="X383" s="13">
        <f t="shared" si="0"/>
        <v>379411.9650415011</v>
      </c>
      <c r="Y383" s="13">
        <f t="shared" si="1"/>
        <v>910320.01259384642</v>
      </c>
      <c r="Z383" s="13">
        <f t="shared" si="2"/>
        <v>300732.43200226448</v>
      </c>
      <c r="AA383" s="13">
        <f t="shared" si="3"/>
        <v>7.588617096180102E-72</v>
      </c>
      <c r="AB383" s="13">
        <f t="shared" si="4"/>
        <v>3.1809686901108812E-14</v>
      </c>
      <c r="AC383" s="13">
        <f t="shared" si="5"/>
        <v>21831.619332561873</v>
      </c>
      <c r="AD383" s="2"/>
      <c r="AE383" s="13">
        <v>300732.43200226384</v>
      </c>
      <c r="AF383" s="13">
        <f t="shared" si="6"/>
        <v>242578.21115140518</v>
      </c>
      <c r="AG383" s="13">
        <f t="shared" si="7"/>
        <v>133542.12537564221</v>
      </c>
      <c r="AH383" s="13">
        <f t="shared" si="8"/>
        <v>79305.410097122309</v>
      </c>
      <c r="AI383" s="13">
        <v>21831.619332561873</v>
      </c>
      <c r="AJ383" s="2"/>
    </row>
    <row r="384" spans="1:3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5">
        <f t="shared" si="9"/>
        <v>39.04999999999977</v>
      </c>
      <c r="X384" s="16">
        <f t="shared" si="0"/>
        <v>47966.885400475556</v>
      </c>
      <c r="Y384" s="16">
        <f t="shared" si="1"/>
        <v>542814.84297074017</v>
      </c>
      <c r="Z384" s="16">
        <f t="shared" si="2"/>
        <v>294576.82121778408</v>
      </c>
      <c r="AA384" s="16">
        <f t="shared" si="3"/>
        <v>3.7526724960371224E-65</v>
      </c>
      <c r="AB384" s="16">
        <f t="shared" si="4"/>
        <v>1.5000436626529343E-12</v>
      </c>
      <c r="AC384" s="16">
        <f t="shared" si="5"/>
        <v>25469.928769038554</v>
      </c>
      <c r="AD384" s="2"/>
      <c r="AE384" s="16">
        <v>294576.8212177832</v>
      </c>
      <c r="AF384" s="16">
        <f t="shared" si="6"/>
        <v>248030.22846723927</v>
      </c>
      <c r="AG384" s="16">
        <f t="shared" si="7"/>
        <v>142604.8740433692</v>
      </c>
      <c r="AH384" s="16">
        <f t="shared" si="8"/>
        <v>88494.063507011015</v>
      </c>
      <c r="AI384" s="16">
        <v>25469.928769038554</v>
      </c>
      <c r="AJ384" s="2"/>
    </row>
    <row r="385" spans="1:3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2">
        <f t="shared" si="9"/>
        <v>39.099999999999767</v>
      </c>
      <c r="X385" s="13">
        <f t="shared" si="0"/>
        <v>2998.9648768352895</v>
      </c>
      <c r="Y385" s="13">
        <f t="shared" si="1"/>
        <v>271430.83307987283</v>
      </c>
      <c r="Z385" s="13">
        <f t="shared" si="2"/>
        <v>286522.59112325992</v>
      </c>
      <c r="AA385" s="13">
        <f t="shared" si="3"/>
        <v>9.2279290115113139E-59</v>
      </c>
      <c r="AB385" s="13">
        <f t="shared" si="4"/>
        <v>5.9401142165421475E-11</v>
      </c>
      <c r="AC385" s="13">
        <f t="shared" si="5"/>
        <v>29507.700461141019</v>
      </c>
      <c r="AD385" s="2"/>
      <c r="AE385" s="13">
        <v>286522.59112325875</v>
      </c>
      <c r="AF385" s="13">
        <f t="shared" si="6"/>
        <v>251828.68333215322</v>
      </c>
      <c r="AG385" s="13">
        <f t="shared" si="7"/>
        <v>151218.21510776412</v>
      </c>
      <c r="AH385" s="13">
        <f t="shared" si="8"/>
        <v>98058.477118878538</v>
      </c>
      <c r="AI385" s="13">
        <v>29507.700461141019</v>
      </c>
      <c r="AJ385" s="2"/>
    </row>
    <row r="386" spans="1:3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5">
        <f t="shared" si="9"/>
        <v>39.149999999999764</v>
      </c>
      <c r="X386" s="16">
        <f t="shared" si="0"/>
        <v>92.725802776383176</v>
      </c>
      <c r="Y386" s="16">
        <f t="shared" si="1"/>
        <v>113819.45067880233</v>
      </c>
      <c r="Z386" s="16">
        <f t="shared" si="2"/>
        <v>276733.13445134251</v>
      </c>
      <c r="AA386" s="16">
        <f t="shared" si="3"/>
        <v>1.1283748090556533E-52</v>
      </c>
      <c r="AB386" s="16">
        <f t="shared" si="4"/>
        <v>1.9752955254147043E-9</v>
      </c>
      <c r="AC386" s="16">
        <f t="shared" si="5"/>
        <v>33947.582901971444</v>
      </c>
      <c r="AD386" s="2"/>
      <c r="AE386" s="16">
        <v>276733.13445134118</v>
      </c>
      <c r="AF386" s="16">
        <f t="shared" si="6"/>
        <v>253894.64062269928</v>
      </c>
      <c r="AG386" s="16">
        <f t="shared" si="7"/>
        <v>159230.95454682194</v>
      </c>
      <c r="AH386" s="16">
        <f t="shared" si="8"/>
        <v>107898.60626439701</v>
      </c>
      <c r="AI386" s="16">
        <v>33947.582901971444</v>
      </c>
      <c r="AJ386" s="2"/>
    </row>
    <row r="387" spans="1:3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2">
        <f t="shared" si="9"/>
        <v>39.199999999999761</v>
      </c>
      <c r="X387" s="13">
        <f t="shared" si="0"/>
        <v>1.4178464075405206</v>
      </c>
      <c r="Y387" s="13">
        <f t="shared" si="1"/>
        <v>40024.289535052245</v>
      </c>
      <c r="Z387" s="13">
        <f t="shared" si="2"/>
        <v>265402.76803703059</v>
      </c>
      <c r="AA387" s="13">
        <f t="shared" si="3"/>
        <v>6.8610103643932025E-47</v>
      </c>
      <c r="AB387" s="13">
        <f t="shared" si="4"/>
        <v>5.5158919885497278E-8</v>
      </c>
      <c r="AC387" s="13">
        <f t="shared" si="5"/>
        <v>38783.607633718464</v>
      </c>
      <c r="AD387" s="2"/>
      <c r="AE387" s="13">
        <v>265402.76803702902</v>
      </c>
      <c r="AF387" s="13">
        <f t="shared" si="6"/>
        <v>254184.83105073893</v>
      </c>
      <c r="AG387" s="13">
        <f t="shared" si="7"/>
        <v>166496.28298219963</v>
      </c>
      <c r="AH387" s="13">
        <f t="shared" si="8"/>
        <v>117897.93806084346</v>
      </c>
      <c r="AI387" s="13">
        <v>38783.607633718464</v>
      </c>
      <c r="AJ387" s="2"/>
    </row>
    <row r="388" spans="1:3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5">
        <f t="shared" si="9"/>
        <v>39.249999999999758</v>
      </c>
      <c r="X388" s="16">
        <f t="shared" si="0"/>
        <v>1.0721539132750299E-2</v>
      </c>
      <c r="Y388" s="16">
        <f t="shared" si="1"/>
        <v>11802.67962130898</v>
      </c>
      <c r="Z388" s="16">
        <f t="shared" si="2"/>
        <v>252750.32781313997</v>
      </c>
      <c r="AA388" s="16">
        <f t="shared" si="3"/>
        <v>2.074475571932746E-41</v>
      </c>
      <c r="AB388" s="16">
        <f t="shared" si="4"/>
        <v>1.2934385949568732E-6</v>
      </c>
      <c r="AC388" s="16">
        <f t="shared" si="5"/>
        <v>44000.074010794029</v>
      </c>
      <c r="AD388" s="2"/>
      <c r="AE388" s="16">
        <v>252750.32781313817</v>
      </c>
      <c r="AF388" s="16">
        <f t="shared" si="6"/>
        <v>252693.15802499733</v>
      </c>
      <c r="AG388" s="16">
        <f t="shared" si="7"/>
        <v>172876.2124044146</v>
      </c>
      <c r="AH388" s="16">
        <f t="shared" si="8"/>
        <v>127925.24831014339</v>
      </c>
      <c r="AI388" s="16">
        <v>44000.074010794029</v>
      </c>
      <c r="AJ388" s="2"/>
    </row>
    <row r="389" spans="1:3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2">
        <f t="shared" si="9"/>
        <v>39.299999999999756</v>
      </c>
      <c r="X389" s="13">
        <f t="shared" si="0"/>
        <v>4.0094467109568472E-5</v>
      </c>
      <c r="Y389" s="13">
        <f t="shared" si="1"/>
        <v>2918.6864788928933</v>
      </c>
      <c r="Z389" s="13">
        <f t="shared" si="2"/>
        <v>239012.16216557825</v>
      </c>
      <c r="AA389" s="13">
        <f t="shared" si="3"/>
        <v>3.1189910695257166E-36</v>
      </c>
      <c r="AB389" s="13">
        <f t="shared" si="4"/>
        <v>2.5469608376861963E-5</v>
      </c>
      <c r="AC389" s="13">
        <f t="shared" si="5"/>
        <v>49570.633037136009</v>
      </c>
      <c r="AD389" s="2"/>
      <c r="AE389" s="13">
        <v>239012.16216557633</v>
      </c>
      <c r="AF389" s="13">
        <f t="shared" si="6"/>
        <v>249450.91062421436</v>
      </c>
      <c r="AG389" s="13">
        <f t="shared" si="7"/>
        <v>178245.91607907414</v>
      </c>
      <c r="AH389" s="13">
        <f t="shared" si="8"/>
        <v>137837.06331761385</v>
      </c>
      <c r="AI389" s="13">
        <v>49570.633037136009</v>
      </c>
      <c r="AJ389" s="2"/>
    </row>
    <row r="390" spans="1:3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5">
        <f t="shared" si="9"/>
        <v>39.349999999999753</v>
      </c>
      <c r="X390" s="16">
        <f t="shared" si="0"/>
        <v>7.4149993798433016E-8</v>
      </c>
      <c r="Y390" s="16">
        <f t="shared" si="1"/>
        <v>605.26298388042414</v>
      </c>
      <c r="Z390" s="16">
        <f t="shared" si="2"/>
        <v>224434.83593314068</v>
      </c>
      <c r="AA390" s="16">
        <f t="shared" si="3"/>
        <v>2.3318762207303701E-31</v>
      </c>
      <c r="AB390" s="16">
        <f t="shared" si="4"/>
        <v>4.2115805163298715E-4</v>
      </c>
      <c r="AC390" s="16">
        <f t="shared" si="5"/>
        <v>55457.639291290856</v>
      </c>
      <c r="AD390" s="2"/>
      <c r="AE390" s="16">
        <v>224434.83593313865</v>
      </c>
      <c r="AF390" s="16">
        <f t="shared" si="6"/>
        <v>244525.67229041873</v>
      </c>
      <c r="AG390" s="16">
        <f t="shared" si="7"/>
        <v>182497.78186912058</v>
      </c>
      <c r="AH390" s="16">
        <f t="shared" si="8"/>
        <v>147480.78442552895</v>
      </c>
      <c r="AI390" s="16">
        <v>55457.639291290856</v>
      </c>
      <c r="AJ390" s="2"/>
    </row>
    <row r="391" spans="1:3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2">
        <f t="shared" si="9"/>
        <v>39.39999999999975</v>
      </c>
      <c r="X391" s="13">
        <f t="shared" si="0"/>
        <v>6.7816778414585527E-11</v>
      </c>
      <c r="Y391" s="13">
        <f t="shared" si="1"/>
        <v>105.25691173456721</v>
      </c>
      <c r="Z391" s="13">
        <f t="shared" si="2"/>
        <v>209267.85737655414</v>
      </c>
      <c r="AA391" s="13">
        <f t="shared" si="3"/>
        <v>8.6692676749680672E-27</v>
      </c>
      <c r="AB391" s="13">
        <f t="shared" si="4"/>
        <v>5.8480939044009079E-3</v>
      </c>
      <c r="AC391" s="13">
        <f t="shared" si="5"/>
        <v>61611.835594190925</v>
      </c>
      <c r="AD391" s="2"/>
      <c r="AE391" s="13">
        <v>209267.85737655201</v>
      </c>
      <c r="AF391" s="13">
        <f t="shared" si="6"/>
        <v>238018.97840618627</v>
      </c>
      <c r="AG391" s="13">
        <f t="shared" si="7"/>
        <v>185544.99551603565</v>
      </c>
      <c r="AH391" s="13">
        <f t="shared" si="8"/>
        <v>156698.3957248677</v>
      </c>
      <c r="AI391" s="13">
        <v>61611.835594190925</v>
      </c>
      <c r="AJ391" s="2"/>
    </row>
    <row r="392" spans="1:3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5">
        <f t="shared" si="9"/>
        <v>39.449999999999747</v>
      </c>
      <c r="X392" s="16">
        <f t="shared" si="0"/>
        <v>3.0673444901290827E-14</v>
      </c>
      <c r="Y392" s="16">
        <f t="shared" si="1"/>
        <v>15.349950285397144</v>
      </c>
      <c r="Z392" s="16">
        <f t="shared" si="2"/>
        <v>193756.72347699618</v>
      </c>
      <c r="AA392" s="16">
        <f t="shared" si="3"/>
        <v>1.6026728791881183E-22</v>
      </c>
      <c r="AB392" s="16">
        <f t="shared" si="4"/>
        <v>6.8191454891162379E-2</v>
      </c>
      <c r="AC392" s="16">
        <f t="shared" si="5"/>
        <v>67972.426319910708</v>
      </c>
      <c r="AD392" s="2"/>
      <c r="AE392" s="16">
        <v>193756.72347699403</v>
      </c>
      <c r="AF392" s="16">
        <f t="shared" si="6"/>
        <v>230062.83615292388</v>
      </c>
      <c r="AG392" s="16">
        <f t="shared" si="7"/>
        <v>187324.48735794486</v>
      </c>
      <c r="AH392" s="16">
        <f t="shared" si="8"/>
        <v>165330.63951185087</v>
      </c>
      <c r="AI392" s="16">
        <v>67972.426319910708</v>
      </c>
      <c r="AJ392" s="2"/>
    </row>
    <row r="393" spans="1:3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2">
        <f t="shared" si="9"/>
        <v>39.499999999999744</v>
      </c>
      <c r="X393" s="13">
        <f t="shared" si="0"/>
        <v>6.8609983572326227E-18</v>
      </c>
      <c r="Y393" s="13">
        <f t="shared" si="1"/>
        <v>1.8772113164328077</v>
      </c>
      <c r="Z393" s="13">
        <f t="shared" si="2"/>
        <v>178136.5468543816</v>
      </c>
      <c r="AA393" s="13">
        <f t="shared" si="3"/>
        <v>1.4733058703834609E-18</v>
      </c>
      <c r="AB393" s="13">
        <f t="shared" si="4"/>
        <v>0.66771627862900851</v>
      </c>
      <c r="AC393" s="13">
        <f t="shared" si="5"/>
        <v>74467.582107494251</v>
      </c>
      <c r="AD393" s="2"/>
      <c r="AE393" s="13">
        <v>178136.54685437947</v>
      </c>
      <c r="AF393" s="13">
        <f t="shared" si="6"/>
        <v>220815.27323886461</v>
      </c>
      <c r="AG393" s="13">
        <f t="shared" si="7"/>
        <v>187799.10281574042</v>
      </c>
      <c r="AH393" s="13">
        <f t="shared" si="8"/>
        <v>173221.51203615437</v>
      </c>
      <c r="AI393" s="13">
        <v>74467.582107494251</v>
      </c>
      <c r="AJ393" s="2"/>
    </row>
    <row r="394" spans="1:3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5">
        <f t="shared" si="9"/>
        <v>39.549999999999741</v>
      </c>
      <c r="X394" s="16">
        <f t="shared" si="0"/>
        <v>7.5894698413525352E-22</v>
      </c>
      <c r="Y394" s="16">
        <f t="shared" si="1"/>
        <v>0.19251704842117962</v>
      </c>
      <c r="Z394" s="16">
        <f t="shared" si="2"/>
        <v>162626.48323878163</v>
      </c>
      <c r="AA394" s="16">
        <f t="shared" si="3"/>
        <v>6.7348279751396483E-15</v>
      </c>
      <c r="AB394" s="16">
        <f t="shared" si="4"/>
        <v>5.4903541771252042</v>
      </c>
      <c r="AC394" s="16">
        <f t="shared" si="5"/>
        <v>81015.40153310688</v>
      </c>
      <c r="AD394" s="2"/>
      <c r="AE394" s="16">
        <v>162626.4832387795</v>
      </c>
      <c r="AF394" s="16">
        <f t="shared" si="6"/>
        <v>210455.12504935707</v>
      </c>
      <c r="AG394" s="16">
        <f t="shared" si="7"/>
        <v>186958.89232114964</v>
      </c>
      <c r="AH394" s="16">
        <f t="shared" si="8"/>
        <v>180222.90629677344</v>
      </c>
      <c r="AI394" s="16">
        <v>81015.40153310688</v>
      </c>
      <c r="AJ394" s="2"/>
    </row>
    <row r="395" spans="1:3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2">
        <f t="shared" si="9"/>
        <v>39.599999999999739</v>
      </c>
      <c r="X395" s="13">
        <f t="shared" si="0"/>
        <v>4.1517856780527684E-26</v>
      </c>
      <c r="Y395" s="13">
        <f t="shared" si="1"/>
        <v>1.6556749055219457E-2</v>
      </c>
      <c r="Z395" s="13">
        <f t="shared" si="2"/>
        <v>147425.12526035035</v>
      </c>
      <c r="AA395" s="13">
        <f t="shared" si="3"/>
        <v>1.5308958701033294E-11</v>
      </c>
      <c r="AB395" s="13">
        <f t="shared" si="4"/>
        <v>37.910118967681989</v>
      </c>
      <c r="AC395" s="13">
        <f t="shared" si="5"/>
        <v>87525.334712451338</v>
      </c>
      <c r="AD395" s="2"/>
      <c r="AE395" s="13">
        <v>147425.12526034829</v>
      </c>
      <c r="AF395" s="13">
        <f t="shared" si="6"/>
        <v>199176.30008758316</v>
      </c>
      <c r="AG395" s="13">
        <f t="shared" si="7"/>
        <v>184821.45813547712</v>
      </c>
      <c r="AH395" s="13">
        <f t="shared" si="8"/>
        <v>186199.21114915574</v>
      </c>
      <c r="AI395" s="13">
        <v>87525.334712451338</v>
      </c>
      <c r="AJ395" s="2"/>
    </row>
    <row r="396" spans="1:3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5">
        <f t="shared" si="9"/>
        <v>39.649999999999736</v>
      </c>
      <c r="X396" s="16">
        <f t="shared" si="0"/>
        <v>1.1232017619068603E-30</v>
      </c>
      <c r="Y396" s="16">
        <f t="shared" si="1"/>
        <v>1.1940727263347536E-3</v>
      </c>
      <c r="Z396" s="16">
        <f t="shared" si="2"/>
        <v>132706.97017846126</v>
      </c>
      <c r="AA396" s="16">
        <f t="shared" si="3"/>
        <v>1.7304153226098561E-8</v>
      </c>
      <c r="AB396" s="16">
        <f t="shared" si="4"/>
        <v>219.81449257044881</v>
      </c>
      <c r="AC396" s="16">
        <f t="shared" si="5"/>
        <v>93900.050809928245</v>
      </c>
      <c r="AD396" s="2"/>
      <c r="AE396" s="16">
        <v>132706.97017845928</v>
      </c>
      <c r="AF396" s="16">
        <f t="shared" si="6"/>
        <v>187181.77975091629</v>
      </c>
      <c r="AG396" s="16">
        <f t="shared" si="7"/>
        <v>181431.34117337957</v>
      </c>
      <c r="AH396" s="16">
        <f t="shared" si="8"/>
        <v>191031.66840021536</v>
      </c>
      <c r="AI396" s="16">
        <v>93900.050809928245</v>
      </c>
      <c r="AJ396" s="2"/>
    </row>
    <row r="397" spans="1:3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2">
        <f t="shared" si="9"/>
        <v>39.699999999999733</v>
      </c>
      <c r="X397" s="13">
        <f t="shared" si="0"/>
        <v>1.5027266497267895E-35</v>
      </c>
      <c r="Y397" s="13">
        <f t="shared" si="1"/>
        <v>7.2216482625950178E-5</v>
      </c>
      <c r="Z397" s="13">
        <f t="shared" si="2"/>
        <v>118620.0099344015</v>
      </c>
      <c r="AA397" s="13">
        <f t="shared" si="3"/>
        <v>9.7261420702711457E-6</v>
      </c>
      <c r="AB397" s="13">
        <f t="shared" si="4"/>
        <v>1070.2959614518206</v>
      </c>
      <c r="AC397" s="13">
        <f t="shared" si="5"/>
        <v>100037.70729525077</v>
      </c>
      <c r="AD397" s="2"/>
      <c r="AE397" s="13">
        <v>118620.0099343996</v>
      </c>
      <c r="AF397" s="13">
        <f t="shared" si="6"/>
        <v>174677.61005128326</v>
      </c>
      <c r="AG397" s="13">
        <f t="shared" si="7"/>
        <v>176858.477666213</v>
      </c>
      <c r="AH397" s="13">
        <f t="shared" si="8"/>
        <v>194622.2928773507</v>
      </c>
      <c r="AI397" s="13">
        <v>100037.70729525077</v>
      </c>
      <c r="AJ397" s="2"/>
    </row>
    <row r="398" spans="1:3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5">
        <f t="shared" si="9"/>
        <v>39.74999999999973</v>
      </c>
      <c r="X398" s="16">
        <f t="shared" si="0"/>
        <v>9.9426365315155342E-41</v>
      </c>
      <c r="Y398" s="16">
        <f t="shared" si="1"/>
        <v>3.6626188450857273E-6</v>
      </c>
      <c r="Z398" s="16">
        <f t="shared" si="2"/>
        <v>105284.43523033449</v>
      </c>
      <c r="AA398" s="16">
        <f t="shared" si="3"/>
        <v>2.718419158942591E-3</v>
      </c>
      <c r="AB398" s="16">
        <f t="shared" si="4"/>
        <v>4376.2068343479559</v>
      </c>
      <c r="AC398" s="16">
        <f t="shared" si="5"/>
        <v>105834.55497434824</v>
      </c>
      <c r="AD398" s="2"/>
      <c r="AE398" s="16">
        <v>105284.43523033269</v>
      </c>
      <c r="AF398" s="16">
        <f t="shared" si="6"/>
        <v>161867.13037482271</v>
      </c>
      <c r="AG398" s="16">
        <f t="shared" si="7"/>
        <v>171195.80035763443</v>
      </c>
      <c r="AH398" s="16">
        <f t="shared" si="8"/>
        <v>196897.17493051619</v>
      </c>
      <c r="AI398" s="16">
        <v>105834.55497434824</v>
      </c>
      <c r="AJ398" s="2"/>
    </row>
    <row r="399" spans="1:3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2">
        <f t="shared" si="9"/>
        <v>39.799999999999727</v>
      </c>
      <c r="X399" s="13">
        <f t="shared" si="0"/>
        <v>3.2532879242042798E-46</v>
      </c>
      <c r="Y399" s="13">
        <f t="shared" si="1"/>
        <v>1.5577471310179411E-7</v>
      </c>
      <c r="Z399" s="13">
        <f t="shared" si="2"/>
        <v>92792.394371131202</v>
      </c>
      <c r="AA399" s="13">
        <f t="shared" si="3"/>
        <v>0.37781377839496816</v>
      </c>
      <c r="AB399" s="13">
        <f t="shared" si="4"/>
        <v>15025.820017365453</v>
      </c>
      <c r="AC399" s="13">
        <f t="shared" si="5"/>
        <v>111187.79089841407</v>
      </c>
      <c r="AD399" s="2"/>
      <c r="AE399" s="13">
        <v>92792.394371129543</v>
      </c>
      <c r="AF399" s="13">
        <f t="shared" si="6"/>
        <v>148945.65925370899</v>
      </c>
      <c r="AG399" s="13">
        <f t="shared" si="7"/>
        <v>164556.09914536832</v>
      </c>
      <c r="AH399" s="13">
        <f t="shared" si="8"/>
        <v>197809.00995292549</v>
      </c>
      <c r="AI399" s="13">
        <v>111187.79089841405</v>
      </c>
      <c r="AJ399" s="2"/>
    </row>
    <row r="400" spans="1:3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5">
        <f t="shared" si="9"/>
        <v>39.849999999999724</v>
      </c>
      <c r="X400" s="16">
        <f t="shared" si="0"/>
        <v>5.2643263142933147E-52</v>
      </c>
      <c r="Y400" s="16">
        <f t="shared" si="1"/>
        <v>5.5558694871421631E-9</v>
      </c>
      <c r="Z400" s="16">
        <f t="shared" si="2"/>
        <v>81208.704843323256</v>
      </c>
      <c r="AA400" s="16">
        <f t="shared" si="3"/>
        <v>26.111072948442647</v>
      </c>
      <c r="AB400" s="16">
        <f t="shared" si="4"/>
        <v>43323.637564268909</v>
      </c>
      <c r="AC400" s="16">
        <f t="shared" si="5"/>
        <v>115998.55278153285</v>
      </c>
      <c r="AD400" s="2"/>
      <c r="AE400" s="16">
        <v>81208.704843321728</v>
      </c>
      <c r="AF400" s="16">
        <f t="shared" si="6"/>
        <v>136095.82163180204</v>
      </c>
      <c r="AG400" s="16">
        <f t="shared" si="7"/>
        <v>157068.28924349564</v>
      </c>
      <c r="AH400" s="16">
        <f t="shared" si="8"/>
        <v>197338.73401063762</v>
      </c>
      <c r="AI400" s="16">
        <v>115998.55278153285</v>
      </c>
      <c r="AJ400" s="2"/>
    </row>
    <row r="401" spans="1:3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2">
        <f t="shared" si="9"/>
        <v>39.899999999999721</v>
      </c>
      <c r="X401" s="13">
        <f t="shared" si="0"/>
        <v>4.2127187411532854E-58</v>
      </c>
      <c r="Y401" s="13">
        <f t="shared" si="1"/>
        <v>1.6617165717806911E-10</v>
      </c>
      <c r="Z401" s="13">
        <f t="shared" si="2"/>
        <v>70572.382746269956</v>
      </c>
      <c r="AA401" s="13">
        <f t="shared" si="3"/>
        <v>897.34035767677744</v>
      </c>
      <c r="AB401" s="13">
        <f t="shared" si="4"/>
        <v>104895.78431525359</v>
      </c>
      <c r="AC401" s="13">
        <f t="shared" si="5"/>
        <v>120174.9349583666</v>
      </c>
      <c r="AD401" s="2"/>
      <c r="AE401" s="13">
        <v>70572.382746268529</v>
      </c>
      <c r="AF401" s="13">
        <f t="shared" si="6"/>
        <v>123483.65905026322</v>
      </c>
      <c r="AG401" s="13">
        <f t="shared" si="7"/>
        <v>148873.25914440569</v>
      </c>
      <c r="AH401" s="13">
        <f t="shared" si="8"/>
        <v>195496.18658884158</v>
      </c>
      <c r="AI401" s="13">
        <v>120174.9349583666</v>
      </c>
      <c r="AJ401" s="2"/>
    </row>
    <row r="402" spans="1:3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5">
        <f t="shared" si="9"/>
        <v>39.949999999999719</v>
      </c>
      <c r="X402" s="16">
        <f t="shared" si="0"/>
        <v>1.6671761570465224E-64</v>
      </c>
      <c r="Y402" s="16">
        <f t="shared" si="1"/>
        <v>4.1678464206778006E-12</v>
      </c>
      <c r="Z402" s="16">
        <f t="shared" si="2"/>
        <v>60898.833102899429</v>
      </c>
      <c r="AA402" s="16">
        <f t="shared" si="3"/>
        <v>15334.698416162839</v>
      </c>
      <c r="AB402" s="16">
        <f t="shared" si="4"/>
        <v>213273.81827237271</v>
      </c>
      <c r="AC402" s="16">
        <f t="shared" si="5"/>
        <v>123634.89835913562</v>
      </c>
      <c r="AD402" s="2"/>
      <c r="AE402" s="16">
        <v>60898.833102898163</v>
      </c>
      <c r="AF402" s="16">
        <f t="shared" si="6"/>
        <v>111255.61668513354</v>
      </c>
      <c r="AG402" s="16">
        <f t="shared" si="7"/>
        <v>140119.48467401674</v>
      </c>
      <c r="AH402" s="16">
        <f t="shared" si="8"/>
        <v>192319.76827370818</v>
      </c>
      <c r="AI402" s="16">
        <v>123634.89835913562</v>
      </c>
      <c r="AJ402" s="2"/>
    </row>
    <row r="403" spans="1:3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2">
        <f t="shared" si="9"/>
        <v>39.999999999999716</v>
      </c>
      <c r="X403" s="13">
        <f t="shared" si="0"/>
        <v>3.2628708141157469E-71</v>
      </c>
      <c r="Y403" s="13">
        <f t="shared" si="1"/>
        <v>8.7662995076073075E-14</v>
      </c>
      <c r="Z403" s="13">
        <f t="shared" si="2"/>
        <v>52182.532825774331</v>
      </c>
      <c r="AA403" s="13">
        <f t="shared" si="3"/>
        <v>130310.32692282165</v>
      </c>
      <c r="AB403" s="13">
        <f t="shared" si="4"/>
        <v>364135.85395503376</v>
      </c>
      <c r="AC403" s="13">
        <f t="shared" si="5"/>
        <v>126308.94627815635</v>
      </c>
      <c r="AD403" s="2"/>
      <c r="AE403" s="13">
        <v>52182.532825773167</v>
      </c>
      <c r="AF403" s="13">
        <f t="shared" si="6"/>
        <v>99536.452430627221</v>
      </c>
      <c r="AG403" s="13">
        <f t="shared" si="7"/>
        <v>130958.59875747933</v>
      </c>
      <c r="AH403" s="13">
        <f t="shared" si="8"/>
        <v>187875.11000416972</v>
      </c>
      <c r="AI403" s="13">
        <v>126308.94627815635</v>
      </c>
      <c r="AJ403" s="2"/>
    </row>
    <row r="404" spans="1:3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5">
        <f t="shared" si="9"/>
        <v>40.049999999999713</v>
      </c>
      <c r="X404" s="16">
        <f t="shared" si="0"/>
        <v>3.1580400292197258E-78</v>
      </c>
      <c r="Y404" s="16">
        <f t="shared" si="1"/>
        <v>1.5462180629956307E-15</v>
      </c>
      <c r="Z404" s="16">
        <f t="shared" si="2"/>
        <v>44400.037047496146</v>
      </c>
      <c r="AA404" s="16">
        <f t="shared" si="3"/>
        <v>550640.29068398301</v>
      </c>
      <c r="AB404" s="16">
        <f t="shared" si="4"/>
        <v>522078.40651989472</v>
      </c>
      <c r="AC404" s="16">
        <f t="shared" si="5"/>
        <v>128142.44422891557</v>
      </c>
      <c r="AD404" s="2"/>
      <c r="AE404" s="16">
        <v>44400.03704749512</v>
      </c>
      <c r="AF404" s="16">
        <f t="shared" si="6"/>
        <v>88428.066263376168</v>
      </c>
      <c r="AG404" s="16">
        <f t="shared" si="7"/>
        <v>121541.0993904982</v>
      </c>
      <c r="AH404" s="16">
        <f t="shared" si="8"/>
        <v>182252.81830662189</v>
      </c>
      <c r="AI404" s="16">
        <v>128142.44422891557</v>
      </c>
      <c r="AJ404" s="2"/>
    </row>
    <row r="405" spans="1:3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2">
        <f t="shared" si="9"/>
        <v>40.09999999999971</v>
      </c>
      <c r="X405" s="13">
        <f t="shared" si="0"/>
        <v>1.5115925560971128E-85</v>
      </c>
      <c r="Y405" s="13">
        <f t="shared" si="1"/>
        <v>2.2870466379117374E-17</v>
      </c>
      <c r="Z405" s="13">
        <f t="shared" si="2"/>
        <v>37513.147408763893</v>
      </c>
      <c r="AA405" s="13">
        <f t="shared" si="3"/>
        <v>1157024.8687044152</v>
      </c>
      <c r="AB405" s="13">
        <f t="shared" si="4"/>
        <v>628571.09768366057</v>
      </c>
      <c r="AC405" s="13">
        <f t="shared" si="5"/>
        <v>129097.47578438009</v>
      </c>
      <c r="AD405" s="2"/>
      <c r="AE405" s="13">
        <v>37513.147408762976</v>
      </c>
      <c r="AF405" s="13">
        <f t="shared" si="6"/>
        <v>78009.205590313082</v>
      </c>
      <c r="AG405" s="13">
        <f t="shared" si="7"/>
        <v>112012.36168502421</v>
      </c>
      <c r="AH405" s="13">
        <f t="shared" si="8"/>
        <v>175565.40470483596</v>
      </c>
      <c r="AI405" s="13">
        <v>129097.47578438009</v>
      </c>
      <c r="AJ405" s="2"/>
    </row>
    <row r="406" spans="1:3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5">
        <f t="shared" si="9"/>
        <v>40.149999999999707</v>
      </c>
      <c r="X406" s="16">
        <f t="shared" si="0"/>
        <v>3.5780896791581577E-93</v>
      </c>
      <c r="Y406" s="16">
        <f t="shared" si="1"/>
        <v>2.8368027554550873E-19</v>
      </c>
      <c r="Z406" s="16">
        <f t="shared" si="2"/>
        <v>31472.096078522402</v>
      </c>
      <c r="AA406" s="16">
        <f t="shared" si="3"/>
        <v>1208935.0187688009</v>
      </c>
      <c r="AB406" s="16">
        <f t="shared" si="4"/>
        <v>635505.73468264518</v>
      </c>
      <c r="AC406" s="16">
        <f t="shared" si="5"/>
        <v>129154.14636469625</v>
      </c>
      <c r="AD406" s="2"/>
      <c r="AE406" s="16">
        <v>31472.096078521605</v>
      </c>
      <c r="AF406" s="16">
        <f t="shared" si="6"/>
        <v>68335.966285788105</v>
      </c>
      <c r="AG406" s="16">
        <f t="shared" si="7"/>
        <v>102509.09526126127</v>
      </c>
      <c r="AH406" s="16">
        <f t="shared" si="8"/>
        <v>167943.54461762909</v>
      </c>
      <c r="AI406" s="16">
        <v>129154.14636469625</v>
      </c>
      <c r="AJ406" s="2"/>
    </row>
    <row r="407" spans="1:3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2">
        <f t="shared" si="9"/>
        <v>40.199999999999704</v>
      </c>
      <c r="X407" s="13">
        <f t="shared" si="0"/>
        <v>4.1885823727501417E-101</v>
      </c>
      <c r="Y407" s="13">
        <f t="shared" si="1"/>
        <v>2.9507546484301761E-21</v>
      </c>
      <c r="Z407" s="13">
        <f t="shared" si="2"/>
        <v>26218.619857804442</v>
      </c>
      <c r="AA407" s="13">
        <f t="shared" si="3"/>
        <v>628128.90395848895</v>
      </c>
      <c r="AB407" s="13">
        <f t="shared" si="4"/>
        <v>539549.04606449115</v>
      </c>
      <c r="AC407" s="13">
        <f t="shared" si="5"/>
        <v>128311.27235424351</v>
      </c>
      <c r="AD407" s="2"/>
      <c r="AE407" s="13">
        <v>26218.619857803755</v>
      </c>
      <c r="AF407" s="13">
        <f t="shared" si="6"/>
        <v>59442.981132634392</v>
      </c>
      <c r="AG407" s="13">
        <f t="shared" si="7"/>
        <v>93156.357670874597</v>
      </c>
      <c r="AH407" s="13">
        <f t="shared" si="8"/>
        <v>159531.83935813117</v>
      </c>
      <c r="AI407" s="13">
        <v>128311.27235424351</v>
      </c>
      <c r="AJ407" s="2"/>
    </row>
    <row r="408" spans="1:3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5">
        <f t="shared" si="9"/>
        <v>40.249999999999702</v>
      </c>
      <c r="X408" s="16">
        <f t="shared" si="0"/>
        <v>2.4248353956057971E-109</v>
      </c>
      <c r="Y408" s="16">
        <f t="shared" si="1"/>
        <v>2.5738717337747473E-23</v>
      </c>
      <c r="Z408" s="16">
        <f t="shared" si="2"/>
        <v>21688.82271396439</v>
      </c>
      <c r="AA408" s="16">
        <f t="shared" si="3"/>
        <v>162285.66341866381</v>
      </c>
      <c r="AB408" s="16">
        <f t="shared" si="4"/>
        <v>384670.40370702266</v>
      </c>
      <c r="AC408" s="16">
        <f t="shared" si="5"/>
        <v>126586.42220746685</v>
      </c>
      <c r="AD408" s="2"/>
      <c r="AE408" s="16">
        <v>21688.822713963797</v>
      </c>
      <c r="AF408" s="16">
        <f t="shared" si="6"/>
        <v>51345.168187745941</v>
      </c>
      <c r="AG408" s="16">
        <f t="shared" si="7"/>
        <v>84065.200211854899</v>
      </c>
      <c r="AH408" s="16">
        <f t="shared" si="8"/>
        <v>150484.27282334655</v>
      </c>
      <c r="AI408" s="16">
        <v>126586.42220746685</v>
      </c>
      <c r="AJ408" s="2"/>
    </row>
    <row r="409" spans="1:3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2">
        <f t="shared" si="9"/>
        <v>40.299999999999699</v>
      </c>
      <c r="X409" s="13">
        <f t="shared" si="0"/>
        <v>6.9421953079241191E-118</v>
      </c>
      <c r="Y409" s="13">
        <f t="shared" si="1"/>
        <v>1.8827408329726981E-25</v>
      </c>
      <c r="Z409" s="13">
        <f t="shared" si="2"/>
        <v>17815.750600706411</v>
      </c>
      <c r="AA409" s="13">
        <f t="shared" si="3"/>
        <v>20849.569324884596</v>
      </c>
      <c r="AB409" s="13">
        <f t="shared" si="4"/>
        <v>230299.50609391162</v>
      </c>
      <c r="AC409" s="13">
        <f t="shared" si="5"/>
        <v>124015.30754952708</v>
      </c>
      <c r="AD409" s="2"/>
      <c r="AE409" s="13">
        <v>17815.750600705913</v>
      </c>
      <c r="AF409" s="13">
        <f t="shared" si="6"/>
        <v>44039.90132192873</v>
      </c>
      <c r="AG409" s="13">
        <f t="shared" si="7"/>
        <v>75330.986775058613</v>
      </c>
      <c r="AH409" s="13">
        <f t="shared" si="8"/>
        <v>140959.56135199932</v>
      </c>
      <c r="AI409" s="13">
        <v>124015.30754952708</v>
      </c>
      <c r="AJ409" s="2"/>
    </row>
    <row r="410" spans="1:3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5">
        <f t="shared" si="9"/>
        <v>40.349999999999696</v>
      </c>
      <c r="X410" s="16">
        <f t="shared" si="0"/>
        <v>9.829032142433107E-127</v>
      </c>
      <c r="Y410" s="16">
        <f t="shared" si="1"/>
        <v>1.1548990486600246E-27</v>
      </c>
      <c r="Z410" s="16">
        <f t="shared" si="2"/>
        <v>14531.627734167718</v>
      </c>
      <c r="AA410" s="16">
        <f t="shared" si="3"/>
        <v>1331.9857482968687</v>
      </c>
      <c r="AB410" s="16">
        <f t="shared" si="4"/>
        <v>115782.68828782713</v>
      </c>
      <c r="AC410" s="16">
        <f t="shared" si="5"/>
        <v>120650.55374849291</v>
      </c>
      <c r="AD410" s="2"/>
      <c r="AE410" s="16">
        <v>14531.627734167296</v>
      </c>
      <c r="AF410" s="16">
        <f t="shared" si="6"/>
        <v>37509.463365666539</v>
      </c>
      <c r="AG410" s="16">
        <f t="shared" si="7"/>
        <v>67032.391497755074</v>
      </c>
      <c r="AH410" s="16">
        <f t="shared" si="8"/>
        <v>131116.59105348887</v>
      </c>
      <c r="AI410" s="16">
        <v>120650.55374849291</v>
      </c>
      <c r="AJ410" s="2"/>
    </row>
    <row r="411" spans="1:3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2">
        <f t="shared" si="9"/>
        <v>40.399999999999693</v>
      </c>
      <c r="X411" s="13">
        <f t="shared" si="0"/>
        <v>6.8821485975555417E-136</v>
      </c>
      <c r="Y411" s="13">
        <f t="shared" si="1"/>
        <v>5.9408330256072596E-30</v>
      </c>
      <c r="Z411" s="13">
        <f t="shared" si="2"/>
        <v>11769.727194737265</v>
      </c>
      <c r="AA411" s="13">
        <f t="shared" si="3"/>
        <v>42.314345135797936</v>
      </c>
      <c r="AB411" s="13">
        <f t="shared" si="4"/>
        <v>48881.062849677954</v>
      </c>
      <c r="AC411" s="13">
        <f t="shared" si="5"/>
        <v>116559.90907605678</v>
      </c>
      <c r="AD411" s="2"/>
      <c r="AE411" s="13">
        <v>11769.727194736912</v>
      </c>
      <c r="AF411" s="13">
        <f t="shared" si="6"/>
        <v>31723.6479645453</v>
      </c>
      <c r="AG411" s="13">
        <f t="shared" si="7"/>
        <v>59231.048995578822</v>
      </c>
      <c r="AH411" s="13">
        <f t="shared" si="8"/>
        <v>121110.12243991801</v>
      </c>
      <c r="AI411" s="13">
        <v>116559.90907605678</v>
      </c>
      <c r="AJ411" s="2"/>
    </row>
    <row r="412" spans="1:3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5">
        <f t="shared" si="9"/>
        <v>40.44999999999969</v>
      </c>
      <c r="X412" s="16">
        <f t="shared" si="0"/>
        <v>2.3830694463654816E-145</v>
      </c>
      <c r="Y412" s="16">
        <f t="shared" si="1"/>
        <v>2.5627161714161294E-32</v>
      </c>
      <c r="Z412" s="16">
        <f t="shared" si="2"/>
        <v>9465.8697254670406</v>
      </c>
      <c r="AA412" s="16">
        <f t="shared" si="3"/>
        <v>0.66843814660693679</v>
      </c>
      <c r="AB412" s="16">
        <f t="shared" si="4"/>
        <v>17329.420539579547</v>
      </c>
      <c r="AC412" s="16">
        <f t="shared" si="5"/>
        <v>111823.97756769056</v>
      </c>
      <c r="AD412" s="2"/>
      <c r="AE412" s="16">
        <v>9465.8697254667459</v>
      </c>
      <c r="AF412" s="16">
        <f t="shared" si="6"/>
        <v>26642.388086925319</v>
      </c>
      <c r="AG412" s="16">
        <f t="shared" si="7"/>
        <v>51971.803435114169</v>
      </c>
      <c r="AH412" s="16">
        <f t="shared" si="8"/>
        <v>111086.91885118281</v>
      </c>
      <c r="AI412" s="16">
        <v>111823.97756769056</v>
      </c>
      <c r="AJ412" s="2"/>
    </row>
    <row r="413" spans="1:3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2">
        <f t="shared" si="9"/>
        <v>40.499999999999687</v>
      </c>
      <c r="X413" s="13">
        <f t="shared" si="0"/>
        <v>4.0808319828942016E-155</v>
      </c>
      <c r="Y413" s="13">
        <f t="shared" si="1"/>
        <v>9.2705075800267696E-35</v>
      </c>
      <c r="Z413" s="13">
        <f t="shared" si="2"/>
        <v>7559.5621751827284</v>
      </c>
      <c r="AA413" s="13">
        <f t="shared" si="3"/>
        <v>5.2507384415847727E-3</v>
      </c>
      <c r="AB413" s="13">
        <f t="shared" si="4"/>
        <v>5159.0986305797533</v>
      </c>
      <c r="AC413" s="13">
        <f t="shared" si="5"/>
        <v>106533.58149912157</v>
      </c>
      <c r="AD413" s="2"/>
      <c r="AE413" s="13">
        <v>7559.5621751824865</v>
      </c>
      <c r="AF413" s="13">
        <f t="shared" si="6"/>
        <v>22218.305589471976</v>
      </c>
      <c r="AG413" s="13">
        <f t="shared" si="7"/>
        <v>45283.480874271016</v>
      </c>
      <c r="AH413" s="13">
        <f t="shared" si="8"/>
        <v>101182.42489031878</v>
      </c>
      <c r="AI413" s="13">
        <v>106533.58149912157</v>
      </c>
      <c r="AJ413" s="2"/>
    </row>
    <row r="414" spans="1:3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5">
        <f t="shared" si="9"/>
        <v>40.549999999999685</v>
      </c>
      <c r="X414" s="16">
        <f t="shared" si="0"/>
        <v>3.4558914491367687E-165</v>
      </c>
      <c r="Y414" s="16">
        <f t="shared" si="1"/>
        <v>2.8122657515428163E-37</v>
      </c>
      <c r="Z414" s="16">
        <f t="shared" si="2"/>
        <v>5994.8008072543607</v>
      </c>
      <c r="AA414" s="16">
        <f t="shared" si="3"/>
        <v>2.0509973539097841E-5</v>
      </c>
      <c r="AB414" s="16">
        <f t="shared" si="4"/>
        <v>1289.7632835535394</v>
      </c>
      <c r="AC414" s="16">
        <f t="shared" si="5"/>
        <v>100786.87385791594</v>
      </c>
      <c r="AD414" s="2"/>
      <c r="AE414" s="16">
        <v>5994.8008072541625</v>
      </c>
      <c r="AF414" s="16">
        <f t="shared" si="6"/>
        <v>18399.095711324957</v>
      </c>
      <c r="AG414" s="16">
        <f t="shared" si="7"/>
        <v>39180.09382164292</v>
      </c>
      <c r="AH414" s="16">
        <f t="shared" si="8"/>
        <v>91518.086164914042</v>
      </c>
      <c r="AI414" s="16">
        <v>100786.87385791594</v>
      </c>
      <c r="AJ414" s="2"/>
    </row>
    <row r="415" spans="1:3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2">
        <f t="shared" si="9"/>
        <v>40.599999999999682</v>
      </c>
      <c r="X415" s="13">
        <f t="shared" si="0"/>
        <v>1.4473408963493282E-175</v>
      </c>
      <c r="Y415" s="13">
        <f t="shared" si="1"/>
        <v>7.1541664982837124E-40</v>
      </c>
      <c r="Z415" s="13">
        <f t="shared" si="2"/>
        <v>4720.5745922720798</v>
      </c>
      <c r="AA415" s="13">
        <f t="shared" si="3"/>
        <v>3.9837802246089355E-8</v>
      </c>
      <c r="AB415" s="13">
        <f t="shared" si="4"/>
        <v>270.76503244575792</v>
      </c>
      <c r="AC415" s="13">
        <f t="shared" si="5"/>
        <v>94686.328613831298</v>
      </c>
      <c r="AD415" s="2"/>
      <c r="AE415" s="13">
        <v>4720.5745922719179</v>
      </c>
      <c r="AF415" s="13">
        <f t="shared" si="6"/>
        <v>15129.681259559879</v>
      </c>
      <c r="AG415" s="13">
        <f t="shared" si="7"/>
        <v>33662.378043093318</v>
      </c>
      <c r="AH415" s="13">
        <f t="shared" si="8"/>
        <v>82199.364494375055</v>
      </c>
      <c r="AI415" s="13">
        <v>94686.328613831312</v>
      </c>
      <c r="AJ415" s="2"/>
    </row>
    <row r="416" spans="1:3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5">
        <f t="shared" si="9"/>
        <v>40.649999999999679</v>
      </c>
      <c r="X416" s="16">
        <f t="shared" si="0"/>
        <v>2.9976500936343371E-186</v>
      </c>
      <c r="Y416" s="16">
        <f t="shared" si="1"/>
        <v>1.5262004215930143E-42</v>
      </c>
      <c r="Z416" s="16">
        <f t="shared" si="2"/>
        <v>3691.1098100639738</v>
      </c>
      <c r="AA416" s="16">
        <f t="shared" si="3"/>
        <v>3.8477885609438796E-11</v>
      </c>
      <c r="AB416" s="16">
        <f t="shared" si="4"/>
        <v>47.733308163042864</v>
      </c>
      <c r="AC416" s="16">
        <f t="shared" si="5"/>
        <v>88335.736787273519</v>
      </c>
      <c r="AD416" s="2"/>
      <c r="AE416" s="16">
        <v>3691.1098100638442</v>
      </c>
      <c r="AF416" s="16">
        <f t="shared" si="6"/>
        <v>12354.092142201376</v>
      </c>
      <c r="AG416" s="16">
        <f t="shared" si="7"/>
        <v>28719.559018112544</v>
      </c>
      <c r="AH416" s="16">
        <f t="shared" si="8"/>
        <v>73314.465788665359</v>
      </c>
      <c r="AI416" s="16">
        <v>88335.736787273519</v>
      </c>
      <c r="AJ416" s="2"/>
    </row>
    <row r="417" spans="1:3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2">
        <f t="shared" si="9"/>
        <v>40.699999999999676</v>
      </c>
      <c r="X417" s="13">
        <f t="shared" si="0"/>
        <v>3.0703678095777583E-197</v>
      </c>
      <c r="Y417" s="13">
        <f t="shared" si="1"/>
        <v>2.7303224232655158E-45</v>
      </c>
      <c r="Z417" s="13">
        <f t="shared" si="2"/>
        <v>2865.900183723732</v>
      </c>
      <c r="AA417" s="13">
        <f t="shared" si="3"/>
        <v>1.8480451752467096E-14</v>
      </c>
      <c r="AB417" s="13">
        <f t="shared" si="4"/>
        <v>7.0663782431180477</v>
      </c>
      <c r="AC417" s="13">
        <f t="shared" si="5"/>
        <v>81837.329586049207</v>
      </c>
      <c r="AD417" s="2"/>
      <c r="AE417" s="13">
        <v>2865.9001837236283</v>
      </c>
      <c r="AF417" s="13">
        <f t="shared" si="6"/>
        <v>10017.045602317794</v>
      </c>
      <c r="AG417" s="13">
        <f t="shared" si="7"/>
        <v>24331.248486243858</v>
      </c>
      <c r="AH417" s="13">
        <f t="shared" si="8"/>
        <v>64933.763219049732</v>
      </c>
      <c r="AI417" s="13">
        <v>81837.329586049207</v>
      </c>
      <c r="AJ417" s="2"/>
    </row>
    <row r="418" spans="1:3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5">
        <f t="shared" si="9"/>
        <v>40.749999999999673</v>
      </c>
      <c r="X418" s="16">
        <f t="shared" si="0"/>
        <v>1.5552465027733111E-208</v>
      </c>
      <c r="Y418" s="16">
        <f t="shared" si="1"/>
        <v>4.0960584294755686E-48</v>
      </c>
      <c r="Z418" s="16">
        <f t="shared" si="2"/>
        <v>2209.5668658671939</v>
      </c>
      <c r="AA418" s="16">
        <f t="shared" si="3"/>
        <v>4.4136665945418256E-18</v>
      </c>
      <c r="AB418" s="16">
        <f t="shared" si="4"/>
        <v>0.87845317203401152</v>
      </c>
      <c r="AC418" s="16">
        <f t="shared" si="5"/>
        <v>75289.136983323813</v>
      </c>
      <c r="AD418" s="2"/>
      <c r="AE418" s="16">
        <v>2209.5668658671166</v>
      </c>
      <c r="AF418" s="16">
        <f t="shared" si="6"/>
        <v>8065.2200834764653</v>
      </c>
      <c r="AG418" s="16">
        <f t="shared" si="7"/>
        <v>20469.379305682876</v>
      </c>
      <c r="AH418" s="16">
        <f t="shared" si="8"/>
        <v>57109.867922193473</v>
      </c>
      <c r="AI418" s="16">
        <v>75289.136983323813</v>
      </c>
      <c r="AJ418" s="2"/>
    </row>
    <row r="419" spans="1:3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2">
        <f t="shared" si="9"/>
        <v>40.79999999999967</v>
      </c>
      <c r="X419" s="13">
        <f t="shared" si="0"/>
        <v>3.8958966317842735E-220</v>
      </c>
      <c r="Y419" s="13">
        <f t="shared" si="1"/>
        <v>5.153095500127721E-51</v>
      </c>
      <c r="Z419" s="13">
        <f t="shared" si="2"/>
        <v>1691.5904743267474</v>
      </c>
      <c r="AA419" s="13">
        <f t="shared" si="3"/>
        <v>5.2416983025521651E-22</v>
      </c>
      <c r="AB419" s="13">
        <f t="shared" si="4"/>
        <v>9.1703674859076212E-2</v>
      </c>
      <c r="AC419" s="13">
        <f t="shared" si="5"/>
        <v>68782.672174544656</v>
      </c>
      <c r="AD419" s="2"/>
      <c r="AE419" s="13">
        <v>1691.5904743266833</v>
      </c>
      <c r="AF419" s="13">
        <f t="shared" si="6"/>
        <v>6448.2304811334006</v>
      </c>
      <c r="AG419" s="13">
        <f t="shared" si="7"/>
        <v>17100.098269684393</v>
      </c>
      <c r="AH419" s="13">
        <f t="shared" si="8"/>
        <v>49878.274691219056</v>
      </c>
      <c r="AI419" s="13">
        <v>68782.672174544656</v>
      </c>
      <c r="AJ419" s="2"/>
    </row>
    <row r="420" spans="1:3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5">
        <f t="shared" si="9"/>
        <v>40.849999999999667</v>
      </c>
      <c r="X420" s="16">
        <f t="shared" si="0"/>
        <v>4.8263074032459528E-232</v>
      </c>
      <c r="Y420" s="16">
        <f t="shared" si="1"/>
        <v>5.4365086052963392E-54</v>
      </c>
      <c r="Z420" s="16">
        <f t="shared" si="2"/>
        <v>1285.9536250572012</v>
      </c>
      <c r="AA420" s="16">
        <f t="shared" si="3"/>
        <v>3.0954947638681804E-26</v>
      </c>
      <c r="AB420" s="16">
        <f t="shared" si="4"/>
        <v>8.0389856398605224E-3</v>
      </c>
      <c r="AC420" s="16">
        <f t="shared" si="5"/>
        <v>62401.010777445859</v>
      </c>
      <c r="AD420" s="2"/>
      <c r="AE420" s="16">
        <v>1285.9536250571514</v>
      </c>
      <c r="AF420" s="16">
        <f t="shared" si="6"/>
        <v>5119.3242597921244</v>
      </c>
      <c r="AG420" s="16">
        <f t="shared" si="7"/>
        <v>14185.550409516647</v>
      </c>
      <c r="AH420" s="16">
        <f t="shared" si="8"/>
        <v>43258.491789485699</v>
      </c>
      <c r="AI420" s="16">
        <v>62401.010777445859</v>
      </c>
      <c r="AJ420" s="2"/>
    </row>
    <row r="421" spans="1:3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2">
        <f t="shared" si="9"/>
        <v>40.899999999999665</v>
      </c>
      <c r="X421" s="13">
        <f t="shared" si="0"/>
        <v>2.9567996455397587E-244</v>
      </c>
      <c r="Y421" s="13">
        <f t="shared" si="1"/>
        <v>4.8097423122829962E-57</v>
      </c>
      <c r="Z421" s="13">
        <f t="shared" si="2"/>
        <v>970.72759975605311</v>
      </c>
      <c r="AA421" s="13">
        <f t="shared" si="3"/>
        <v>9.0902051217970457E-31</v>
      </c>
      <c r="AB421" s="13">
        <f t="shared" si="4"/>
        <v>5.917825504983277E-4</v>
      </c>
      <c r="AC421" s="13">
        <f t="shared" si="5"/>
        <v>56217.309975815231</v>
      </c>
      <c r="AD421" s="2"/>
      <c r="AE421" s="13">
        <v>970.7275997560148</v>
      </c>
      <c r="AF421" s="13">
        <f t="shared" si="6"/>
        <v>4035.8264535185945</v>
      </c>
      <c r="AG421" s="13">
        <f t="shared" si="7"/>
        <v>11685.503488225795</v>
      </c>
      <c r="AH421" s="13">
        <f t="shared" si="8"/>
        <v>37255.552536036339</v>
      </c>
      <c r="AI421" s="13">
        <v>56217.309975815231</v>
      </c>
      <c r="AJ421" s="2"/>
    </row>
    <row r="422" spans="1:3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5">
        <f t="shared" si="9"/>
        <v>40.949999999999662</v>
      </c>
      <c r="X422" s="16">
        <f t="shared" si="0"/>
        <v>8.9583531227260516E-257</v>
      </c>
      <c r="Y422" s="16">
        <f t="shared" si="1"/>
        <v>3.568398755009306E-60</v>
      </c>
      <c r="Z422" s="16">
        <f t="shared" si="2"/>
        <v>727.63141962482791</v>
      </c>
      <c r="AA422" s="16">
        <f t="shared" si="3"/>
        <v>1.3274031659537499E-35</v>
      </c>
      <c r="AB422" s="16">
        <f t="shared" si="4"/>
        <v>3.6582168578179698E-5</v>
      </c>
      <c r="AC422" s="16">
        <f t="shared" si="5"/>
        <v>50293.788628759554</v>
      </c>
      <c r="AD422" s="2"/>
      <c r="AE422" s="16">
        <v>727.63141962479858</v>
      </c>
      <c r="AF422" s="16">
        <f t="shared" si="6"/>
        <v>3159.3670455668766</v>
      </c>
      <c r="AG422" s="16">
        <f t="shared" si="7"/>
        <v>9558.776785077649</v>
      </c>
      <c r="AH422" s="16">
        <f t="shared" si="8"/>
        <v>31861.801530893335</v>
      </c>
      <c r="AI422" s="16">
        <v>50293.788628759561</v>
      </c>
      <c r="AJ422" s="2"/>
    </row>
    <row r="423" spans="1:3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2">
        <f t="shared" si="9"/>
        <v>40.999999999999659</v>
      </c>
      <c r="X423" s="13">
        <f t="shared" si="0"/>
        <v>1.3422512602420613E-269</v>
      </c>
      <c r="Y423" s="13">
        <f t="shared" si="1"/>
        <v>2.2201115175727332E-63</v>
      </c>
      <c r="Z423" s="13">
        <f t="shared" si="2"/>
        <v>541.58609884683858</v>
      </c>
      <c r="AA423" s="13">
        <f t="shared" si="3"/>
        <v>9.6386802052235637E-41</v>
      </c>
      <c r="AB423" s="13">
        <f t="shared" si="4"/>
        <v>1.8989919655710462E-6</v>
      </c>
      <c r="AC423" s="13">
        <f t="shared" si="5"/>
        <v>44681.166155931372</v>
      </c>
      <c r="AD423" s="2"/>
      <c r="AE423" s="13">
        <v>541.58609884681573</v>
      </c>
      <c r="AF423" s="13">
        <f t="shared" si="6"/>
        <v>2455.9269356674581</v>
      </c>
      <c r="AG423" s="13">
        <f t="shared" si="7"/>
        <v>7764.452969174371</v>
      </c>
      <c r="AH423" s="13">
        <f t="shared" si="8"/>
        <v>27058.849768301428</v>
      </c>
      <c r="AI423" s="13">
        <v>44681.16615593138</v>
      </c>
      <c r="AJ423" s="2"/>
    </row>
    <row r="424" spans="1:3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5">
        <f t="shared" si="9"/>
        <v>41.049999999999656</v>
      </c>
      <c r="X424" s="16">
        <f t="shared" si="0"/>
        <v>9.9457794843711846E-283</v>
      </c>
      <c r="Y424" s="16">
        <f t="shared" si="1"/>
        <v>1.1583132952687349E-66</v>
      </c>
      <c r="Z424" s="16">
        <f t="shared" si="2"/>
        <v>400.28155491523165</v>
      </c>
      <c r="AA424" s="16">
        <f t="shared" si="3"/>
        <v>3.4803093636059958E-46</v>
      </c>
      <c r="AB424" s="16">
        <f t="shared" si="4"/>
        <v>8.2779575873859775E-8</v>
      </c>
      <c r="AC424" s="16">
        <f t="shared" si="5"/>
        <v>39418.537057406596</v>
      </c>
      <c r="AD424" s="2"/>
      <c r="AE424" s="16">
        <v>400.28155491521443</v>
      </c>
      <c r="AF424" s="16">
        <f t="shared" si="6"/>
        <v>1895.7390586233862</v>
      </c>
      <c r="AG424" s="16">
        <f t="shared" si="7"/>
        <v>6262.8651397151043</v>
      </c>
      <c r="AH424" s="16">
        <f t="shared" si="8"/>
        <v>22819.599551300078</v>
      </c>
      <c r="AI424" s="16">
        <v>39418.537057406596</v>
      </c>
      <c r="AJ424" s="2"/>
    </row>
    <row r="425" spans="1:3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2">
        <f t="shared" si="9"/>
        <v>41.099999999999653</v>
      </c>
      <c r="X425" s="13">
        <f t="shared" si="0"/>
        <v>3.6445439697418384E-296</v>
      </c>
      <c r="Y425" s="13">
        <f t="shared" si="1"/>
        <v>5.0678894572813827E-70</v>
      </c>
      <c r="Z425" s="13">
        <f t="shared" si="2"/>
        <v>293.7687993506741</v>
      </c>
      <c r="AA425" s="13">
        <f t="shared" si="3"/>
        <v>6.2489015845418218E-52</v>
      </c>
      <c r="AB425" s="13">
        <f t="shared" si="4"/>
        <v>3.030188569926868E-9</v>
      </c>
      <c r="AC425" s="13">
        <f t="shared" si="5"/>
        <v>34533.640258634914</v>
      </c>
      <c r="AD425" s="2"/>
      <c r="AE425" s="13">
        <v>293.76879935066091</v>
      </c>
      <c r="AF425" s="13">
        <f t="shared" si="6"/>
        <v>1453.079685599532</v>
      </c>
      <c r="AG425" s="13">
        <f t="shared" si="7"/>
        <v>5016.3624592921124</v>
      </c>
      <c r="AH425" s="13">
        <f t="shared" si="8"/>
        <v>19110.250971061716</v>
      </c>
      <c r="AI425" s="13">
        <v>34533.640258634914</v>
      </c>
      <c r="AJ425" s="2"/>
    </row>
    <row r="426" spans="1:3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5">
        <f t="shared" si="9"/>
        <v>41.14999999999965</v>
      </c>
      <c r="X426" s="16">
        <f t="shared" si="0"/>
        <v>0</v>
      </c>
      <c r="Y426" s="16">
        <f t="shared" si="1"/>
        <v>1.8594224323867944E-73</v>
      </c>
      <c r="Z426" s="16">
        <f t="shared" si="2"/>
        <v>214.08577728682999</v>
      </c>
      <c r="AA426" s="16">
        <f t="shared" si="3"/>
        <v>5.57924041790415E-58</v>
      </c>
      <c r="AB426" s="16">
        <f t="shared" si="4"/>
        <v>9.3145634086928265E-11</v>
      </c>
      <c r="AC426" s="16">
        <f t="shared" si="5"/>
        <v>30043.468793950571</v>
      </c>
      <c r="AD426" s="2"/>
      <c r="AE426" s="16">
        <v>214.08577728682039</v>
      </c>
      <c r="AF426" s="16">
        <f t="shared" si="6"/>
        <v>1105.982007886199</v>
      </c>
      <c r="AG426" s="16">
        <f t="shared" si="7"/>
        <v>3989.8669262123631</v>
      </c>
      <c r="AH426" s="16">
        <f t="shared" si="8"/>
        <v>15892.215531626469</v>
      </c>
      <c r="AI426" s="16">
        <v>30043.468793950571</v>
      </c>
      <c r="AJ426" s="2"/>
    </row>
    <row r="427" spans="1:3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2">
        <f t="shared" si="9"/>
        <v>41.199999999999648</v>
      </c>
      <c r="X427" s="13">
        <f t="shared" si="0"/>
        <v>0</v>
      </c>
      <c r="Y427" s="13">
        <f t="shared" si="1"/>
        <v>5.7210907857779171E-77</v>
      </c>
      <c r="Z427" s="13">
        <f t="shared" si="2"/>
        <v>154.92164858061216</v>
      </c>
      <c r="AA427" s="13">
        <f t="shared" si="3"/>
        <v>2.4770343199088392E-64</v>
      </c>
      <c r="AB427" s="13">
        <f t="shared" si="4"/>
        <v>2.404372435407048E-12</v>
      </c>
      <c r="AC427" s="13">
        <f t="shared" si="5"/>
        <v>25955.156029412385</v>
      </c>
      <c r="AD427" s="2"/>
      <c r="AE427" s="13">
        <v>154.92164858060494</v>
      </c>
      <c r="AF427" s="13">
        <f t="shared" si="6"/>
        <v>835.90024077377473</v>
      </c>
      <c r="AG427" s="13">
        <f t="shared" si="7"/>
        <v>3151.2406170415056</v>
      </c>
      <c r="AH427" s="13">
        <f t="shared" si="8"/>
        <v>13123.878052663753</v>
      </c>
      <c r="AI427" s="13">
        <v>25955.156029412385</v>
      </c>
      <c r="AJ427" s="2"/>
    </row>
    <row r="428" spans="1:3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5">
        <f t="shared" si="9"/>
        <v>41.249999999999645</v>
      </c>
      <c r="X428" s="16">
        <f t="shared" si="0"/>
        <v>0</v>
      </c>
      <c r="Y428" s="16">
        <f t="shared" si="1"/>
        <v>1.4761464742679365E-80</v>
      </c>
      <c r="Z428" s="16">
        <f t="shared" si="2"/>
        <v>111.32142576801704</v>
      </c>
      <c r="AA428" s="16">
        <f t="shared" si="3"/>
        <v>5.4685794723961323E-71</v>
      </c>
      <c r="AB428" s="16">
        <f t="shared" si="4"/>
        <v>5.2117954982890862E-14</v>
      </c>
      <c r="AC428" s="16">
        <f t="shared" si="5"/>
        <v>22267.069724567427</v>
      </c>
      <c r="AD428" s="2"/>
      <c r="AE428" s="16">
        <v>111.32142576801184</v>
      </c>
      <c r="AF428" s="16">
        <f t="shared" si="6"/>
        <v>627.34811460037008</v>
      </c>
      <c r="AG428" s="16">
        <f t="shared" si="7"/>
        <v>2471.4872420675879</v>
      </c>
      <c r="AH428" s="16">
        <f t="shared" si="8"/>
        <v>10762.164111400234</v>
      </c>
      <c r="AI428" s="16">
        <v>22267.069724567427</v>
      </c>
      <c r="AJ428" s="2"/>
    </row>
    <row r="429" spans="1:3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2">
        <f t="shared" si="9"/>
        <v>41.299999999999642</v>
      </c>
      <c r="X429" s="13">
        <f t="shared" si="0"/>
        <v>0</v>
      </c>
      <c r="Y429" s="13">
        <f t="shared" si="1"/>
        <v>3.1939632024263107E-84</v>
      </c>
      <c r="Z429" s="13">
        <f t="shared" si="2"/>
        <v>79.430677641277427</v>
      </c>
      <c r="AA429" s="13">
        <f t="shared" si="3"/>
        <v>6.0034733663012146E-78</v>
      </c>
      <c r="AB429" s="13">
        <f t="shared" si="4"/>
        <v>9.486792061869294E-16</v>
      </c>
      <c r="AC429" s="13">
        <f t="shared" si="5"/>
        <v>18970.044498618237</v>
      </c>
      <c r="AD429" s="2"/>
      <c r="AE429" s="13">
        <v>79.430677641273661</v>
      </c>
      <c r="AF429" s="13">
        <f t="shared" si="6"/>
        <v>467.5310984713505</v>
      </c>
      <c r="AG429" s="13">
        <f t="shared" si="7"/>
        <v>1924.814285042761</v>
      </c>
      <c r="AH429" s="13">
        <f t="shared" si="8"/>
        <v>8763.8859753972138</v>
      </c>
      <c r="AI429" s="13">
        <v>18970.044498618237</v>
      </c>
      <c r="AJ429" s="2"/>
    </row>
    <row r="430" spans="1:3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5">
        <f t="shared" si="9"/>
        <v>41.349999999999639</v>
      </c>
      <c r="X430" s="16">
        <f t="shared" si="0"/>
        <v>0</v>
      </c>
      <c r="Y430" s="16">
        <f t="shared" si="1"/>
        <v>5.7953571290300337E-88</v>
      </c>
      <c r="Z430" s="16">
        <f t="shared" si="2"/>
        <v>56.278410970023785</v>
      </c>
      <c r="AA430" s="16">
        <f t="shared" si="3"/>
        <v>3.2773000530284806E-85</v>
      </c>
      <c r="AB430" s="16">
        <f t="shared" si="4"/>
        <v>1.4500994429005215E-17</v>
      </c>
      <c r="AC430" s="16">
        <f t="shared" si="5"/>
        <v>16048.686215575697</v>
      </c>
      <c r="AD430" s="2"/>
      <c r="AE430" s="16">
        <v>56.278410970021007</v>
      </c>
      <c r="AF430" s="16">
        <f t="shared" si="6"/>
        <v>345.98731321511133</v>
      </c>
      <c r="AG430" s="16">
        <f t="shared" si="7"/>
        <v>1488.5826269710892</v>
      </c>
      <c r="AH430" s="16">
        <f t="shared" si="8"/>
        <v>7086.8544077601873</v>
      </c>
      <c r="AI430" s="16">
        <v>16048.686215575697</v>
      </c>
      <c r="AJ430" s="2"/>
    </row>
    <row r="431" spans="1:3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2">
        <f t="shared" si="9"/>
        <v>41.399999999999636</v>
      </c>
      <c r="X431" s="13">
        <f t="shared" si="0"/>
        <v>0</v>
      </c>
      <c r="Y431" s="13">
        <f t="shared" si="1"/>
        <v>8.8182080274468998E-92</v>
      </c>
      <c r="Z431" s="13">
        <f t="shared" si="2"/>
        <v>39.595176376762424</v>
      </c>
      <c r="AA431" s="13">
        <f t="shared" si="3"/>
        <v>8.8964220553229726E-93</v>
      </c>
      <c r="AB431" s="13">
        <f t="shared" si="4"/>
        <v>1.8613265791238219E-19</v>
      </c>
      <c r="AC431" s="13">
        <f t="shared" si="5"/>
        <v>13482.68777663553</v>
      </c>
      <c r="AD431" s="2"/>
      <c r="AE431" s="13">
        <v>39.59517637676047</v>
      </c>
      <c r="AF431" s="13">
        <f t="shared" si="6"/>
        <v>254.24804198367252</v>
      </c>
      <c r="AG431" s="13">
        <f t="shared" si="7"/>
        <v>1143.1697184982479</v>
      </c>
      <c r="AH431" s="13">
        <f t="shared" si="8"/>
        <v>5690.7562903979597</v>
      </c>
      <c r="AI431" s="13">
        <v>13482.68777663553</v>
      </c>
      <c r="AJ431" s="2"/>
    </row>
    <row r="432" spans="1:3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5">
        <f t="shared" si="9"/>
        <v>41.449999999999633</v>
      </c>
      <c r="X432" s="16">
        <f t="shared" si="0"/>
        <v>0</v>
      </c>
      <c r="Y432" s="16">
        <f t="shared" si="1"/>
        <v>1.1252015369572046E-95</v>
      </c>
      <c r="Z432" s="16">
        <f t="shared" si="2"/>
        <v>27.662817752957629</v>
      </c>
      <c r="AA432" s="16">
        <f t="shared" si="3"/>
        <v>1.2008813703894494E-100</v>
      </c>
      <c r="AB432" s="16">
        <f t="shared" si="4"/>
        <v>2.0062902440960679E-21</v>
      </c>
      <c r="AC432" s="16">
        <f t="shared" si="5"/>
        <v>11248.104042429262</v>
      </c>
      <c r="AD432" s="2"/>
      <c r="AE432" s="16">
        <v>27.662817752956219</v>
      </c>
      <c r="AF432" s="16">
        <f t="shared" si="6"/>
        <v>185.52517645838253</v>
      </c>
      <c r="AG432" s="16">
        <f t="shared" si="7"/>
        <v>871.77042326257163</v>
      </c>
      <c r="AH432" s="16">
        <f t="shared" si="8"/>
        <v>4537.808326269711</v>
      </c>
      <c r="AI432" s="16">
        <v>11248.104042429262</v>
      </c>
      <c r="AJ432" s="2"/>
    </row>
    <row r="433" spans="1:3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2">
        <f t="shared" si="9"/>
        <v>41.499999999999631</v>
      </c>
      <c r="X433" s="13">
        <f t="shared" si="0"/>
        <v>0</v>
      </c>
      <c r="Y433" s="13">
        <f t="shared" si="1"/>
        <v>1.2040101114243543E-99</v>
      </c>
      <c r="Z433" s="13">
        <f t="shared" si="2"/>
        <v>19.192007181566758</v>
      </c>
      <c r="AA433" s="13">
        <f t="shared" si="3"/>
        <v>8.060656110152945E-109</v>
      </c>
      <c r="AB433" s="13">
        <f t="shared" si="4"/>
        <v>1.8159811356926569E-23</v>
      </c>
      <c r="AC433" s="13">
        <f t="shared" si="5"/>
        <v>9318.5433023976893</v>
      </c>
      <c r="AD433" s="2"/>
      <c r="AE433" s="13">
        <v>19.192007181565778</v>
      </c>
      <c r="AF433" s="13">
        <f t="shared" si="6"/>
        <v>134.42991796913344</v>
      </c>
      <c r="AG433" s="13">
        <f t="shared" si="7"/>
        <v>660.15695363652458</v>
      </c>
      <c r="AH433" s="13">
        <f t="shared" si="8"/>
        <v>3593.2049749886155</v>
      </c>
      <c r="AI433" s="13">
        <v>9318.5433023976893</v>
      </c>
      <c r="AJ433" s="2"/>
    </row>
    <row r="434" spans="1:3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5">
        <f t="shared" si="9"/>
        <v>41.549999999999628</v>
      </c>
      <c r="X434" s="16">
        <f t="shared" si="0"/>
        <v>0</v>
      </c>
      <c r="Y434" s="16">
        <f t="shared" si="1"/>
        <v>1.0803881009355149E-103</v>
      </c>
      <c r="Z434" s="16">
        <f t="shared" si="2"/>
        <v>13.223693765212861</v>
      </c>
      <c r="AA434" s="16">
        <f t="shared" si="3"/>
        <v>2.6904581159751837E-117</v>
      </c>
      <c r="AB434" s="16">
        <f t="shared" si="4"/>
        <v>1.3803057378407882E-25</v>
      </c>
      <c r="AC434" s="16">
        <f t="shared" si="5"/>
        <v>7666.2430874844194</v>
      </c>
      <c r="AD434" s="2"/>
      <c r="AE434" s="16">
        <v>13.223693765212163</v>
      </c>
      <c r="AF434" s="16">
        <f t="shared" si="6"/>
        <v>96.724608079132224</v>
      </c>
      <c r="AG434" s="16">
        <f t="shared" si="7"/>
        <v>496.41617878725089</v>
      </c>
      <c r="AH434" s="16">
        <f t="shared" si="8"/>
        <v>2825.3842579956176</v>
      </c>
      <c r="AI434" s="16">
        <v>7666.2430874844194</v>
      </c>
      <c r="AJ434" s="2"/>
    </row>
    <row r="435" spans="1:3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2">
        <f t="shared" si="9"/>
        <v>41.599999999999625</v>
      </c>
      <c r="X435" s="13">
        <f t="shared" si="0"/>
        <v>0</v>
      </c>
      <c r="Y435" s="13">
        <f t="shared" si="1"/>
        <v>8.1297893201425214E-108</v>
      </c>
      <c r="Z435" s="13">
        <f t="shared" si="2"/>
        <v>9.0507690783147581</v>
      </c>
      <c r="AA435" s="13">
        <f t="shared" si="3"/>
        <v>4.465474709130841E-126</v>
      </c>
      <c r="AB435" s="13">
        <f t="shared" si="4"/>
        <v>8.8101974748698488E-28</v>
      </c>
      <c r="AC435" s="13">
        <f t="shared" si="5"/>
        <v>6263.0084851436795</v>
      </c>
      <c r="AD435" s="2"/>
      <c r="AE435" s="13">
        <v>9.0507690783142625</v>
      </c>
      <c r="AF435" s="13">
        <f t="shared" si="6"/>
        <v>69.107674286154023</v>
      </c>
      <c r="AG435" s="13">
        <f t="shared" si="7"/>
        <v>370.67927628157577</v>
      </c>
      <c r="AH435" s="13">
        <f t="shared" si="8"/>
        <v>2206.1382984664424</v>
      </c>
      <c r="AI435" s="13">
        <v>6263.0084851436795</v>
      </c>
      <c r="AJ435" s="2"/>
    </row>
    <row r="436" spans="1:3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5">
        <f t="shared" si="9"/>
        <v>41.649999999999622</v>
      </c>
      <c r="X436" s="16">
        <f t="shared" si="0"/>
        <v>0</v>
      </c>
      <c r="Y436" s="16">
        <f t="shared" si="1"/>
        <v>5.1301330738906798E-112</v>
      </c>
      <c r="Z436" s="16">
        <f t="shared" si="2"/>
        <v>6.1565498092249786</v>
      </c>
      <c r="AA436" s="16">
        <f t="shared" si="3"/>
        <v>3.6854844987936116E-135</v>
      </c>
      <c r="AB436" s="16">
        <f t="shared" si="4"/>
        <v>4.7221783057175219E-30</v>
      </c>
      <c r="AC436" s="16">
        <f t="shared" si="5"/>
        <v>5081.0008742249393</v>
      </c>
      <c r="AD436" s="2"/>
      <c r="AE436" s="16">
        <v>6.1565498092246322</v>
      </c>
      <c r="AF436" s="16">
        <f t="shared" si="6"/>
        <v>49.030296939612882</v>
      </c>
      <c r="AG436" s="16">
        <f t="shared" si="7"/>
        <v>274.8554430018138</v>
      </c>
      <c r="AH436" s="16">
        <f t="shared" si="8"/>
        <v>1710.5967047412523</v>
      </c>
      <c r="AI436" s="16">
        <v>5081.0008742249393</v>
      </c>
      <c r="AJ436" s="2"/>
    </row>
    <row r="437" spans="1:3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2">
        <f t="shared" si="9"/>
        <v>41.699999999999619</v>
      </c>
      <c r="X437" s="13">
        <f t="shared" si="0"/>
        <v>0</v>
      </c>
      <c r="Y437" s="13">
        <f t="shared" si="1"/>
        <v>2.7147373049957792E-116</v>
      </c>
      <c r="Z437" s="13">
        <f t="shared" si="2"/>
        <v>4.1670475655085442</v>
      </c>
      <c r="AA437" s="13">
        <f t="shared" si="3"/>
        <v>1.512540806156513E-144</v>
      </c>
      <c r="AB437" s="13">
        <f t="shared" si="4"/>
        <v>2.1254236535577137E-32</v>
      </c>
      <c r="AC437" s="13">
        <f t="shared" si="5"/>
        <v>4093.3736986741324</v>
      </c>
      <c r="AD437" s="2"/>
      <c r="AE437" s="13">
        <v>4.1670475655083097</v>
      </c>
      <c r="AF437" s="13">
        <f t="shared" si="6"/>
        <v>34.542468937412139</v>
      </c>
      <c r="AG437" s="13">
        <f t="shared" si="7"/>
        <v>202.37834406790188</v>
      </c>
      <c r="AH437" s="13">
        <f t="shared" si="8"/>
        <v>1317.1105009580972</v>
      </c>
      <c r="AI437" s="13">
        <v>4093.3736986741324</v>
      </c>
      <c r="AJ437" s="2"/>
    </row>
    <row r="438" spans="1:3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5">
        <f t="shared" si="9"/>
        <v>41.749999999999616</v>
      </c>
      <c r="X438" s="16">
        <f t="shared" si="0"/>
        <v>0</v>
      </c>
      <c r="Y438" s="16">
        <f t="shared" si="1"/>
        <v>1.2046942342176443E-120</v>
      </c>
      <c r="Z438" s="16">
        <f t="shared" si="2"/>
        <v>2.8143969031301679</v>
      </c>
      <c r="AA438" s="16">
        <f t="shared" si="3"/>
        <v>3.0867763752414048E-154</v>
      </c>
      <c r="AB438" s="16">
        <f t="shared" si="4"/>
        <v>8.0333192478473531E-35</v>
      </c>
      <c r="AC438" s="16">
        <f t="shared" si="5"/>
        <v>3274.7592340540805</v>
      </c>
      <c r="AD438" s="2"/>
      <c r="AE438" s="16">
        <v>2.8143969031300116</v>
      </c>
      <c r="AF438" s="16">
        <f t="shared" si="6"/>
        <v>24.165557141405401</v>
      </c>
      <c r="AG438" s="16">
        <f t="shared" si="7"/>
        <v>147.97127181766399</v>
      </c>
      <c r="AH438" s="16">
        <f t="shared" si="8"/>
        <v>1007.0626233707635</v>
      </c>
      <c r="AI438" s="16">
        <v>3274.7592340540805</v>
      </c>
      <c r="AJ438" s="2"/>
    </row>
    <row r="439" spans="1:3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2">
        <f t="shared" si="9"/>
        <v>41.799999999999613</v>
      </c>
      <c r="X439" s="13">
        <f t="shared" si="0"/>
        <v>0</v>
      </c>
      <c r="Y439" s="13">
        <f t="shared" si="1"/>
        <v>4.4830717878552406E-125</v>
      </c>
      <c r="Z439" s="13">
        <f t="shared" si="2"/>
        <v>1.9092166006917228</v>
      </c>
      <c r="AA439" s="13">
        <f t="shared" si="3"/>
        <v>3.1324834968724419E-164</v>
      </c>
      <c r="AB439" s="13">
        <f t="shared" si="4"/>
        <v>2.5497108517769482E-37</v>
      </c>
      <c r="AC439" s="13">
        <f t="shared" si="5"/>
        <v>2601.6161007505571</v>
      </c>
      <c r="AD439" s="2"/>
      <c r="AE439" s="13">
        <v>1.9092166006916154</v>
      </c>
      <c r="AF439" s="13">
        <f t="shared" si="6"/>
        <v>16.788209061596962</v>
      </c>
      <c r="AG439" s="13">
        <f t="shared" si="7"/>
        <v>107.43467513478871</v>
      </c>
      <c r="AH439" s="13">
        <f t="shared" si="8"/>
        <v>764.6284045578941</v>
      </c>
      <c r="AI439" s="13">
        <v>2601.6161007505571</v>
      </c>
      <c r="AJ439" s="2"/>
    </row>
    <row r="440" spans="1:3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5">
        <f t="shared" si="9"/>
        <v>41.849999999999611</v>
      </c>
      <c r="X440" s="16">
        <f t="shared" si="0"/>
        <v>0</v>
      </c>
      <c r="Y440" s="16">
        <f t="shared" si="1"/>
        <v>1.3990215219586419E-129</v>
      </c>
      <c r="Z440" s="16">
        <f t="shared" si="2"/>
        <v>1.3200668585803741</v>
      </c>
      <c r="AA440" s="16">
        <f t="shared" si="3"/>
        <v>1.5807310055890472E-174</v>
      </c>
      <c r="AB440" s="16">
        <f t="shared" si="4"/>
        <v>6.7956848058819006E-40</v>
      </c>
      <c r="AC440" s="16">
        <f t="shared" si="5"/>
        <v>2052.4515002488852</v>
      </c>
      <c r="AD440" s="2"/>
      <c r="AE440" s="16">
        <v>1.3200668585803028</v>
      </c>
      <c r="AF440" s="16">
        <f t="shared" si="6"/>
        <v>11.582409278305391</v>
      </c>
      <c r="AG440" s="16">
        <f t="shared" si="7"/>
        <v>77.457826999072196</v>
      </c>
      <c r="AH440" s="16">
        <f t="shared" si="8"/>
        <v>576.50630479242602</v>
      </c>
      <c r="AI440" s="16">
        <v>2052.4515002488852</v>
      </c>
      <c r="AJ440" s="2"/>
    </row>
    <row r="441" spans="1:3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2">
        <f t="shared" si="9"/>
        <v>41.899999999999608</v>
      </c>
      <c r="X441" s="13">
        <f t="shared" si="0"/>
        <v>0</v>
      </c>
      <c r="Y441" s="13">
        <f t="shared" si="1"/>
        <v>3.6611956564230548E-134</v>
      </c>
      <c r="Z441" s="13">
        <f t="shared" si="2"/>
        <v>0.95852530677788261</v>
      </c>
      <c r="AA441" s="13">
        <f t="shared" si="3"/>
        <v>3.966547949333288E-185</v>
      </c>
      <c r="AB441" s="13">
        <f t="shared" si="4"/>
        <v>1.5209744253095395E-42</v>
      </c>
      <c r="AC441" s="13">
        <f t="shared" si="5"/>
        <v>1607.934860097916</v>
      </c>
      <c r="AD441" s="2"/>
      <c r="AE441" s="13">
        <v>0.95852530677783465</v>
      </c>
      <c r="AF441" s="13">
        <f t="shared" si="6"/>
        <v>7.9366136638436782</v>
      </c>
      <c r="AG441" s="13">
        <f t="shared" si="7"/>
        <v>55.45491810796603</v>
      </c>
      <c r="AH441" s="13">
        <f t="shared" si="8"/>
        <v>431.63572230969334</v>
      </c>
      <c r="AI441" s="13">
        <v>1607.9348600979163</v>
      </c>
      <c r="AJ441" s="2"/>
    </row>
    <row r="442" spans="1:3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5">
        <f t="shared" si="9"/>
        <v>41.949999999999605</v>
      </c>
      <c r="X442" s="16">
        <f t="shared" si="0"/>
        <v>0</v>
      </c>
      <c r="Y442" s="16">
        <f t="shared" si="1"/>
        <v>8.0347306436468006E-139</v>
      </c>
      <c r="Z442" s="16">
        <f t="shared" si="2"/>
        <v>0.76873271476613048</v>
      </c>
      <c r="AA442" s="16">
        <f t="shared" si="3"/>
        <v>4.9494051011992109E-196</v>
      </c>
      <c r="AB442" s="16">
        <f t="shared" si="4"/>
        <v>2.8586236661024793E-45</v>
      </c>
      <c r="AC442" s="16">
        <f t="shared" si="5"/>
        <v>1250.9209147804372</v>
      </c>
      <c r="AD442" s="2"/>
      <c r="AE442" s="16">
        <v>0.76873271476609939</v>
      </c>
      <c r="AF442" s="16">
        <f t="shared" si="6"/>
        <v>5.4031214112640313</v>
      </c>
      <c r="AG442" s="16">
        <f t="shared" si="7"/>
        <v>39.424767020909712</v>
      </c>
      <c r="AH442" s="16">
        <f t="shared" si="8"/>
        <v>320.9152711414971</v>
      </c>
      <c r="AI442" s="16">
        <v>1250.9209147804372</v>
      </c>
      <c r="AJ442" s="2"/>
    </row>
    <row r="443" spans="1:3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2">
        <f t="shared" si="9"/>
        <v>41.999999999999602</v>
      </c>
      <c r="X443" s="13">
        <f t="shared" si="0"/>
        <v>0</v>
      </c>
      <c r="Y443" s="13">
        <f t="shared" si="1"/>
        <v>1.671232759488248E-143</v>
      </c>
      <c r="Z443" s="13">
        <f t="shared" si="2"/>
        <v>0.7205553032971086</v>
      </c>
      <c r="AA443" s="13">
        <f t="shared" si="3"/>
        <v>3.0709931729011823E-207</v>
      </c>
      <c r="AB443" s="13">
        <f t="shared" si="4"/>
        <v>4.5116816448357576E-48</v>
      </c>
      <c r="AC443" s="13">
        <f t="shared" si="5"/>
        <v>966.40042501555797</v>
      </c>
      <c r="AD443" s="2"/>
      <c r="AE443" s="13">
        <v>0.72055530329708783</v>
      </c>
      <c r="AF443" s="13">
        <f t="shared" si="6"/>
        <v>3.6571409604121126</v>
      </c>
      <c r="AG443" s="13">
        <f t="shared" si="7"/>
        <v>27.832577936491166</v>
      </c>
      <c r="AH443" s="13">
        <f t="shared" si="8"/>
        <v>236.93164823927631</v>
      </c>
      <c r="AI443" s="13">
        <v>966.40042501555797</v>
      </c>
      <c r="AJ443" s="2"/>
    </row>
    <row r="444" spans="1:3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5">
        <f t="shared" si="9"/>
        <v>42.049999999999599</v>
      </c>
      <c r="X444" s="16">
        <f t="shared" si="0"/>
        <v>0</v>
      </c>
      <c r="Y444" s="16">
        <f t="shared" si="1"/>
        <v>8.6400833787388999E-140</v>
      </c>
      <c r="Z444" s="16">
        <f t="shared" si="2"/>
        <v>0.80577838794783208</v>
      </c>
      <c r="AA444" s="16">
        <f t="shared" si="3"/>
        <v>9.4752408201337759E-219</v>
      </c>
      <c r="AB444" s="16">
        <f t="shared" si="4"/>
        <v>5.9795196666261149E-51</v>
      </c>
      <c r="AC444" s="16">
        <f t="shared" si="5"/>
        <v>741.39597914302408</v>
      </c>
      <c r="AD444" s="2"/>
      <c r="AE444" s="16">
        <v>0.80577838794781875</v>
      </c>
      <c r="AF444" s="16">
        <f t="shared" si="6"/>
        <v>2.4653318800909854</v>
      </c>
      <c r="AG444" s="16">
        <f t="shared" si="7"/>
        <v>19.511703459614385</v>
      </c>
      <c r="AH444" s="16">
        <f t="shared" si="8"/>
        <v>173.70625589715067</v>
      </c>
      <c r="AI444" s="16">
        <v>741.39597914302408</v>
      </c>
      <c r="AJ444" s="2"/>
    </row>
    <row r="445" spans="1:3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2">
        <f t="shared" si="9"/>
        <v>42.099999999999596</v>
      </c>
      <c r="X445" s="13">
        <f t="shared" si="0"/>
        <v>0</v>
      </c>
      <c r="Y445" s="13">
        <f t="shared" si="1"/>
        <v>3.2747209107527428E-135</v>
      </c>
      <c r="Z445" s="13">
        <f t="shared" si="2"/>
        <v>1.0369921196539154</v>
      </c>
      <c r="AA445" s="13">
        <f t="shared" si="3"/>
        <v>1.4537416015500786E-230</v>
      </c>
      <c r="AB445" s="13">
        <f t="shared" si="4"/>
        <v>6.6548847564406913E-54</v>
      </c>
      <c r="AC445" s="13">
        <f t="shared" si="5"/>
        <v>564.81886799240965</v>
      </c>
      <c r="AD445" s="2"/>
      <c r="AE445" s="13">
        <v>1.0369921196539063</v>
      </c>
      <c r="AF445" s="13">
        <f t="shared" si="6"/>
        <v>1.6619355671100524</v>
      </c>
      <c r="AG445" s="13">
        <f t="shared" si="7"/>
        <v>13.583126784037413</v>
      </c>
      <c r="AH445" s="13">
        <f t="shared" si="8"/>
        <v>126.46418427167052</v>
      </c>
      <c r="AI445" s="13">
        <v>564.81886799240965</v>
      </c>
      <c r="AJ445" s="2"/>
    </row>
    <row r="446" spans="1:3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5">
        <f t="shared" si="9"/>
        <v>42.149999999999594</v>
      </c>
      <c r="X446" s="16">
        <f t="shared" si="0"/>
        <v>0</v>
      </c>
      <c r="Y446" s="16">
        <f t="shared" si="1"/>
        <v>1.0484664924125788E-130</v>
      </c>
      <c r="Z446" s="16">
        <f t="shared" si="2"/>
        <v>1.4490623807816967</v>
      </c>
      <c r="AA446" s="16">
        <f t="shared" si="3"/>
        <v>1.1090975277026062E-242</v>
      </c>
      <c r="AB446" s="16">
        <f t="shared" si="4"/>
        <v>6.2195815810120729E-57</v>
      </c>
      <c r="AC446" s="16">
        <f t="shared" si="5"/>
        <v>427.30111043576346</v>
      </c>
      <c r="AD446" s="2"/>
      <c r="AE446" s="16">
        <v>1.4490623807816909</v>
      </c>
      <c r="AF446" s="16">
        <f t="shared" si="6"/>
        <v>1.1309262612023749</v>
      </c>
      <c r="AG446" s="16">
        <f t="shared" si="7"/>
        <v>9.3903127469699754</v>
      </c>
      <c r="AH446" s="16">
        <f t="shared" si="8"/>
        <v>91.428030820958654</v>
      </c>
      <c r="AI446" s="16">
        <v>427.30111043576346</v>
      </c>
      <c r="AJ446" s="2"/>
    </row>
    <row r="447" spans="1:3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2">
        <f t="shared" si="9"/>
        <v>42.199999999999591</v>
      </c>
      <c r="X447" s="13">
        <f t="shared" si="0"/>
        <v>0</v>
      </c>
      <c r="Y447" s="13">
        <f t="shared" si="1"/>
        <v>2.8356897934373298E-126</v>
      </c>
      <c r="Z447" s="13">
        <f t="shared" si="2"/>
        <v>2.1033074519415393</v>
      </c>
      <c r="AA447" s="13">
        <f t="shared" si="3"/>
        <v>4.2076326068603864E-255</v>
      </c>
      <c r="AB447" s="13">
        <f t="shared" si="4"/>
        <v>4.881217812710949E-60</v>
      </c>
      <c r="AC447" s="13">
        <f t="shared" si="5"/>
        <v>321.01453917191606</v>
      </c>
      <c r="AD447" s="2"/>
      <c r="AE447" s="13">
        <v>2.1033074519415358</v>
      </c>
      <c r="AF447" s="13">
        <f t="shared" si="6"/>
        <v>0.79291009604674867</v>
      </c>
      <c r="AG447" s="13">
        <f t="shared" si="7"/>
        <v>6.447142149806214</v>
      </c>
      <c r="AH447" s="13">
        <f t="shared" si="8"/>
        <v>65.637341656769436</v>
      </c>
      <c r="AI447" s="13">
        <v>321.01453917191606</v>
      </c>
      <c r="AJ447" s="2"/>
    </row>
    <row r="448" spans="1:3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5">
        <f t="shared" si="9"/>
        <v>42.249999999999588</v>
      </c>
      <c r="X448" s="16">
        <f t="shared" si="0"/>
        <v>0</v>
      </c>
      <c r="Y448" s="16">
        <f t="shared" si="1"/>
        <v>6.4786838336690944E-122</v>
      </c>
      <c r="Z448" s="16">
        <f t="shared" si="2"/>
        <v>3.0947332322819454</v>
      </c>
      <c r="AA448" s="16">
        <f t="shared" si="3"/>
        <v>7.9376408209238046E-268</v>
      </c>
      <c r="AB448" s="16">
        <f t="shared" si="4"/>
        <v>3.2169298846078277E-63</v>
      </c>
      <c r="AC448" s="16">
        <f t="shared" si="5"/>
        <v>239.48661194990297</v>
      </c>
      <c r="AD448" s="2"/>
      <c r="AE448" s="16">
        <v>3.0947332322819427</v>
      </c>
      <c r="AF448" s="16">
        <f t="shared" si="6"/>
        <v>0.59576887804243306</v>
      </c>
      <c r="AG448" s="16">
        <f t="shared" si="7"/>
        <v>4.3967970549532236</v>
      </c>
      <c r="AH448" s="16">
        <f t="shared" si="8"/>
        <v>46.793180233913006</v>
      </c>
      <c r="AI448" s="16">
        <v>239.48661194990297</v>
      </c>
      <c r="AJ448" s="2"/>
    </row>
    <row r="449" spans="1:3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2">
        <f t="shared" si="9"/>
        <v>42.299999999999585</v>
      </c>
      <c r="X449" s="13">
        <f t="shared" si="0"/>
        <v>0</v>
      </c>
      <c r="Y449" s="13">
        <f t="shared" si="1"/>
        <v>1.2503706036031561E-117</v>
      </c>
      <c r="Z449" s="13">
        <f t="shared" si="2"/>
        <v>4.562925701587397</v>
      </c>
      <c r="AA449" s="13">
        <f t="shared" si="3"/>
        <v>7.4461302823763951E-281</v>
      </c>
      <c r="AB449" s="13">
        <f t="shared" si="4"/>
        <v>1.7803336156112499E-66</v>
      </c>
      <c r="AC449" s="13">
        <f t="shared" si="5"/>
        <v>177.42043287150094</v>
      </c>
      <c r="AD449" s="2"/>
      <c r="AE449" s="13">
        <v>4.5629257015873952</v>
      </c>
      <c r="AF449" s="13">
        <f t="shared" si="6"/>
        <v>0.50828636321682974</v>
      </c>
      <c r="AG449" s="13">
        <f t="shared" si="7"/>
        <v>2.9796722392090675</v>
      </c>
      <c r="AH449" s="13">
        <f t="shared" si="8"/>
        <v>33.126419425084578</v>
      </c>
      <c r="AI449" s="13">
        <v>177.42043287150094</v>
      </c>
      <c r="AJ449" s="2"/>
    </row>
    <row r="450" spans="1:3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5">
        <f t="shared" si="9"/>
        <v>42.349999999999582</v>
      </c>
      <c r="X450" s="16">
        <f t="shared" si="0"/>
        <v>0</v>
      </c>
      <c r="Y450" s="16">
        <f t="shared" si="1"/>
        <v>2.0385183496440536E-113</v>
      </c>
      <c r="Z450" s="16">
        <f t="shared" si="2"/>
        <v>6.7074672806161724</v>
      </c>
      <c r="AA450" s="16">
        <f t="shared" si="3"/>
        <v>3.4734045952231734E-294</v>
      </c>
      <c r="AB450" s="16">
        <f t="shared" si="4"/>
        <v>8.2738487606122417E-70</v>
      </c>
      <c r="AC450" s="16">
        <f t="shared" si="5"/>
        <v>130.52445494144297</v>
      </c>
      <c r="AD450" s="2"/>
      <c r="AE450" s="16">
        <v>6.7074672806161715</v>
      </c>
      <c r="AF450" s="16">
        <f t="shared" si="6"/>
        <v>0.51621046099617141</v>
      </c>
      <c r="AG450" s="16">
        <f t="shared" si="7"/>
        <v>2.0086227334989966</v>
      </c>
      <c r="AH450" s="16">
        <f t="shared" si="8"/>
        <v>23.287761217329017</v>
      </c>
      <c r="AI450" s="16">
        <v>130.52445494144297</v>
      </c>
      <c r="AJ450" s="2"/>
    </row>
    <row r="451" spans="1:3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2">
        <f t="shared" si="9"/>
        <v>42.399999999999579</v>
      </c>
      <c r="X451" s="13">
        <f t="shared" si="0"/>
        <v>0</v>
      </c>
      <c r="Y451" s="13">
        <f t="shared" si="1"/>
        <v>2.8074653011851956E-109</v>
      </c>
      <c r="Z451" s="13">
        <f t="shared" si="2"/>
        <v>9.8090406332118576</v>
      </c>
      <c r="AA451" s="13">
        <f t="shared" si="3"/>
        <v>8.056857357105923E-308</v>
      </c>
      <c r="AB451" s="13">
        <f t="shared" si="4"/>
        <v>3.2289413239646685E-73</v>
      </c>
      <c r="AC451" s="13">
        <f t="shared" si="5"/>
        <v>95.355556880325423</v>
      </c>
      <c r="AD451" s="2"/>
      <c r="AE451" s="13">
        <v>9.8090406332118558</v>
      </c>
      <c r="AF451" s="13">
        <f t="shared" si="6"/>
        <v>0.62039972464987236</v>
      </c>
      <c r="AG451" s="13">
        <f t="shared" si="7"/>
        <v>1.3500994126293668</v>
      </c>
      <c r="AH451" s="13">
        <f t="shared" si="8"/>
        <v>16.257157142691288</v>
      </c>
      <c r="AI451" s="13">
        <v>95.355556880325423</v>
      </c>
      <c r="AJ451" s="2"/>
    </row>
    <row r="452" spans="1:3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5">
        <f t="shared" si="9"/>
        <v>42.449999999999577</v>
      </c>
      <c r="X452" s="16">
        <f t="shared" si="0"/>
        <v>0</v>
      </c>
      <c r="Y452" s="16">
        <f t="shared" si="1"/>
        <v>3.2661646302956395E-105</v>
      </c>
      <c r="Z452" s="16">
        <f t="shared" si="2"/>
        <v>14.257713843820884</v>
      </c>
      <c r="AA452" s="16">
        <f t="shared" si="3"/>
        <v>0</v>
      </c>
      <c r="AB452" s="16">
        <f t="shared" si="4"/>
        <v>1.0581789482079184E-76</v>
      </c>
      <c r="AC452" s="16">
        <f t="shared" si="5"/>
        <v>69.177681581516524</v>
      </c>
      <c r="AD452" s="2"/>
      <c r="AE452" s="16">
        <v>14.257713843820882</v>
      </c>
      <c r="AF452" s="16">
        <f t="shared" si="6"/>
        <v>0.83688288884742024</v>
      </c>
      <c r="AG452" s="16">
        <f t="shared" si="7"/>
        <v>0.9099600203739554</v>
      </c>
      <c r="AH452" s="16">
        <f t="shared" si="8"/>
        <v>11.270175872459276</v>
      </c>
      <c r="AI452" s="16">
        <v>69.177681581516524</v>
      </c>
      <c r="AJ452" s="2"/>
    </row>
    <row r="453" spans="1:3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2">
        <f t="shared" si="9"/>
        <v>42.499999999999574</v>
      </c>
      <c r="X453" s="13">
        <f t="shared" si="0"/>
        <v>0</v>
      </c>
      <c r="Y453" s="13">
        <f t="shared" si="1"/>
        <v>3.209856724023425E-101</v>
      </c>
      <c r="Z453" s="13">
        <f t="shared" si="2"/>
        <v>20.590266123573173</v>
      </c>
      <c r="AA453" s="13">
        <f t="shared" si="3"/>
        <v>0</v>
      </c>
      <c r="AB453" s="13">
        <f t="shared" si="4"/>
        <v>2.9120878375816352E-80</v>
      </c>
      <c r="AC453" s="13">
        <f t="shared" si="5"/>
        <v>49.837001964455226</v>
      </c>
      <c r="AD453" s="2"/>
      <c r="AE453" s="13">
        <v>20.590266123573173</v>
      </c>
      <c r="AF453" s="13">
        <f t="shared" si="6"/>
        <v>1.1988332209421715</v>
      </c>
      <c r="AG453" s="13">
        <f t="shared" si="7"/>
        <v>0.62296308569459102</v>
      </c>
      <c r="AH453" s="13">
        <f t="shared" si="8"/>
        <v>7.7588900111318884</v>
      </c>
      <c r="AI453" s="13">
        <v>49.837001964455226</v>
      </c>
      <c r="AJ453" s="2"/>
    </row>
    <row r="454" spans="1:3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5">
        <f t="shared" si="9"/>
        <v>42.549999999999571</v>
      </c>
      <c r="X454" s="16">
        <f t="shared" si="0"/>
        <v>0</v>
      </c>
      <c r="Y454" s="16">
        <f t="shared" si="1"/>
        <v>2.6647540171428966E-97</v>
      </c>
      <c r="Z454" s="16">
        <f t="shared" si="2"/>
        <v>29.538810129397223</v>
      </c>
      <c r="AA454" s="16">
        <f t="shared" si="3"/>
        <v>0</v>
      </c>
      <c r="AB454" s="16">
        <f t="shared" si="4"/>
        <v>6.7297078775793911E-84</v>
      </c>
      <c r="AC454" s="16">
        <f t="shared" si="5"/>
        <v>35.65363392886411</v>
      </c>
      <c r="AD454" s="2"/>
      <c r="AE454" s="16">
        <v>29.538810129397223</v>
      </c>
      <c r="AF454" s="16">
        <f t="shared" si="6"/>
        <v>1.760632688308698</v>
      </c>
      <c r="AG454" s="16">
        <f t="shared" si="7"/>
        <v>0.44515235123595009</v>
      </c>
      <c r="AH454" s="16">
        <f t="shared" si="8"/>
        <v>5.3049861637786764</v>
      </c>
      <c r="AI454" s="16">
        <v>35.65363392886411</v>
      </c>
      <c r="AJ454" s="2"/>
    </row>
    <row r="455" spans="1:3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2">
        <f t="shared" si="9"/>
        <v>42.599999999999568</v>
      </c>
      <c r="X455" s="13">
        <f t="shared" si="0"/>
        <v>0</v>
      </c>
      <c r="Y455" s="13">
        <f t="shared" si="1"/>
        <v>1.868755593319521E-93</v>
      </c>
      <c r="Z455" s="13">
        <f t="shared" si="2"/>
        <v>42.093386682756567</v>
      </c>
      <c r="AA455" s="13">
        <f t="shared" si="3"/>
        <v>0</v>
      </c>
      <c r="AB455" s="13">
        <f t="shared" si="4"/>
        <v>1.3059734387787144E-87</v>
      </c>
      <c r="AC455" s="13">
        <f t="shared" si="5"/>
        <v>25.329223050366203</v>
      </c>
      <c r="AD455" s="2"/>
      <c r="AE455" s="13">
        <v>42.093386682756567</v>
      </c>
      <c r="AF455" s="13">
        <f t="shared" si="6"/>
        <v>2.6043821349409897</v>
      </c>
      <c r="AG455" s="13">
        <f t="shared" si="7"/>
        <v>0.34851830761511626</v>
      </c>
      <c r="AH455" s="13">
        <f t="shared" si="8"/>
        <v>3.6030023735682586</v>
      </c>
      <c r="AI455" s="13">
        <v>25.329223050366203</v>
      </c>
      <c r="AJ455" s="2"/>
    </row>
    <row r="456" spans="1:3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5">
        <f t="shared" si="9"/>
        <v>42.649999999999565</v>
      </c>
      <c r="X456" s="16">
        <f t="shared" si="0"/>
        <v>0</v>
      </c>
      <c r="Y456" s="16">
        <f t="shared" si="1"/>
        <v>1.1070616013528761E-89</v>
      </c>
      <c r="Z456" s="16">
        <f t="shared" si="2"/>
        <v>59.581633857114547</v>
      </c>
      <c r="AA456" s="16">
        <f t="shared" si="3"/>
        <v>0</v>
      </c>
      <c r="AB456" s="16">
        <f t="shared" si="4"/>
        <v>2.1282314893742496E-91</v>
      </c>
      <c r="AC456" s="16">
        <f t="shared" si="5"/>
        <v>17.869260045271901</v>
      </c>
      <c r="AD456" s="2"/>
      <c r="AE456" s="16">
        <v>59.581633857114547</v>
      </c>
      <c r="AF456" s="16">
        <f t="shared" si="6"/>
        <v>3.8494102591483044</v>
      </c>
      <c r="AG456" s="16">
        <f t="shared" si="7"/>
        <v>0.31748237368065801</v>
      </c>
      <c r="AH456" s="16">
        <f t="shared" si="8"/>
        <v>2.4318342843382283</v>
      </c>
      <c r="AI456" s="16">
        <v>17.869260045271901</v>
      </c>
      <c r="AJ456" s="2"/>
    </row>
    <row r="457" spans="1:3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2">
        <f t="shared" si="9"/>
        <v>42.699999999999562</v>
      </c>
      <c r="X457" s="13">
        <f t="shared" si="0"/>
        <v>0</v>
      </c>
      <c r="Y457" s="13">
        <f t="shared" si="1"/>
        <v>5.540066416711254E-86</v>
      </c>
      <c r="Z457" s="13">
        <f t="shared" si="2"/>
        <v>83.769039845586022</v>
      </c>
      <c r="AA457" s="13">
        <f t="shared" si="3"/>
        <v>0</v>
      </c>
      <c r="AB457" s="13">
        <f t="shared" si="4"/>
        <v>2.9123916305028679E-95</v>
      </c>
      <c r="AC457" s="13">
        <f t="shared" si="5"/>
        <v>12.518693873275781</v>
      </c>
      <c r="AD457" s="2"/>
      <c r="AE457" s="13">
        <v>83.769039845586022</v>
      </c>
      <c r="AF457" s="13">
        <f t="shared" si="6"/>
        <v>5.665552953045637</v>
      </c>
      <c r="AG457" s="13">
        <f t="shared" si="7"/>
        <v>0.34689112851456172</v>
      </c>
      <c r="AH457" s="13">
        <f t="shared" si="8"/>
        <v>1.6329024911334094</v>
      </c>
      <c r="AI457" s="13">
        <v>12.518693873275781</v>
      </c>
      <c r="AJ457" s="2"/>
    </row>
    <row r="458" spans="1:3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5">
        <f t="shared" si="9"/>
        <v>42.749999999999559</v>
      </c>
      <c r="X458" s="16">
        <f t="shared" si="0"/>
        <v>0</v>
      </c>
      <c r="Y458" s="16">
        <f t="shared" si="1"/>
        <v>2.3419739336595324E-82</v>
      </c>
      <c r="Z458" s="16">
        <f t="shared" si="2"/>
        <v>116.983642081577</v>
      </c>
      <c r="AA458" s="16">
        <f t="shared" si="3"/>
        <v>0</v>
      </c>
      <c r="AB458" s="16">
        <f t="shared" si="4"/>
        <v>3.3467792908716491E-99</v>
      </c>
      <c r="AC458" s="16">
        <f t="shared" si="5"/>
        <v>8.7092737462010028</v>
      </c>
      <c r="AD458" s="2"/>
      <c r="AE458" s="16">
        <v>116.983642081577</v>
      </c>
      <c r="AF458" s="16">
        <f t="shared" si="6"/>
        <v>8.2912210654659599</v>
      </c>
      <c r="AG458" s="16">
        <f t="shared" si="7"/>
        <v>0.44133696733420397</v>
      </c>
      <c r="AH458" s="16">
        <f t="shared" si="8"/>
        <v>1.0936217534461798</v>
      </c>
      <c r="AI458" s="16">
        <v>8.7092737462010028</v>
      </c>
      <c r="AJ458" s="2"/>
    </row>
    <row r="459" spans="1:3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2">
        <f t="shared" si="9"/>
        <v>42.799999999999557</v>
      </c>
      <c r="X459" s="13">
        <f t="shared" si="0"/>
        <v>0</v>
      </c>
      <c r="Y459" s="13">
        <f t="shared" si="1"/>
        <v>8.3632108220338129E-79</v>
      </c>
      <c r="Z459" s="13">
        <f t="shared" si="2"/>
        <v>162.26928650814295</v>
      </c>
      <c r="AA459" s="13">
        <f t="shared" si="3"/>
        <v>0</v>
      </c>
      <c r="AB459" s="13">
        <f t="shared" si="4"/>
        <v>3.2296150541115268E-103</v>
      </c>
      <c r="AC459" s="13">
        <f t="shared" si="5"/>
        <v>6.0170271163760214</v>
      </c>
      <c r="AD459" s="2"/>
      <c r="AE459" s="13">
        <v>162.26928650814295</v>
      </c>
      <c r="AF459" s="13">
        <f t="shared" si="6"/>
        <v>12.05755259578855</v>
      </c>
      <c r="AG459" s="13">
        <f t="shared" si="7"/>
        <v>0.61574262382511136</v>
      </c>
      <c r="AH459" s="13">
        <f t="shared" si="8"/>
        <v>0.73504700971593184</v>
      </c>
      <c r="AI459" s="13">
        <v>6.0170271163760214</v>
      </c>
      <c r="AJ459" s="2"/>
    </row>
    <row r="460" spans="1:3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5">
        <f t="shared" si="9"/>
        <v>42.849999999999554</v>
      </c>
      <c r="X460" s="16">
        <f t="shared" si="0"/>
        <v>0</v>
      </c>
      <c r="Y460" s="16">
        <f t="shared" si="1"/>
        <v>2.522829695852018E-75</v>
      </c>
      <c r="Z460" s="16">
        <f t="shared" si="2"/>
        <v>223.57165116051851</v>
      </c>
      <c r="AA460" s="16">
        <f t="shared" si="3"/>
        <v>0</v>
      </c>
      <c r="AB460" s="16">
        <f t="shared" si="4"/>
        <v>2.6171031346414828E-107</v>
      </c>
      <c r="AC460" s="16">
        <f t="shared" si="5"/>
        <v>4.128338293515613</v>
      </c>
      <c r="AD460" s="2"/>
      <c r="AE460" s="16">
        <v>223.57165116051851</v>
      </c>
      <c r="AF460" s="16">
        <f t="shared" si="6"/>
        <v>17.420255761969365</v>
      </c>
      <c r="AG460" s="16">
        <f t="shared" si="7"/>
        <v>0.89726568436191512</v>
      </c>
      <c r="AH460" s="16">
        <f t="shared" si="8"/>
        <v>0.50278507063359967</v>
      </c>
      <c r="AI460" s="16">
        <v>4.1283382935156139</v>
      </c>
      <c r="AJ460" s="2"/>
    </row>
    <row r="461" spans="1:3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2">
        <f t="shared" si="9"/>
        <v>42.899999999999551</v>
      </c>
      <c r="X461" s="13">
        <f t="shared" si="0"/>
        <v>4.8146503361250045E-304</v>
      </c>
      <c r="Y461" s="13">
        <f t="shared" si="1"/>
        <v>6.4287527918917617E-72</v>
      </c>
      <c r="Z461" s="13">
        <f t="shared" si="2"/>
        <v>305.9610957900876</v>
      </c>
      <c r="AA461" s="13">
        <f t="shared" si="3"/>
        <v>0</v>
      </c>
      <c r="AB461" s="13">
        <f t="shared" si="4"/>
        <v>1.7808908541333241E-111</v>
      </c>
      <c r="AC461" s="13">
        <f t="shared" si="5"/>
        <v>2.8132045833169408</v>
      </c>
      <c r="AD461" s="2"/>
      <c r="AE461" s="13">
        <v>305.9610957900876</v>
      </c>
      <c r="AF461" s="13">
        <f t="shared" si="6"/>
        <v>25.001089683646736</v>
      </c>
      <c r="AG461" s="13">
        <f t="shared" si="7"/>
        <v>1.3287012802112319</v>
      </c>
      <c r="AH461" s="13">
        <f t="shared" si="8"/>
        <v>0.36045178997412164</v>
      </c>
      <c r="AI461" s="13">
        <v>2.8132045833169408</v>
      </c>
      <c r="AJ461" s="2"/>
    </row>
    <row r="462" spans="1:3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5">
        <f t="shared" si="9"/>
        <v>42.949999999999548</v>
      </c>
      <c r="X462" s="16">
        <f t="shared" si="0"/>
        <v>1.033750008166585E-290</v>
      </c>
      <c r="Y462" s="16">
        <f t="shared" si="1"/>
        <v>1.3838512788991958E-68</v>
      </c>
      <c r="Z462" s="16">
        <f t="shared" si="2"/>
        <v>415.89594196509324</v>
      </c>
      <c r="AA462" s="16">
        <f t="shared" si="3"/>
        <v>0</v>
      </c>
      <c r="AB462" s="16">
        <f t="shared" si="4"/>
        <v>1.0176540342759715E-115</v>
      </c>
      <c r="AC462" s="16">
        <f t="shared" si="5"/>
        <v>1.9043915971320733</v>
      </c>
      <c r="AD462" s="2"/>
      <c r="AE462" s="16">
        <v>415.89594196509324</v>
      </c>
      <c r="AF462" s="16">
        <f t="shared" si="6"/>
        <v>35.641292095705268</v>
      </c>
      <c r="AG462" s="16">
        <f t="shared" si="7"/>
        <v>1.9736923850529642</v>
      </c>
      <c r="AH462" s="16">
        <f t="shared" si="8"/>
        <v>0.28512251187186655</v>
      </c>
      <c r="AI462" s="16">
        <v>1.9043915971320733</v>
      </c>
      <c r="AJ462" s="2"/>
    </row>
    <row r="463" spans="1:3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2">
        <f t="shared" si="9"/>
        <v>42.999999999999545</v>
      </c>
      <c r="X463" s="13">
        <f t="shared" si="0"/>
        <v>1.1302171882925867E-277</v>
      </c>
      <c r="Y463" s="13">
        <f t="shared" si="1"/>
        <v>2.5163787837441271E-65</v>
      </c>
      <c r="Z463" s="13">
        <f t="shared" si="2"/>
        <v>561.52892617598809</v>
      </c>
      <c r="AA463" s="13">
        <f t="shared" si="3"/>
        <v>0</v>
      </c>
      <c r="AB463" s="13">
        <f t="shared" si="4"/>
        <v>4.8832549923034861E-120</v>
      </c>
      <c r="AC463" s="13">
        <f t="shared" si="5"/>
        <v>1.2813693842480105</v>
      </c>
      <c r="AD463" s="2"/>
      <c r="AE463" s="13">
        <v>561.52892617598809</v>
      </c>
      <c r="AF463" s="13">
        <f t="shared" si="6"/>
        <v>50.46963489422199</v>
      </c>
      <c r="AG463" s="13">
        <f t="shared" si="7"/>
        <v>2.9242031790625038</v>
      </c>
      <c r="AH463" s="13">
        <f t="shared" si="8"/>
        <v>0.26437079997808588</v>
      </c>
      <c r="AI463" s="13">
        <v>1.2813693842480107</v>
      </c>
      <c r="AJ463" s="2"/>
    </row>
    <row r="464" spans="1:3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5">
        <f t="shared" si="9"/>
        <v>43.049999999999542</v>
      </c>
      <c r="X464" s="16">
        <f t="shared" si="0"/>
        <v>6.2922199771992638E-265</v>
      </c>
      <c r="Y464" s="16">
        <f t="shared" si="1"/>
        <v>3.8653294197666408E-62</v>
      </c>
      <c r="Z464" s="16">
        <f t="shared" si="2"/>
        <v>753.05820946439985</v>
      </c>
      <c r="AA464" s="16">
        <f t="shared" si="3"/>
        <v>0</v>
      </c>
      <c r="AB464" s="16">
        <f t="shared" si="4"/>
        <v>1.9677278660590914E-124</v>
      </c>
      <c r="AC464" s="16">
        <f t="shared" si="5"/>
        <v>0.8580735434933765</v>
      </c>
      <c r="AD464" s="2"/>
      <c r="AE464" s="16">
        <v>753.05820946439985</v>
      </c>
      <c r="AF464" s="16">
        <f t="shared" si="6"/>
        <v>70.988147184681154</v>
      </c>
      <c r="AG464" s="16">
        <f t="shared" si="7"/>
        <v>4.3108769104972131</v>
      </c>
      <c r="AH464" s="16">
        <f t="shared" si="8"/>
        <v>0.29462041333998501</v>
      </c>
      <c r="AI464" s="16">
        <v>0.85807354349337694</v>
      </c>
      <c r="AJ464" s="2"/>
    </row>
    <row r="465" spans="1:3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2">
        <f t="shared" si="9"/>
        <v>43.09999999999954</v>
      </c>
      <c r="X465" s="13">
        <f t="shared" si="0"/>
        <v>1.783780838794075E-252</v>
      </c>
      <c r="Y465" s="13">
        <f t="shared" si="1"/>
        <v>5.0155771084928219E-59</v>
      </c>
      <c r="Z465" s="13">
        <f t="shared" si="2"/>
        <v>1003.1223827610701</v>
      </c>
      <c r="AA465" s="13">
        <f t="shared" si="3"/>
        <v>0</v>
      </c>
      <c r="AB465" s="13">
        <f t="shared" si="4"/>
        <v>6.658356713420628E-129</v>
      </c>
      <c r="AC465" s="13">
        <f t="shared" si="5"/>
        <v>0.57369169995194635</v>
      </c>
      <c r="AD465" s="2"/>
      <c r="AE465" s="13">
        <v>1003.1223827610701</v>
      </c>
      <c r="AF465" s="13">
        <f t="shared" si="6"/>
        <v>99.17886172930163</v>
      </c>
      <c r="AG465" s="13">
        <f t="shared" si="7"/>
        <v>6.3170899001061267</v>
      </c>
      <c r="AH465" s="13">
        <f t="shared" si="8"/>
        <v>0.38065270329470224</v>
      </c>
      <c r="AI465" s="13">
        <v>0.57369169995194702</v>
      </c>
      <c r="AJ465" s="2"/>
    </row>
    <row r="466" spans="1:3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5">
        <f t="shared" si="9"/>
        <v>43.149999999999537</v>
      </c>
      <c r="X466" s="16">
        <f t="shared" si="0"/>
        <v>2.5749849758822488E-240</v>
      </c>
      <c r="Y466" s="16">
        <f t="shared" si="1"/>
        <v>5.4976769018822451E-56</v>
      </c>
      <c r="Z466" s="16">
        <f t="shared" si="2"/>
        <v>1327.2363027044871</v>
      </c>
      <c r="AA466" s="16">
        <f t="shared" si="3"/>
        <v>0</v>
      </c>
      <c r="AB466" s="16">
        <f t="shared" si="4"/>
        <v>1.8919753318428306E-133</v>
      </c>
      <c r="AC466" s="16">
        <f t="shared" si="5"/>
        <v>0.38582022414431372</v>
      </c>
      <c r="AD466" s="2"/>
      <c r="AE466" s="16">
        <v>1327.2363027044871</v>
      </c>
      <c r="AF466" s="16">
        <f t="shared" si="6"/>
        <v>137.63517416690863</v>
      </c>
      <c r="AG466" s="16">
        <f t="shared" si="7"/>
        <v>9.1977307816917229</v>
      </c>
      <c r="AH466" s="16">
        <f t="shared" si="8"/>
        <v>0.53622116832631539</v>
      </c>
      <c r="AI466" s="16">
        <v>0.38582022414431472</v>
      </c>
      <c r="AJ466" s="2"/>
    </row>
    <row r="467" spans="1:3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2">
        <f t="shared" si="9"/>
        <v>43.199999999999534</v>
      </c>
      <c r="X467" s="13">
        <f t="shared" si="0"/>
        <v>1.8927947039992468E-228</v>
      </c>
      <c r="Y467" s="13">
        <f t="shared" si="1"/>
        <v>5.0905114188356729E-53</v>
      </c>
      <c r="Z467" s="13">
        <f t="shared" si="2"/>
        <v>1744.261278230915</v>
      </c>
      <c r="AA467" s="13">
        <f t="shared" si="3"/>
        <v>0</v>
      </c>
      <c r="AB467" s="13">
        <f t="shared" si="4"/>
        <v>4.5145063696400587E-138</v>
      </c>
      <c r="AC467" s="13">
        <f t="shared" si="5"/>
        <v>0.26546602674289843</v>
      </c>
      <c r="AD467" s="2"/>
      <c r="AE467" s="13">
        <v>1744.261278230915</v>
      </c>
      <c r="AF467" s="13">
        <f t="shared" si="6"/>
        <v>189.72150436591338</v>
      </c>
      <c r="AG467" s="13">
        <f t="shared" si="7"/>
        <v>13.303979791659227</v>
      </c>
      <c r="AH467" s="13">
        <f t="shared" si="8"/>
        <v>0.78583228031767915</v>
      </c>
      <c r="AI467" s="13">
        <v>0.26546602674289987</v>
      </c>
      <c r="AJ467" s="2"/>
    </row>
    <row r="468" spans="1:3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5">
        <f t="shared" si="9"/>
        <v>43.249999999999531</v>
      </c>
      <c r="X468" s="16">
        <f t="shared" si="0"/>
        <v>7.0848055093775789E-217</v>
      </c>
      <c r="Y468" s="16">
        <f t="shared" si="1"/>
        <v>3.9816907030056417E-50</v>
      </c>
      <c r="Z468" s="16">
        <f t="shared" si="2"/>
        <v>2276.899091469109</v>
      </c>
      <c r="AA468" s="16">
        <f t="shared" si="3"/>
        <v>0</v>
      </c>
      <c r="AB468" s="16">
        <f t="shared" si="4"/>
        <v>9.045893277656088E-143</v>
      </c>
      <c r="AC468" s="16">
        <f t="shared" si="5"/>
        <v>0.19348293718440185</v>
      </c>
      <c r="AD468" s="2"/>
      <c r="AE468" s="16">
        <v>2276.899091469109</v>
      </c>
      <c r="AF468" s="16">
        <f t="shared" si="6"/>
        <v>259.76485447477853</v>
      </c>
      <c r="AG468" s="16">
        <f t="shared" si="7"/>
        <v>19.115635208425175</v>
      </c>
      <c r="AH468" s="16">
        <f t="shared" si="8"/>
        <v>1.1678625183060489</v>
      </c>
      <c r="AI468" s="16">
        <v>0.19348293718440415</v>
      </c>
      <c r="AJ468" s="2"/>
    </row>
    <row r="469" spans="1:3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2">
        <f t="shared" si="9"/>
        <v>43.299999999999528</v>
      </c>
      <c r="X469" s="13">
        <f t="shared" si="0"/>
        <v>1.3503550121988842E-205</v>
      </c>
      <c r="Y469" s="13">
        <f t="shared" si="1"/>
        <v>2.6308587291558531E-47</v>
      </c>
      <c r="Z469" s="13">
        <f t="shared" si="2"/>
        <v>2952.1946170218748</v>
      </c>
      <c r="AA469" s="13">
        <f t="shared" si="3"/>
        <v>0</v>
      </c>
      <c r="AB469" s="13">
        <f t="shared" si="4"/>
        <v>1.5220854636659345E-147</v>
      </c>
      <c r="AC469" s="13">
        <f t="shared" si="5"/>
        <v>0.15813234882182392</v>
      </c>
      <c r="AD469" s="2"/>
      <c r="AE469" s="13">
        <v>2952.1946170218748</v>
      </c>
      <c r="AF469" s="13">
        <f t="shared" si="6"/>
        <v>353.28149789668339</v>
      </c>
      <c r="AG469" s="13">
        <f t="shared" si="7"/>
        <v>27.282827511242495</v>
      </c>
      <c r="AH469" s="13">
        <f t="shared" si="8"/>
        <v>1.7393014591916796</v>
      </c>
      <c r="AI469" s="13">
        <v>0.15813234882182745</v>
      </c>
      <c r="AJ469" s="2"/>
    </row>
    <row r="470" spans="1:3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5">
        <f t="shared" si="9"/>
        <v>43.349999999999525</v>
      </c>
      <c r="X470" s="16">
        <f t="shared" si="0"/>
        <v>1.3105801826862298E-194</v>
      </c>
      <c r="Y470" s="16">
        <f t="shared" si="1"/>
        <v>1.4684238752074529E-44</v>
      </c>
      <c r="Z470" s="16">
        <f t="shared" si="2"/>
        <v>3802.026506895324</v>
      </c>
      <c r="AA470" s="16">
        <f t="shared" si="3"/>
        <v>0</v>
      </c>
      <c r="AB470" s="16">
        <f t="shared" si="4"/>
        <v>2.1573199410892887E-152</v>
      </c>
      <c r="AC470" s="16">
        <f t="shared" si="5"/>
        <v>0.15354535493267868</v>
      </c>
      <c r="AD470" s="2"/>
      <c r="AE470" s="16">
        <v>3802.026506895324</v>
      </c>
      <c r="AF470" s="16">
        <f t="shared" si="6"/>
        <v>477.24132972539155</v>
      </c>
      <c r="AG470" s="16">
        <f t="shared" si="7"/>
        <v>38.679266333444303</v>
      </c>
      <c r="AH470" s="16">
        <f t="shared" si="8"/>
        <v>2.5825452638880466</v>
      </c>
      <c r="AI470" s="16">
        <v>0.15354535493268406</v>
      </c>
      <c r="AJ470" s="2"/>
    </row>
    <row r="471" spans="1:3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2">
        <f t="shared" si="9"/>
        <v>43.399999999999523</v>
      </c>
      <c r="X471" s="13">
        <f t="shared" si="0"/>
        <v>6.4770140682617708E-184</v>
      </c>
      <c r="Y471" s="13">
        <f t="shared" si="1"/>
        <v>6.9235566178949932E-42</v>
      </c>
      <c r="Z471" s="13">
        <f t="shared" si="2"/>
        <v>4863.5597176818392</v>
      </c>
      <c r="AA471" s="13">
        <f t="shared" si="3"/>
        <v>0</v>
      </c>
      <c r="AB471" s="13">
        <f t="shared" si="4"/>
        <v>4.039489092803326E-150</v>
      </c>
      <c r="AC471" s="13">
        <f t="shared" si="5"/>
        <v>0.1789411289571233</v>
      </c>
      <c r="AD471" s="2"/>
      <c r="AE471" s="13">
        <v>4863.5597176818392</v>
      </c>
      <c r="AF471" s="13">
        <f t="shared" si="6"/>
        <v>640.3712812917787</v>
      </c>
      <c r="AG471" s="13">
        <f t="shared" si="7"/>
        <v>54.469464785974836</v>
      </c>
      <c r="AH471" s="13">
        <f t="shared" si="8"/>
        <v>3.8148190664149588</v>
      </c>
      <c r="AI471" s="13">
        <v>0.17894112895713163</v>
      </c>
      <c r="AJ471" s="2"/>
    </row>
    <row r="472" spans="1:3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5">
        <f t="shared" si="9"/>
        <v>43.44999999999952</v>
      </c>
      <c r="X472" s="16">
        <f t="shared" si="0"/>
        <v>1.6299778087212045E-173</v>
      </c>
      <c r="Y472" s="16">
        <f t="shared" si="1"/>
        <v>2.7575980346700142E-39</v>
      </c>
      <c r="Z472" s="16">
        <f t="shared" si="2"/>
        <v>6179.6278431297987</v>
      </c>
      <c r="AA472" s="16">
        <f t="shared" si="3"/>
        <v>0</v>
      </c>
      <c r="AB472" s="16">
        <f t="shared" si="4"/>
        <v>2.0754154304620402E-145</v>
      </c>
      <c r="AC472" s="16">
        <f t="shared" si="5"/>
        <v>0.23852694262457652</v>
      </c>
      <c r="AD472" s="2"/>
      <c r="AE472" s="16">
        <v>6179.6278431297987</v>
      </c>
      <c r="AF472" s="16">
        <f t="shared" si="6"/>
        <v>853.49757134396214</v>
      </c>
      <c r="AG472" s="16">
        <f t="shared" si="7"/>
        <v>76.192657164463881</v>
      </c>
      <c r="AH472" s="16">
        <f t="shared" si="8"/>
        <v>5.6009850386480755</v>
      </c>
      <c r="AI472" s="16">
        <v>0.2385269426245894</v>
      </c>
      <c r="AJ472" s="2"/>
    </row>
    <row r="473" spans="1:3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2">
        <f t="shared" si="9"/>
        <v>43.499999999999517</v>
      </c>
      <c r="X473" s="13">
        <f t="shared" si="0"/>
        <v>2.0887388803847268E-163</v>
      </c>
      <c r="Y473" s="13">
        <f t="shared" si="1"/>
        <v>9.2780471594107998E-37</v>
      </c>
      <c r="Z473" s="13">
        <f t="shared" si="2"/>
        <v>7799.0076415672693</v>
      </c>
      <c r="AA473" s="13">
        <f t="shared" si="3"/>
        <v>0</v>
      </c>
      <c r="AB473" s="13">
        <f t="shared" si="4"/>
        <v>9.0240806932445935E-141</v>
      </c>
      <c r="AC473" s="13">
        <f t="shared" si="5"/>
        <v>0.34207242227312512</v>
      </c>
      <c r="AD473" s="2"/>
      <c r="AE473" s="13">
        <v>7799.0076415672693</v>
      </c>
      <c r="AF473" s="13">
        <f t="shared" si="6"/>
        <v>1129.9243665447875</v>
      </c>
      <c r="AG473" s="13">
        <f t="shared" si="7"/>
        <v>105.86633838290112</v>
      </c>
      <c r="AH473" s="13">
        <f t="shared" si="8"/>
        <v>8.170698567357018</v>
      </c>
      <c r="AI473" s="13">
        <v>0.34207242227314433</v>
      </c>
      <c r="AJ473" s="2"/>
    </row>
    <row r="474" spans="1:3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5">
        <f t="shared" si="9"/>
        <v>43.549999999999514</v>
      </c>
      <c r="X474" s="16">
        <f t="shared" si="0"/>
        <v>1.3629571986664251E-153</v>
      </c>
      <c r="Y474" s="16">
        <f t="shared" si="1"/>
        <v>2.6369754853034217E-34</v>
      </c>
      <c r="Z474" s="16">
        <f t="shared" si="2"/>
        <v>9776.5432650253551</v>
      </c>
      <c r="AA474" s="16">
        <f t="shared" si="3"/>
        <v>0</v>
      </c>
      <c r="AB474" s="16">
        <f t="shared" si="4"/>
        <v>3.3206277942655921E-136</v>
      </c>
      <c r="AC474" s="16">
        <f t="shared" si="5"/>
        <v>0.50621808644478083</v>
      </c>
      <c r="AD474" s="2"/>
      <c r="AE474" s="16">
        <v>9776.5432650253551</v>
      </c>
      <c r="AF474" s="16">
        <f t="shared" si="6"/>
        <v>1485.8436071271665</v>
      </c>
      <c r="AG474" s="16">
        <f t="shared" si="7"/>
        <v>146.11246702622461</v>
      </c>
      <c r="AH474" s="16">
        <f t="shared" si="8"/>
        <v>11.841109661550046</v>
      </c>
      <c r="AI474" s="16">
        <v>0.50621808644480926</v>
      </c>
      <c r="AJ474" s="2"/>
    </row>
    <row r="475" spans="1:3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2">
        <f t="shared" si="9"/>
        <v>43.599999999999511</v>
      </c>
      <c r="X475" s="13">
        <f t="shared" si="0"/>
        <v>4.5287244033992602E-144</v>
      </c>
      <c r="Y475" s="13">
        <f t="shared" si="1"/>
        <v>6.331104923879052E-32</v>
      </c>
      <c r="Z475" s="13">
        <f t="shared" si="2"/>
        <v>12173.074033230265</v>
      </c>
      <c r="AA475" s="13">
        <f t="shared" si="3"/>
        <v>0</v>
      </c>
      <c r="AB475" s="13">
        <f t="shared" si="4"/>
        <v>1.0340861634764337E-131</v>
      </c>
      <c r="AC475" s="13">
        <f t="shared" si="5"/>
        <v>0.75664968831149237</v>
      </c>
      <c r="AD475" s="2"/>
      <c r="AE475" s="13">
        <v>12173.074033230265</v>
      </c>
      <c r="AF475" s="13">
        <f t="shared" si="6"/>
        <v>1940.7673037563516</v>
      </c>
      <c r="AG475" s="13">
        <f t="shared" si="7"/>
        <v>200.3093402711462</v>
      </c>
      <c r="AH475" s="13">
        <f t="shared" si="8"/>
        <v>17.046569611856633</v>
      </c>
      <c r="AI475" s="13">
        <v>0.75664968831153512</v>
      </c>
      <c r="AJ475" s="2"/>
    </row>
    <row r="476" spans="1:3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5">
        <f t="shared" si="9"/>
        <v>43.649999999999508</v>
      </c>
      <c r="X476" s="16">
        <f t="shared" si="0"/>
        <v>7.6624062642862752E-135</v>
      </c>
      <c r="Y476" s="16">
        <f t="shared" si="1"/>
        <v>1.2840349107447663E-29</v>
      </c>
      <c r="Z476" s="16">
        <f t="shared" si="2"/>
        <v>15055.117733136545</v>
      </c>
      <c r="AA476" s="16">
        <f t="shared" si="3"/>
        <v>0</v>
      </c>
      <c r="AB476" s="16">
        <f t="shared" si="4"/>
        <v>2.7252889501229339E-127</v>
      </c>
      <c r="AC476" s="16">
        <f t="shared" si="5"/>
        <v>1.1313492650566821</v>
      </c>
      <c r="AD476" s="2"/>
      <c r="AE476" s="16">
        <v>15055.117733136545</v>
      </c>
      <c r="AF476" s="16">
        <f t="shared" si="6"/>
        <v>2517.9695564525227</v>
      </c>
      <c r="AG476" s="16">
        <f t="shared" si="7"/>
        <v>272.77191160093378</v>
      </c>
      <c r="AH476" s="16">
        <f t="shared" si="8"/>
        <v>24.377089949489193</v>
      </c>
      <c r="AI476" s="16">
        <v>1.1313492650567445</v>
      </c>
      <c r="AJ476" s="2"/>
    </row>
    <row r="477" spans="1:3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2">
        <f t="shared" si="9"/>
        <v>43.699999999999505</v>
      </c>
      <c r="X477" s="13">
        <f t="shared" si="0"/>
        <v>6.6016130506438909E-126</v>
      </c>
      <c r="Y477" s="13">
        <f t="shared" si="1"/>
        <v>2.1998752525292465E-27</v>
      </c>
      <c r="Z477" s="13">
        <f t="shared" si="2"/>
        <v>18494.261966500893</v>
      </c>
      <c r="AA477" s="13">
        <f t="shared" si="3"/>
        <v>0</v>
      </c>
      <c r="AB477" s="13">
        <f t="shared" si="4"/>
        <v>6.0783777068148716E-123</v>
      </c>
      <c r="AC477" s="13">
        <f t="shared" si="5"/>
        <v>1.6852249043361809</v>
      </c>
      <c r="AD477" s="2"/>
      <c r="AE477" s="13">
        <v>18494.261966500893</v>
      </c>
      <c r="AF477" s="13">
        <f t="shared" si="6"/>
        <v>3244.9209690931284</v>
      </c>
      <c r="AG477" s="13">
        <f t="shared" si="7"/>
        <v>368.96281835586484</v>
      </c>
      <c r="AH477" s="13">
        <f t="shared" si="8"/>
        <v>34.627603462308421</v>
      </c>
      <c r="AI477" s="13">
        <v>1.6852249043362799</v>
      </c>
      <c r="AJ477" s="2"/>
    </row>
    <row r="478" spans="1:3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5">
        <f t="shared" si="9"/>
        <v>43.749999999999503</v>
      </c>
      <c r="X478" s="16">
        <f t="shared" si="0"/>
        <v>2.8962134273996573E-117</v>
      </c>
      <c r="Y478" s="16">
        <f t="shared" si="1"/>
        <v>3.1837809410439564E-25</v>
      </c>
      <c r="Z478" s="16">
        <f t="shared" si="2"/>
        <v>22566.219593906397</v>
      </c>
      <c r="AA478" s="16">
        <f t="shared" si="3"/>
        <v>0</v>
      </c>
      <c r="AB478" s="16">
        <f t="shared" si="4"/>
        <v>1.147313519689309E-118</v>
      </c>
      <c r="AC478" s="16">
        <f t="shared" si="5"/>
        <v>2.4965277495053235</v>
      </c>
      <c r="AD478" s="2"/>
      <c r="AE478" s="16">
        <v>22566.219593906397</v>
      </c>
      <c r="AF478" s="16">
        <f t="shared" si="6"/>
        <v>4153.6931836656304</v>
      </c>
      <c r="AG478" s="16">
        <f t="shared" si="7"/>
        <v>495.73554939331626</v>
      </c>
      <c r="AH478" s="16">
        <f t="shared" si="8"/>
        <v>48.860381516303612</v>
      </c>
      <c r="AI478" s="16">
        <v>2.4965277495054661</v>
      </c>
      <c r="AJ478" s="2"/>
    </row>
    <row r="479" spans="1:3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2">
        <f t="shared" si="9"/>
        <v>43.7999999999995</v>
      </c>
      <c r="X479" s="13">
        <f t="shared" si="0"/>
        <v>6.4700355696642869E-109</v>
      </c>
      <c r="Y479" s="13">
        <f t="shared" si="1"/>
        <v>3.8923528671338683E-23</v>
      </c>
      <c r="Z479" s="13">
        <f t="shared" si="2"/>
        <v>27349.511336306354</v>
      </c>
      <c r="AA479" s="13">
        <f t="shared" si="3"/>
        <v>0</v>
      </c>
      <c r="AB479" s="13">
        <f t="shared" si="4"/>
        <v>1.8327188171353559E-114</v>
      </c>
      <c r="AC479" s="13">
        <f t="shared" si="5"/>
        <v>3.6755900042256728</v>
      </c>
      <c r="AD479" s="2"/>
      <c r="AE479" s="13">
        <v>27349.511336306354</v>
      </c>
      <c r="AF479" s="13">
        <f t="shared" si="6"/>
        <v>5281.3061626330418</v>
      </c>
      <c r="AG479" s="13">
        <f t="shared" si="7"/>
        <v>661.60994811868454</v>
      </c>
      <c r="AH479" s="13">
        <f t="shared" si="8"/>
        <v>68.483247689601825</v>
      </c>
      <c r="AI479" s="13">
        <v>3.6755900042258829</v>
      </c>
      <c r="AJ479" s="2"/>
    </row>
    <row r="480" spans="1:3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5">
        <f t="shared" si="9"/>
        <v>43.849999999999497</v>
      </c>
      <c r="X480" s="16">
        <f t="shared" si="0"/>
        <v>7.3600096128138284E-101</v>
      </c>
      <c r="Y480" s="16">
        <f t="shared" si="1"/>
        <v>4.0198063632318346E-21</v>
      </c>
      <c r="Z480" s="16">
        <f t="shared" si="2"/>
        <v>32923.749459817016</v>
      </c>
      <c r="AA480" s="16">
        <f t="shared" si="3"/>
        <v>0</v>
      </c>
      <c r="AB480" s="16">
        <f t="shared" si="4"/>
        <v>2.4775867308394263E-110</v>
      </c>
      <c r="AC480" s="16">
        <f t="shared" si="5"/>
        <v>5.3765643554157183</v>
      </c>
      <c r="AD480" s="2"/>
      <c r="AE480" s="16">
        <v>32923.749459817016</v>
      </c>
      <c r="AF480" s="16">
        <f t="shared" si="6"/>
        <v>6669.9859108397304</v>
      </c>
      <c r="AG480" s="16">
        <f t="shared" si="7"/>
        <v>877.07855446463418</v>
      </c>
      <c r="AH480" s="16">
        <f t="shared" si="8"/>
        <v>95.346466587138949</v>
      </c>
      <c r="AI480" s="16">
        <v>5.3765643554160159</v>
      </c>
      <c r="AJ480" s="2"/>
    </row>
    <row r="481" spans="1:3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2">
        <f t="shared" si="9"/>
        <v>43.899999999999494</v>
      </c>
      <c r="X481" s="13">
        <f t="shared" si="0"/>
        <v>4.2632981196068534E-93</v>
      </c>
      <c r="Y481" s="13">
        <f t="shared" si="1"/>
        <v>3.5068885460141509E-19</v>
      </c>
      <c r="Z481" s="13">
        <f t="shared" si="2"/>
        <v>39367.511351243003</v>
      </c>
      <c r="AA481" s="13">
        <f t="shared" si="3"/>
        <v>0</v>
      </c>
      <c r="AB481" s="13">
        <f t="shared" si="4"/>
        <v>2.8345308869801179E-106</v>
      </c>
      <c r="AC481" s="13">
        <f t="shared" si="5"/>
        <v>7.8130149819631223</v>
      </c>
      <c r="AD481" s="2"/>
      <c r="AE481" s="13">
        <v>39367.511351243003</v>
      </c>
      <c r="AF481" s="13">
        <f t="shared" si="6"/>
        <v>8367.2959338242745</v>
      </c>
      <c r="AG481" s="13">
        <f t="shared" si="7"/>
        <v>1154.9400970737652</v>
      </c>
      <c r="AH481" s="13">
        <f t="shared" si="8"/>
        <v>131.86134206210221</v>
      </c>
      <c r="AI481" s="13">
        <v>7.8130149819635406</v>
      </c>
      <c r="AJ481" s="2"/>
    </row>
    <row r="482" spans="1:3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5">
        <f t="shared" si="9"/>
        <v>43.949999999999491</v>
      </c>
      <c r="X482" s="16">
        <f t="shared" si="0"/>
        <v>1.2575018463946443E-85</v>
      </c>
      <c r="Y482" s="16">
        <f t="shared" si="1"/>
        <v>2.5844176348055242E-17</v>
      </c>
      <c r="Z482" s="16">
        <f t="shared" si="2"/>
        <v>46755.810595924515</v>
      </c>
      <c r="AA482" s="16">
        <f t="shared" si="3"/>
        <v>0</v>
      </c>
      <c r="AB482" s="16">
        <f t="shared" si="4"/>
        <v>2.7444341883765201E-102</v>
      </c>
      <c r="AC482" s="16">
        <f t="shared" si="5"/>
        <v>11.278403292393483</v>
      </c>
      <c r="AD482" s="2"/>
      <c r="AE482" s="16">
        <v>46755.810595924515</v>
      </c>
      <c r="AF482" s="16">
        <f t="shared" si="6"/>
        <v>10426.102329698582</v>
      </c>
      <c r="AG482" s="16">
        <f t="shared" si="7"/>
        <v>1510.6537333451736</v>
      </c>
      <c r="AH482" s="16">
        <f t="shared" si="8"/>
        <v>181.14358554723694</v>
      </c>
      <c r="AI482" s="16">
        <v>11.278403292394088</v>
      </c>
      <c r="AJ482" s="2"/>
    </row>
    <row r="483" spans="1:3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2">
        <f t="shared" si="9"/>
        <v>43.999999999999488</v>
      </c>
      <c r="X483" s="13">
        <f t="shared" si="0"/>
        <v>1.8887182115703635E-78</v>
      </c>
      <c r="Y483" s="13">
        <f t="shared" si="1"/>
        <v>1.6088936215353619E-15</v>
      </c>
      <c r="Z483" s="13">
        <f t="shared" si="2"/>
        <v>55157.195491172519</v>
      </c>
      <c r="AA483" s="13">
        <f t="shared" si="3"/>
        <v>0</v>
      </c>
      <c r="AB483" s="13">
        <f t="shared" si="4"/>
        <v>2.2487633147662099E-98</v>
      </c>
      <c r="AC483" s="13">
        <f t="shared" si="5"/>
        <v>16.172725701943993</v>
      </c>
      <c r="AD483" s="2"/>
      <c r="AE483" s="13">
        <v>55157.195491172519</v>
      </c>
      <c r="AF483" s="13">
        <f t="shared" si="6"/>
        <v>12904.330510278973</v>
      </c>
      <c r="AG483" s="13">
        <f t="shared" si="7"/>
        <v>1962.7044126588744</v>
      </c>
      <c r="AH483" s="13">
        <f t="shared" si="8"/>
        <v>247.18435899294451</v>
      </c>
      <c r="AI483" s="13">
        <v>16.172725701944859</v>
      </c>
      <c r="AJ483" s="2"/>
    </row>
    <row r="484" spans="1:3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5">
        <f t="shared" si="9"/>
        <v>44.049999999999486</v>
      </c>
      <c r="X484" s="16">
        <f t="shared" si="0"/>
        <v>1.4445125261540323E-71</v>
      </c>
      <c r="Y484" s="16">
        <f t="shared" si="1"/>
        <v>8.4608864380190852E-14</v>
      </c>
      <c r="Z484" s="16">
        <f t="shared" si="2"/>
        <v>64630.53001920518</v>
      </c>
      <c r="AA484" s="16">
        <f t="shared" si="3"/>
        <v>0</v>
      </c>
      <c r="AB484" s="16">
        <f t="shared" si="4"/>
        <v>1.5593872340695455E-94</v>
      </c>
      <c r="AC484" s="16">
        <f t="shared" si="5"/>
        <v>23.036791150250551</v>
      </c>
      <c r="AD484" s="2"/>
      <c r="AE484" s="16">
        <v>64630.53001920518</v>
      </c>
      <c r="AF484" s="16">
        <f t="shared" si="6"/>
        <v>15864.471670508985</v>
      </c>
      <c r="AG484" s="16">
        <f t="shared" si="7"/>
        <v>2532.9660627732869</v>
      </c>
      <c r="AH484" s="16">
        <f t="shared" si="8"/>
        <v>335.05149707183034</v>
      </c>
      <c r="AI484" s="16">
        <v>23.036791150251702</v>
      </c>
      <c r="AJ484" s="2"/>
    </row>
    <row r="485" spans="1:3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2">
        <f t="shared" si="9"/>
        <v>44.099999999999483</v>
      </c>
      <c r="X485" s="13">
        <f t="shared" si="0"/>
        <v>5.6256286938308114E-65</v>
      </c>
      <c r="Y485" s="13">
        <f t="shared" si="1"/>
        <v>3.7586189929386816E-12</v>
      </c>
      <c r="Z485" s="13">
        <f t="shared" si="2"/>
        <v>75221.539060058785</v>
      </c>
      <c r="AA485" s="13">
        <f t="shared" si="3"/>
        <v>0</v>
      </c>
      <c r="AB485" s="13">
        <f t="shared" si="4"/>
        <v>9.1513149270622903E-91</v>
      </c>
      <c r="AC485" s="13">
        <f t="shared" si="5"/>
        <v>32.595863922532772</v>
      </c>
      <c r="AD485" s="2"/>
      <c r="AE485" s="13">
        <v>75221.539060058785</v>
      </c>
      <c r="AF485" s="13">
        <f t="shared" si="6"/>
        <v>19372.799785958927</v>
      </c>
      <c r="AG485" s="13">
        <f t="shared" si="7"/>
        <v>3247.0452796186055</v>
      </c>
      <c r="AH485" s="13">
        <f t="shared" si="8"/>
        <v>451.12270420163185</v>
      </c>
      <c r="AI485" s="13">
        <v>32.595863922534399</v>
      </c>
      <c r="AJ485" s="2"/>
    </row>
    <row r="486" spans="1:3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5">
        <f t="shared" si="9"/>
        <v>44.14999999999948</v>
      </c>
      <c r="X486" s="16">
        <f t="shared" si="0"/>
        <v>1.1156203405760192E-58</v>
      </c>
      <c r="Y486" s="16">
        <f t="shared" si="1"/>
        <v>1.4104725675517825E-10</v>
      </c>
      <c r="Z486" s="16">
        <f t="shared" si="2"/>
        <v>86959.226608177996</v>
      </c>
      <c r="AA486" s="16">
        <f t="shared" si="3"/>
        <v>0</v>
      </c>
      <c r="AB486" s="16">
        <f t="shared" si="4"/>
        <v>4.5449836737429808E-87</v>
      </c>
      <c r="AC486" s="16">
        <f t="shared" si="5"/>
        <v>45.814629235341059</v>
      </c>
      <c r="AD486" s="2"/>
      <c r="AE486" s="16">
        <v>86959.226608177996</v>
      </c>
      <c r="AF486" s="16">
        <f t="shared" si="6"/>
        <v>23498.265569154879</v>
      </c>
      <c r="AG486" s="16">
        <f t="shared" si="7"/>
        <v>4134.5840054487298</v>
      </c>
      <c r="AH486" s="16">
        <f t="shared" si="8"/>
        <v>603.3514370750928</v>
      </c>
      <c r="AI486" s="16">
        <v>45.814629235343347</v>
      </c>
      <c r="AJ486" s="2"/>
    </row>
    <row r="487" spans="1:3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2">
        <f t="shared" si="9"/>
        <v>44.199999999999477</v>
      </c>
      <c r="X487" s="13">
        <f t="shared" si="0"/>
        <v>1.1265679492403355E-52</v>
      </c>
      <c r="Y487" s="13">
        <f t="shared" si="1"/>
        <v>4.4712081249876251E-9</v>
      </c>
      <c r="Z487" s="13">
        <f t="shared" si="2"/>
        <v>99852.301242118687</v>
      </c>
      <c r="AA487" s="13">
        <f t="shared" si="3"/>
        <v>0</v>
      </c>
      <c r="AB487" s="13">
        <f t="shared" si="4"/>
        <v>1.9102950648925072E-83</v>
      </c>
      <c r="AC487" s="13">
        <f t="shared" si="5"/>
        <v>63.965646000373368</v>
      </c>
      <c r="AD487" s="2"/>
      <c r="AE487" s="13">
        <v>99852.301242118687</v>
      </c>
      <c r="AF487" s="13">
        <f t="shared" si="6"/>
        <v>28311.042797870108</v>
      </c>
      <c r="AG487" s="13">
        <f t="shared" si="7"/>
        <v>5229.4955435885104</v>
      </c>
      <c r="AH487" s="13">
        <f t="shared" si="8"/>
        <v>801.56466081796793</v>
      </c>
      <c r="AI487" s="13">
        <v>63.965646000376452</v>
      </c>
      <c r="AJ487" s="2"/>
    </row>
    <row r="488" spans="1:3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5">
        <f t="shared" si="9"/>
        <v>44.249999999999474</v>
      </c>
      <c r="X488" s="16">
        <f t="shared" si="0"/>
        <v>5.7928724571920733E-47</v>
      </c>
      <c r="Y488" s="16">
        <f t="shared" si="1"/>
        <v>1.1973166712803931E-7</v>
      </c>
      <c r="Z488" s="16">
        <f t="shared" si="2"/>
        <v>113885.765161458</v>
      </c>
      <c r="AA488" s="16">
        <f t="shared" si="3"/>
        <v>0</v>
      </c>
      <c r="AB488" s="16">
        <f t="shared" si="4"/>
        <v>6.7949752584935429E-80</v>
      </c>
      <c r="AC488" s="16">
        <f t="shared" si="5"/>
        <v>88.713607927903709</v>
      </c>
      <c r="AD488" s="2"/>
      <c r="AE488" s="16">
        <v>113885.765161458</v>
      </c>
      <c r="AF488" s="16">
        <f t="shared" si="6"/>
        <v>33880.714917208912</v>
      </c>
      <c r="AG488" s="16">
        <f t="shared" si="7"/>
        <v>6570.1044789914658</v>
      </c>
      <c r="AH488" s="16">
        <f t="shared" si="8"/>
        <v>1057.7896561675698</v>
      </c>
      <c r="AI488" s="16">
        <v>88.713607927907901</v>
      </c>
      <c r="AJ488" s="2"/>
    </row>
    <row r="489" spans="1:3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2">
        <f t="shared" si="9"/>
        <v>44.299999999999471</v>
      </c>
      <c r="X489" s="13">
        <f t="shared" si="0"/>
        <v>1.5167924198518616E-41</v>
      </c>
      <c r="Y489" s="13">
        <f t="shared" si="1"/>
        <v>2.7084266305967817E-6</v>
      </c>
      <c r="Z489" s="13">
        <f t="shared" si="2"/>
        <v>129017.83974383678</v>
      </c>
      <c r="AA489" s="13">
        <f t="shared" si="3"/>
        <v>0</v>
      </c>
      <c r="AB489" s="13">
        <f t="shared" si="4"/>
        <v>2.0454770238598004E-76</v>
      </c>
      <c r="AC489" s="13">
        <f t="shared" si="5"/>
        <v>122.21780868577325</v>
      </c>
      <c r="AD489" s="2"/>
      <c r="AE489" s="13">
        <v>129017.83974383678</v>
      </c>
      <c r="AF489" s="13">
        <f t="shared" si="6"/>
        <v>40274.105768154535</v>
      </c>
      <c r="AG489" s="13">
        <f t="shared" si="7"/>
        <v>8199.1580110367922</v>
      </c>
      <c r="AH489" s="13">
        <f t="shared" si="8"/>
        <v>1386.6045256092943</v>
      </c>
      <c r="AI489" s="13">
        <v>122.21780868577861</v>
      </c>
      <c r="AJ489" s="2"/>
    </row>
    <row r="490" spans="1:3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5">
        <f t="shared" si="9"/>
        <v>44.349999999999469</v>
      </c>
      <c r="X490" s="16">
        <f t="shared" si="0"/>
        <v>2.0223389216964381E-36</v>
      </c>
      <c r="Y490" s="16">
        <f t="shared" si="1"/>
        <v>5.1754607943040656E-5</v>
      </c>
      <c r="Z490" s="16">
        <f t="shared" si="2"/>
        <v>145177.40984737233</v>
      </c>
      <c r="AA490" s="16">
        <f t="shared" si="3"/>
        <v>1.0022713873432431E-307</v>
      </c>
      <c r="AB490" s="16">
        <f t="shared" si="4"/>
        <v>5.2109946973961812E-73</v>
      </c>
      <c r="AC490" s="16">
        <f t="shared" si="5"/>
        <v>167.25516045675454</v>
      </c>
      <c r="AD490" s="2"/>
      <c r="AE490" s="16">
        <v>145177.40984737233</v>
      </c>
      <c r="AF490" s="16">
        <f t="shared" si="6"/>
        <v>47552.777399559935</v>
      </c>
      <c r="AG490" s="16">
        <f t="shared" si="7"/>
        <v>10163.674263505931</v>
      </c>
      <c r="AH490" s="16">
        <f t="shared" si="8"/>
        <v>1805.5039970792759</v>
      </c>
      <c r="AI490" s="16">
        <v>167.25516045676184</v>
      </c>
      <c r="AJ490" s="2"/>
    </row>
    <row r="491" spans="1:3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2">
        <f t="shared" si="9"/>
        <v>44.399999999999466</v>
      </c>
      <c r="X491" s="13">
        <f t="shared" si="0"/>
        <v>1.3730215028343097E-31</v>
      </c>
      <c r="Y491" s="13">
        <f t="shared" si="1"/>
        <v>8.3542000873991691E-4</v>
      </c>
      <c r="Z491" s="13">
        <f t="shared" si="2"/>
        <v>162262.16927634686</v>
      </c>
      <c r="AA491" s="13">
        <f t="shared" si="3"/>
        <v>2.1655421151680902E-294</v>
      </c>
      <c r="AB491" s="13">
        <f t="shared" si="4"/>
        <v>1.123481580920576E-69</v>
      </c>
      <c r="AC491" s="13">
        <f t="shared" si="5"/>
        <v>227.36590306955441</v>
      </c>
      <c r="AD491" s="2"/>
      <c r="AE491" s="13">
        <v>162262.16927634686</v>
      </c>
      <c r="AF491" s="13">
        <f t="shared" si="6"/>
        <v>55770.239573040002</v>
      </c>
      <c r="AG491" s="13">
        <f t="shared" si="7"/>
        <v>12514.592747477485</v>
      </c>
      <c r="AH491" s="13">
        <f t="shared" si="8"/>
        <v>2335.2685929920131</v>
      </c>
      <c r="AI491" s="13">
        <v>227.36590306956398</v>
      </c>
      <c r="AJ491" s="2"/>
    </row>
    <row r="492" spans="1:3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5">
        <f t="shared" si="9"/>
        <v>44.449999999999463</v>
      </c>
      <c r="X492" s="16">
        <f t="shared" si="0"/>
        <v>4.7467498455624436E-27</v>
      </c>
      <c r="Y492" s="16">
        <f t="shared" si="1"/>
        <v>1.1391597304955217E-2</v>
      </c>
      <c r="Z492" s="16">
        <f t="shared" si="2"/>
        <v>180137.63962468537</v>
      </c>
      <c r="AA492" s="16">
        <f t="shared" si="3"/>
        <v>2.4000767806165531E-281</v>
      </c>
      <c r="AB492" s="16">
        <f t="shared" si="4"/>
        <v>2.0498901188304263E-66</v>
      </c>
      <c r="AC492" s="16">
        <f t="shared" si="5"/>
        <v>307.02371334812062</v>
      </c>
      <c r="AD492" s="2"/>
      <c r="AE492" s="16">
        <v>180137.63962468537</v>
      </c>
      <c r="AF492" s="16">
        <f t="shared" si="6"/>
        <v>64968.93885612204</v>
      </c>
      <c r="AG492" s="16">
        <f t="shared" si="7"/>
        <v>15306.193744352042</v>
      </c>
      <c r="AH492" s="16">
        <f t="shared" si="8"/>
        <v>3000.3213076734851</v>
      </c>
      <c r="AI492" s="16">
        <v>307.02371334813319</v>
      </c>
      <c r="AJ492" s="2"/>
    </row>
    <row r="493" spans="1:3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2">
        <f t="shared" si="9"/>
        <v>44.49999999999946</v>
      </c>
      <c r="X493" s="13">
        <f t="shared" si="0"/>
        <v>8.3562410384617022E-23</v>
      </c>
      <c r="Y493" s="13">
        <f t="shared" si="1"/>
        <v>0.13121644809925406</v>
      </c>
      <c r="Z493" s="13">
        <f t="shared" si="2"/>
        <v>198637.21335279776</v>
      </c>
      <c r="AA493" s="13">
        <f t="shared" si="3"/>
        <v>1.3644600856158457E-268</v>
      </c>
      <c r="AB493" s="13">
        <f t="shared" si="4"/>
        <v>3.1652972985612034E-63</v>
      </c>
      <c r="AC493" s="13">
        <f t="shared" si="5"/>
        <v>411.83122959181509</v>
      </c>
      <c r="AD493" s="2"/>
      <c r="AE493" s="13">
        <v>198637.21335279776</v>
      </c>
      <c r="AF493" s="13">
        <f t="shared" si="6"/>
        <v>75177.118905743933</v>
      </c>
      <c r="AG493" s="13">
        <f t="shared" si="7"/>
        <v>18595.257338361771</v>
      </c>
      <c r="AH493" s="13">
        <f t="shared" si="8"/>
        <v>3829.0517633239874</v>
      </c>
      <c r="AI493" s="13">
        <v>411.83122959183163</v>
      </c>
      <c r="AJ493" s="2"/>
    </row>
    <row r="494" spans="1:3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5">
        <f t="shared" si="9"/>
        <v>44.549999999999457</v>
      </c>
      <c r="X494" s="16">
        <f t="shared" si="0"/>
        <v>7.4906788960354013E-19</v>
      </c>
      <c r="Y494" s="16">
        <f t="shared" si="1"/>
        <v>1.2767793002259862</v>
      </c>
      <c r="Z494" s="16">
        <f t="shared" si="2"/>
        <v>217563.33937124585</v>
      </c>
      <c r="AA494" s="16">
        <f t="shared" si="3"/>
        <v>3.978998134352947E-256</v>
      </c>
      <c r="AB494" s="16">
        <f t="shared" si="4"/>
        <v>4.1363543075695819E-60</v>
      </c>
      <c r="AC494" s="16">
        <f t="shared" si="5"/>
        <v>548.74099363268658</v>
      </c>
      <c r="AD494" s="2"/>
      <c r="AE494" s="16">
        <v>217563.33937124585</v>
      </c>
      <c r="AF494" s="16">
        <f t="shared" si="6"/>
        <v>86405.666201187065</v>
      </c>
      <c r="AG494" s="16">
        <f t="shared" si="7"/>
        <v>22439.93947086273</v>
      </c>
      <c r="AH494" s="16">
        <f t="shared" si="8"/>
        <v>4854.0836027614341</v>
      </c>
      <c r="AI494" s="16">
        <v>548.74099363270818</v>
      </c>
      <c r="AJ494" s="2"/>
    </row>
    <row r="495" spans="1:3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2">
        <f t="shared" si="9"/>
        <v>44.599999999999454</v>
      </c>
      <c r="X495" s="13">
        <f t="shared" si="0"/>
        <v>3.4192197225730154E-15</v>
      </c>
      <c r="Y495" s="13">
        <f t="shared" si="1"/>
        <v>10.494633836626383</v>
      </c>
      <c r="Z495" s="13">
        <f t="shared" si="2"/>
        <v>236689.92631765411</v>
      </c>
      <c r="AA495" s="13">
        <f t="shared" si="3"/>
        <v>5.9520124980569099E-244</v>
      </c>
      <c r="AB495" s="13">
        <f t="shared" si="4"/>
        <v>4.5744644489401758E-57</v>
      </c>
      <c r="AC495" s="13">
        <f t="shared" si="5"/>
        <v>726.30043828165458</v>
      </c>
      <c r="AD495" s="2"/>
      <c r="AE495" s="13">
        <v>236689.92631765411</v>
      </c>
      <c r="AF495" s="13">
        <f t="shared" si="6"/>
        <v>98645.075434012906</v>
      </c>
      <c r="AG495" s="13">
        <f t="shared" si="7"/>
        <v>26898.35189813035</v>
      </c>
      <c r="AH495" s="13">
        <f t="shared" si="8"/>
        <v>6112.456901559608</v>
      </c>
      <c r="AI495" s="13">
        <v>726.30043828168311</v>
      </c>
      <c r="AJ495" s="2"/>
    </row>
    <row r="496" spans="1:3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5">
        <f t="shared" si="9"/>
        <v>44.649999999999451</v>
      </c>
      <c r="X496" s="16">
        <f t="shared" si="0"/>
        <v>7.947461761745749E-12</v>
      </c>
      <c r="Y496" s="16">
        <f t="shared" si="1"/>
        <v>72.868973165635495</v>
      </c>
      <c r="Z496" s="16">
        <f t="shared" si="2"/>
        <v>255765.98666448658</v>
      </c>
      <c r="AA496" s="16">
        <f t="shared" si="3"/>
        <v>4.5670012733211116E-232</v>
      </c>
      <c r="AB496" s="16">
        <f t="shared" si="4"/>
        <v>4.2813632937555635E-54</v>
      </c>
      <c r="AC496" s="16">
        <f t="shared" si="5"/>
        <v>954.91777881715825</v>
      </c>
      <c r="AD496" s="2"/>
      <c r="AE496" s="16">
        <v>255765.98666448658</v>
      </c>
      <c r="AF496" s="16">
        <f t="shared" si="6"/>
        <v>111862.68425408637</v>
      </c>
      <c r="AG496" s="16">
        <f t="shared" si="7"/>
        <v>32026.845327341376</v>
      </c>
      <c r="AH496" s="16">
        <f t="shared" si="8"/>
        <v>7645.693980363445</v>
      </c>
      <c r="AI496" s="16">
        <v>954.91777881719418</v>
      </c>
      <c r="AJ496" s="2"/>
    </row>
    <row r="497" spans="1:3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2">
        <f t="shared" si="9"/>
        <v>44.699999999999449</v>
      </c>
      <c r="X497" s="13">
        <f t="shared" si="0"/>
        <v>9.4064443808427694E-9</v>
      </c>
      <c r="Y497" s="13">
        <f t="shared" si="1"/>
        <v>427.40727578552116</v>
      </c>
      <c r="Z497" s="13">
        <f t="shared" si="2"/>
        <v>274520.48612684442</v>
      </c>
      <c r="AA497" s="13">
        <f t="shared" si="3"/>
        <v>1.7975278596405651E-220</v>
      </c>
      <c r="AB497" s="13">
        <f t="shared" si="4"/>
        <v>3.3911203706193365E-51</v>
      </c>
      <c r="AC497" s="13">
        <f t="shared" si="5"/>
        <v>1247.1434902055155</v>
      </c>
      <c r="AD497" s="2"/>
      <c r="AE497" s="13">
        <v>274520.48612684448</v>
      </c>
      <c r="AF497" s="13">
        <f t="shared" si="6"/>
        <v>126000.33639042181</v>
      </c>
      <c r="AG497" s="13">
        <f t="shared" si="7"/>
        <v>37878.010090948992</v>
      </c>
      <c r="AH497" s="13">
        <f t="shared" si="8"/>
        <v>9499.7145601143802</v>
      </c>
      <c r="AI497" s="13">
        <v>1247.1434902055612</v>
      </c>
      <c r="AJ497" s="2"/>
    </row>
    <row r="498" spans="1:3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5">
        <f t="shared" si="9"/>
        <v>44.749999999999446</v>
      </c>
      <c r="X498" s="16">
        <f t="shared" si="0"/>
        <v>5.6691525635078215E-6</v>
      </c>
      <c r="Y498" s="16">
        <f t="shared" si="1"/>
        <v>2117.7031083518959</v>
      </c>
      <c r="Z498" s="16">
        <f t="shared" si="2"/>
        <v>292668.30059620755</v>
      </c>
      <c r="AA498" s="16">
        <f t="shared" si="3"/>
        <v>3.6290865594202917E-209</v>
      </c>
      <c r="AB498" s="16">
        <f t="shared" si="4"/>
        <v>2.2731266303190034E-48</v>
      </c>
      <c r="AC498" s="16">
        <f t="shared" si="5"/>
        <v>1617.9594804344413</v>
      </c>
      <c r="AD498" s="2"/>
      <c r="AE498" s="16">
        <v>292668.30059620755</v>
      </c>
      <c r="AF498" s="16">
        <f t="shared" si="6"/>
        <v>140972.63377253601</v>
      </c>
      <c r="AG498" s="16">
        <f t="shared" si="7"/>
        <v>44498.426068854918</v>
      </c>
      <c r="AH498" s="16">
        <f t="shared" si="8"/>
        <v>11724.565153502625</v>
      </c>
      <c r="AI498" s="16">
        <v>1617.959480434499</v>
      </c>
      <c r="AJ498" s="2"/>
    </row>
    <row r="499" spans="1:3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2">
        <f t="shared" si="9"/>
        <v>44.799999999999443</v>
      </c>
      <c r="X499" s="13">
        <f t="shared" si="0"/>
        <v>1.7398283564131448E-3</v>
      </c>
      <c r="Y499" s="13">
        <f t="shared" si="1"/>
        <v>8863.6406213752671</v>
      </c>
      <c r="Z499" s="13">
        <f t="shared" si="2"/>
        <v>309917.12059091928</v>
      </c>
      <c r="AA499" s="13">
        <f t="shared" si="3"/>
        <v>3.7583413565087984E-198</v>
      </c>
      <c r="AB499" s="13">
        <f t="shared" si="4"/>
        <v>1.289505960387089E-45</v>
      </c>
      <c r="AC499" s="13">
        <f t="shared" si="5"/>
        <v>2085.0651527129271</v>
      </c>
      <c r="AD499" s="2"/>
      <c r="AE499" s="13">
        <v>309917.12059091934</v>
      </c>
      <c r="AF499" s="13">
        <f t="shared" si="6"/>
        <v>156665.93095294898</v>
      </c>
      <c r="AG499" s="13">
        <f t="shared" si="7"/>
        <v>51926.212498492088</v>
      </c>
      <c r="AH499" s="13">
        <f t="shared" si="8"/>
        <v>14373.928359423926</v>
      </c>
      <c r="AI499" s="13">
        <v>2085.0651527129999</v>
      </c>
      <c r="AJ499" s="2"/>
    </row>
    <row r="500" spans="1:3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5">
        <f t="shared" si="9"/>
        <v>44.84999999999944</v>
      </c>
      <c r="X500" s="16">
        <f t="shared" si="0"/>
        <v>0.27188814580003312</v>
      </c>
      <c r="Y500" s="16">
        <f t="shared" si="1"/>
        <v>31338.853642720373</v>
      </c>
      <c r="Z500" s="16">
        <f t="shared" si="2"/>
        <v>325975.08488265582</v>
      </c>
      <c r="AA500" s="16">
        <f t="shared" si="3"/>
        <v>1.996513808395202E-187</v>
      </c>
      <c r="AB500" s="16">
        <f t="shared" si="4"/>
        <v>6.1907373329656646E-43</v>
      </c>
      <c r="AC500" s="16">
        <f t="shared" si="5"/>
        <v>2669.146375160642</v>
      </c>
      <c r="AD500" s="2"/>
      <c r="AE500" s="16">
        <v>325975.08488265582</v>
      </c>
      <c r="AF500" s="16">
        <f t="shared" si="6"/>
        <v>172938.20811860138</v>
      </c>
      <c r="AG500" s="16">
        <f t="shared" si="7"/>
        <v>60188.447893291021</v>
      </c>
      <c r="AH500" s="16">
        <f t="shared" si="8"/>
        <v>17504.380734108516</v>
      </c>
      <c r="AI500" s="16">
        <v>2669.1463751607325</v>
      </c>
      <c r="AJ500" s="2"/>
    </row>
    <row r="501" spans="1:3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2">
        <f t="shared" si="9"/>
        <v>44.899999999999437</v>
      </c>
      <c r="X501" s="13">
        <f t="shared" si="0"/>
        <v>21.63564011322844</v>
      </c>
      <c r="Y501" s="13">
        <f t="shared" si="1"/>
        <v>93600.458286807829</v>
      </c>
      <c r="Z501" s="13">
        <f t="shared" si="2"/>
        <v>340558.8744670361</v>
      </c>
      <c r="AA501" s="13">
        <f t="shared" si="3"/>
        <v>5.4403346200411397E-177</v>
      </c>
      <c r="AB501" s="13">
        <f t="shared" si="4"/>
        <v>2.5152473571403043E-40</v>
      </c>
      <c r="AC501" s="13">
        <f t="shared" si="5"/>
        <v>3394.1100833416699</v>
      </c>
      <c r="AD501" s="2"/>
      <c r="AE501" s="13">
        <v>340558.8744670361</v>
      </c>
      <c r="AF501" s="13">
        <f t="shared" si="6"/>
        <v>189619.93210828732</v>
      </c>
      <c r="AG501" s="13">
        <f t="shared" si="7"/>
        <v>69298.549364499748</v>
      </c>
      <c r="AH501" s="13">
        <f t="shared" si="8"/>
        <v>21174.373500282327</v>
      </c>
      <c r="AI501" s="13">
        <v>3394.1100833417827</v>
      </c>
      <c r="AJ501" s="2"/>
    </row>
    <row r="502" spans="1:3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5">
        <f t="shared" si="9"/>
        <v>44.949999999999434</v>
      </c>
      <c r="X502" s="16">
        <f t="shared" si="0"/>
        <v>876.6875363709521</v>
      </c>
      <c r="Y502" s="16">
        <f t="shared" si="1"/>
        <v>236154.78298458588</v>
      </c>
      <c r="Z502" s="16">
        <f t="shared" si="2"/>
        <v>353401.95907804335</v>
      </c>
      <c r="AA502" s="16">
        <f t="shared" si="3"/>
        <v>7.6042450999722867E-167</v>
      </c>
      <c r="AB502" s="16">
        <f t="shared" si="4"/>
        <v>8.6484509132559247E-38</v>
      </c>
      <c r="AC502" s="16">
        <f t="shared" si="5"/>
        <v>4287.264016729574</v>
      </c>
      <c r="AD502" s="2"/>
      <c r="AE502" s="16">
        <v>353401.95907804335</v>
      </c>
      <c r="AF502" s="16">
        <f t="shared" si="6"/>
        <v>206515.97862959871</v>
      </c>
      <c r="AG502" s="16">
        <f t="shared" si="7"/>
        <v>79253.717881132616</v>
      </c>
      <c r="AH502" s="16">
        <f t="shared" si="8"/>
        <v>25442.918764693033</v>
      </c>
      <c r="AI502" s="16">
        <v>4287.2640167297168</v>
      </c>
      <c r="AJ502" s="2"/>
    </row>
    <row r="503" spans="1:3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2">
        <f t="shared" si="9"/>
        <v>44.999999999999432</v>
      </c>
      <c r="X503" s="13">
        <f t="shared" si="0"/>
        <v>18089.040189298848</v>
      </c>
      <c r="Y503" s="13">
        <f t="shared" si="1"/>
        <v>503314.47297038179</v>
      </c>
      <c r="Z503" s="13">
        <f t="shared" si="2"/>
        <v>364262.66413061344</v>
      </c>
      <c r="AA503" s="13">
        <f t="shared" si="3"/>
        <v>5.4520998343358933E-157</v>
      </c>
      <c r="AB503" s="13">
        <f t="shared" si="4"/>
        <v>2.5166061180368476E-35</v>
      </c>
      <c r="AC503" s="13">
        <f t="shared" si="5"/>
        <v>5379.4181734527237</v>
      </c>
      <c r="AD503" s="2"/>
      <c r="AE503" s="13">
        <v>364262.66413061344</v>
      </c>
      <c r="AF503" s="13">
        <f t="shared" si="6"/>
        <v>223408.64451514461</v>
      </c>
      <c r="AG503" s="13">
        <f t="shared" si="7"/>
        <v>90032.569980293003</v>
      </c>
      <c r="AH503" s="13">
        <f t="shared" si="8"/>
        <v>30367.975233384059</v>
      </c>
      <c r="AI503" s="13">
        <v>5379.4181734528966</v>
      </c>
      <c r="AJ503" s="2"/>
    </row>
    <row r="504" spans="1:3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5">
        <f t="shared" si="9"/>
        <v>45.049999999999429</v>
      </c>
      <c r="X504" s="16">
        <f t="shared" si="0"/>
        <v>190056.10416375962</v>
      </c>
      <c r="Y504" s="16">
        <f t="shared" si="1"/>
        <v>906162.30792011227</v>
      </c>
      <c r="Z504" s="16">
        <f t="shared" si="2"/>
        <v>372931.71862190159</v>
      </c>
      <c r="AA504" s="16">
        <f t="shared" si="3"/>
        <v>2.0051584280469145E-147</v>
      </c>
      <c r="AB504" s="16">
        <f t="shared" si="4"/>
        <v>6.1974277316924039E-33</v>
      </c>
      <c r="AC504" s="16">
        <f t="shared" si="5"/>
        <v>6704.8822423410993</v>
      </c>
      <c r="AD504" s="2"/>
      <c r="AE504" s="16">
        <v>372931.71862190159</v>
      </c>
      <c r="AF504" s="16">
        <f t="shared" si="6"/>
        <v>240061.72830233997</v>
      </c>
      <c r="AG504" s="16">
        <f t="shared" si="7"/>
        <v>101593.0857246761</v>
      </c>
      <c r="AH504" s="16">
        <f t="shared" si="8"/>
        <v>36004.541538516904</v>
      </c>
      <c r="AI504" s="16">
        <v>6704.8822423413094</v>
      </c>
      <c r="AJ504" s="2"/>
    </row>
    <row r="505" spans="1:3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2">
        <f t="shared" si="9"/>
        <v>45.099999999999426</v>
      </c>
      <c r="X505" s="13">
        <f t="shared" si="0"/>
        <v>1016819.1797054084</v>
      </c>
      <c r="Y505" s="13">
        <f t="shared" si="1"/>
        <v>1378149.9393173705</v>
      </c>
      <c r="Z505" s="13">
        <f t="shared" si="2"/>
        <v>379238.95539633301</v>
      </c>
      <c r="AA505" s="13">
        <f t="shared" si="3"/>
        <v>3.7827773819874568E-138</v>
      </c>
      <c r="AB505" s="13">
        <f t="shared" si="4"/>
        <v>1.2915969002200246E-30</v>
      </c>
      <c r="AC505" s="13">
        <f t="shared" si="5"/>
        <v>8301.3318560500993</v>
      </c>
      <c r="AD505" s="2"/>
      <c r="AE505" s="13">
        <v>379238.95539633301</v>
      </c>
      <c r="AF505" s="13">
        <f t="shared" si="6"/>
        <v>256225.60322491487</v>
      </c>
      <c r="AG505" s="13">
        <f t="shared" si="7"/>
        <v>113871.00597428392</v>
      </c>
      <c r="AH505" s="13">
        <f t="shared" si="8"/>
        <v>42402.481887882474</v>
      </c>
      <c r="AI505" s="13">
        <v>8301.3318560503485</v>
      </c>
      <c r="AJ505" s="2"/>
    </row>
    <row r="506" spans="1:3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5">
        <f t="shared" si="9"/>
        <v>45.149999999999423</v>
      </c>
      <c r="X506" s="16">
        <f t="shared" si="0"/>
        <v>2770136.9740063744</v>
      </c>
      <c r="Y506" s="16">
        <f t="shared" si="1"/>
        <v>1770560.817036273</v>
      </c>
      <c r="Z506" s="16">
        <f t="shared" si="2"/>
        <v>383058.86436324124</v>
      </c>
      <c r="AA506" s="16">
        <f t="shared" si="3"/>
        <v>3.6605814493179762E-129</v>
      </c>
      <c r="AB506" s="16">
        <f t="shared" si="4"/>
        <v>2.2780424716765211E-28</v>
      </c>
      <c r="AC506" s="16">
        <f t="shared" si="5"/>
        <v>10209.516340725604</v>
      </c>
      <c r="AD506" s="2"/>
      <c r="AE506" s="16">
        <v>383058.86436324124</v>
      </c>
      <c r="AF506" s="16">
        <f t="shared" si="6"/>
        <v>271643.15192776395</v>
      </c>
      <c r="AG506" s="16">
        <f t="shared" si="7"/>
        <v>126778.80820340361</v>
      </c>
      <c r="AH506" s="16">
        <f t="shared" si="8"/>
        <v>49604.127236643144</v>
      </c>
      <c r="AI506" s="16">
        <v>10209.516340725902</v>
      </c>
      <c r="AJ506" s="2"/>
    </row>
    <row r="507" spans="1:3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2">
        <f t="shared" si="9"/>
        <v>45.19999999999942</v>
      </c>
      <c r="X507" s="13">
        <f t="shared" si="0"/>
        <v>3842858.2602194562</v>
      </c>
      <c r="Y507" s="13">
        <f t="shared" si="1"/>
        <v>1921538.6729228373</v>
      </c>
      <c r="Z507" s="13">
        <f t="shared" si="2"/>
        <v>384314.74558839842</v>
      </c>
      <c r="AA507" s="13">
        <f t="shared" si="3"/>
        <v>1.8170486889582099E-120</v>
      </c>
      <c r="AB507" s="13">
        <f t="shared" si="4"/>
        <v>3.4002898519098843E-26</v>
      </c>
      <c r="AC507" s="13">
        <f t="shared" si="5"/>
        <v>12472.782048621</v>
      </c>
      <c r="AD507" s="2"/>
      <c r="AE507" s="13">
        <v>384314.74558839842</v>
      </c>
      <c r="AF507" s="13">
        <f t="shared" si="6"/>
        <v>286056.38023152191</v>
      </c>
      <c r="AG507" s="13">
        <f t="shared" si="7"/>
        <v>140205.37840833826</v>
      </c>
      <c r="AH507" s="13">
        <f t="shared" si="8"/>
        <v>57641.714724577156</v>
      </c>
      <c r="AI507" s="13">
        <v>12472.782048621351</v>
      </c>
      <c r="AJ507" s="2"/>
    </row>
    <row r="508" spans="1:3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5">
        <f t="shared" si="9"/>
        <v>45.249999999999417</v>
      </c>
      <c r="X508" s="16">
        <f t="shared" si="0"/>
        <v>2714582.8203333947</v>
      </c>
      <c r="Y508" s="16">
        <f t="shared" si="1"/>
        <v>1761616.2671112949</v>
      </c>
      <c r="Z508" s="16">
        <f t="shared" si="2"/>
        <v>382981.2703050893</v>
      </c>
      <c r="AA508" s="16">
        <f t="shared" si="3"/>
        <v>4.6265818956385075E-112</v>
      </c>
      <c r="AB508" s="16">
        <f t="shared" si="4"/>
        <v>4.2952590511062032E-24</v>
      </c>
      <c r="AC508" s="16">
        <f t="shared" si="5"/>
        <v>15136.388649833698</v>
      </c>
      <c r="AD508" s="2"/>
      <c r="AE508" s="16">
        <v>382981.2703050893</v>
      </c>
      <c r="AF508" s="16">
        <f t="shared" si="6"/>
        <v>299213.48153204308</v>
      </c>
      <c r="AG508" s="16">
        <f t="shared" si="7"/>
        <v>154016.47682764631</v>
      </c>
      <c r="AH508" s="16">
        <f t="shared" si="8"/>
        <v>66534.747648276898</v>
      </c>
      <c r="AI508" s="16">
        <v>15136.388649834113</v>
      </c>
      <c r="AJ508" s="2"/>
    </row>
    <row r="509" spans="1:3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2">
        <f t="shared" si="9"/>
        <v>45.299999999999415</v>
      </c>
      <c r="X509" s="13">
        <f t="shared" si="0"/>
        <v>976444.20880266884</v>
      </c>
      <c r="Y509" s="13">
        <f t="shared" si="1"/>
        <v>1364260.7872295266</v>
      </c>
      <c r="Z509" s="13">
        <f t="shared" si="2"/>
        <v>379085.33039559715</v>
      </c>
      <c r="AA509" s="13">
        <f t="shared" si="3"/>
        <v>6.042701519912803E-104</v>
      </c>
      <c r="AB509" s="13">
        <f t="shared" si="4"/>
        <v>4.5917906970380573E-22</v>
      </c>
      <c r="AC509" s="13">
        <f t="shared" si="5"/>
        <v>18246.601162204806</v>
      </c>
      <c r="AD509" s="2"/>
      <c r="AE509" s="13">
        <v>379085.33039559715</v>
      </c>
      <c r="AF509" s="13">
        <f t="shared" si="6"/>
        <v>310876.08720078249</v>
      </c>
      <c r="AG509" s="13">
        <f t="shared" si="7"/>
        <v>168056.06748306073</v>
      </c>
      <c r="AH509" s="13">
        <f t="shared" si="8"/>
        <v>76287.376476837206</v>
      </c>
      <c r="AI509" s="13">
        <v>18246.601162205287</v>
      </c>
      <c r="AJ509" s="2"/>
    </row>
    <row r="510" spans="1:3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5">
        <f t="shared" si="9"/>
        <v>45.349999999999412</v>
      </c>
      <c r="X510" s="16">
        <f t="shared" si="0"/>
        <v>178849.35550469882</v>
      </c>
      <c r="Y510" s="16">
        <f t="shared" si="1"/>
        <v>892498.26969783474</v>
      </c>
      <c r="Z510" s="16">
        <f t="shared" si="2"/>
        <v>372705.13654624223</v>
      </c>
      <c r="AA510" s="16">
        <f t="shared" si="3"/>
        <v>4.0483609838222912E-96</v>
      </c>
      <c r="AB510" s="16">
        <f t="shared" si="4"/>
        <v>4.1542641309745585E-20</v>
      </c>
      <c r="AC510" s="16">
        <f t="shared" si="5"/>
        <v>21849.548148826067</v>
      </c>
      <c r="AD510" s="2"/>
      <c r="AE510" s="16">
        <v>372705.13654624223</v>
      </c>
      <c r="AF510" s="16">
        <f t="shared" si="6"/>
        <v>320826.41449791682</v>
      </c>
      <c r="AG510" s="16">
        <f t="shared" si="7"/>
        <v>182148.54677832325</v>
      </c>
      <c r="AH510" s="16">
        <f t="shared" si="8"/>
        <v>86885.916970263919</v>
      </c>
      <c r="AI510" s="16">
        <v>21849.548148826612</v>
      </c>
      <c r="AJ510" s="2"/>
    </row>
    <row r="511" spans="1:3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2">
        <f t="shared" si="9"/>
        <v>45.399999999999409</v>
      </c>
      <c r="X511" s="13">
        <f t="shared" si="0"/>
        <v>16681.032660884812</v>
      </c>
      <c r="Y511" s="13">
        <f t="shared" si="1"/>
        <v>493220.67261335754</v>
      </c>
      <c r="Z511" s="13">
        <f t="shared" si="2"/>
        <v>363967.60732314287</v>
      </c>
      <c r="AA511" s="13">
        <f t="shared" si="3"/>
        <v>1.391247887461604E-88</v>
      </c>
      <c r="AB511" s="13">
        <f t="shared" si="4"/>
        <v>3.1807199116776341E-18</v>
      </c>
      <c r="AC511" s="13">
        <f t="shared" si="5"/>
        <v>25989.846410972699</v>
      </c>
      <c r="AD511" s="2"/>
      <c r="AE511" s="13">
        <v>363967.60732314287</v>
      </c>
      <c r="AF511" s="13">
        <f t="shared" si="6"/>
        <v>328874.01418699807</v>
      </c>
      <c r="AG511" s="13">
        <f t="shared" si="7"/>
        <v>196101.86598535965</v>
      </c>
      <c r="AH511" s="13">
        <f t="shared" si="8"/>
        <v>98296.632876785487</v>
      </c>
      <c r="AI511" s="13">
        <v>25989.846410973332</v>
      </c>
      <c r="AJ511" s="2"/>
    </row>
    <row r="512" spans="1:3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5">
        <f t="shared" si="9"/>
        <v>45.449999999999406</v>
      </c>
      <c r="X512" s="16">
        <f t="shared" si="0"/>
        <v>792.23512503709014</v>
      </c>
      <c r="Y512" s="16">
        <f t="shared" si="1"/>
        <v>230249.6938186122</v>
      </c>
      <c r="Z512" s="16">
        <f t="shared" si="2"/>
        <v>353044.17092105106</v>
      </c>
      <c r="AA512" s="16">
        <f t="shared" si="3"/>
        <v>2.4524886398318726E-81</v>
      </c>
      <c r="AB512" s="16">
        <f t="shared" si="4"/>
        <v>2.0609907814478345E-16</v>
      </c>
      <c r="AC512" s="16">
        <f t="shared" si="5"/>
        <v>30709.004487047296</v>
      </c>
      <c r="AD512" s="2"/>
      <c r="AE512" s="16">
        <v>353044.17092105106</v>
      </c>
      <c r="AF512" s="16">
        <f t="shared" si="6"/>
        <v>334861.82653638715</v>
      </c>
      <c r="AG512" s="16">
        <f t="shared" si="7"/>
        <v>209711.49836595793</v>
      </c>
      <c r="AH512" s="16">
        <f t="shared" si="8"/>
        <v>110463.91658532846</v>
      </c>
      <c r="AI512" s="16">
        <v>30709.004487048012</v>
      </c>
      <c r="AJ512" s="2"/>
    </row>
    <row r="513" spans="1:3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2">
        <f t="shared" si="9"/>
        <v>45.499999999999403</v>
      </c>
      <c r="X513" s="13">
        <f t="shared" si="0"/>
        <v>19.159354024389604</v>
      </c>
      <c r="Y513" s="13">
        <f t="shared" si="1"/>
        <v>90798.934771671324</v>
      </c>
      <c r="Z513" s="13">
        <f t="shared" si="2"/>
        <v>340145.17355941539</v>
      </c>
      <c r="AA513" s="13">
        <f t="shared" si="3"/>
        <v>2.2176177552336107E-74</v>
      </c>
      <c r="AB513" s="13">
        <f t="shared" si="4"/>
        <v>1.1301757140850363E-14</v>
      </c>
      <c r="AC513" s="13">
        <f t="shared" si="5"/>
        <v>36043.630985306758</v>
      </c>
      <c r="AD513" s="2"/>
      <c r="AE513" s="13">
        <v>340145.17355941539</v>
      </c>
      <c r="AF513" s="13">
        <f t="shared" si="6"/>
        <v>338671.27697964292</v>
      </c>
      <c r="AG513" s="13">
        <f t="shared" si="7"/>
        <v>222765.15633355183</v>
      </c>
      <c r="AH513" s="13">
        <f t="shared" si="8"/>
        <v>123309.00028974423</v>
      </c>
      <c r="AI513" s="13">
        <v>36043.630985307565</v>
      </c>
      <c r="AJ513" s="2"/>
    </row>
    <row r="514" spans="1:3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5">
        <f t="shared" si="9"/>
        <v>45.5499999999994</v>
      </c>
      <c r="X514" s="16">
        <f t="shared" si="0"/>
        <v>0.23594090384033256</v>
      </c>
      <c r="Y514" s="16">
        <f t="shared" si="1"/>
        <v>30247.281463506217</v>
      </c>
      <c r="Z514" s="16">
        <f t="shared" si="2"/>
        <v>325513.14922504016</v>
      </c>
      <c r="AA514" s="16">
        <f t="shared" si="3"/>
        <v>1.0285930252533399E-67</v>
      </c>
      <c r="AB514" s="16">
        <f t="shared" si="4"/>
        <v>5.2448756004637553E-13</v>
      </c>
      <c r="AC514" s="16">
        <f t="shared" si="5"/>
        <v>42023.488682539144</v>
      </c>
      <c r="AD514" s="2"/>
      <c r="AE514" s="16">
        <v>325513.14922504016</v>
      </c>
      <c r="AF514" s="16">
        <f t="shared" si="6"/>
        <v>340226.18057487381</v>
      </c>
      <c r="AG514" s="16">
        <f t="shared" si="7"/>
        <v>235048.12017104629</v>
      </c>
      <c r="AH514" s="16">
        <f t="shared" si="8"/>
        <v>136729.3217801076</v>
      </c>
      <c r="AI514" s="16">
        <v>42023.488682540046</v>
      </c>
      <c r="AJ514" s="2"/>
    </row>
    <row r="515" spans="1:3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2">
        <f t="shared" si="9"/>
        <v>45.599999999999397</v>
      </c>
      <c r="X515" s="13">
        <f t="shared" si="0"/>
        <v>1.4795213036223626E-3</v>
      </c>
      <c r="Y515" s="13">
        <f t="shared" si="1"/>
        <v>8511.6908948918863</v>
      </c>
      <c r="Z515" s="13">
        <f t="shared" si="2"/>
        <v>309415.25130704063</v>
      </c>
      <c r="AA515" s="13">
        <f t="shared" si="3"/>
        <v>2.4472461805691351E-61</v>
      </c>
      <c r="AB515" s="13">
        <f t="shared" si="4"/>
        <v>2.0598884998816125E-11</v>
      </c>
      <c r="AC515" s="13">
        <f t="shared" si="5"/>
        <v>48669.450672048944</v>
      </c>
      <c r="AD515" s="2"/>
      <c r="AE515" s="13">
        <v>309415.25130704063</v>
      </c>
      <c r="AF515" s="13">
        <f t="shared" si="6"/>
        <v>339495.27568376088</v>
      </c>
      <c r="AG515" s="13">
        <f t="shared" si="7"/>
        <v>246349.00023004427</v>
      </c>
      <c r="AH515" s="13">
        <f t="shared" si="8"/>
        <v>150598.6524255499</v>
      </c>
      <c r="AI515" s="13">
        <v>48669.450672049948</v>
      </c>
      <c r="AJ515" s="2"/>
    </row>
    <row r="516" spans="1:3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5">
        <f t="shared" si="9"/>
        <v>45.649999999999395</v>
      </c>
      <c r="X516" s="16">
        <f t="shared" si="0"/>
        <v>4.724271137226459E-6</v>
      </c>
      <c r="Y516" s="16">
        <f t="shared" si="1"/>
        <v>2023.3417440547562</v>
      </c>
      <c r="Z516" s="16">
        <f t="shared" si="2"/>
        <v>292135.17531460093</v>
      </c>
      <c r="AA516" s="16">
        <f t="shared" si="3"/>
        <v>2.9866817134748815E-55</v>
      </c>
      <c r="AB516" s="16">
        <f t="shared" si="4"/>
        <v>6.8465460547367283E-10</v>
      </c>
      <c r="AC516" s="16">
        <f t="shared" si="5"/>
        <v>55991.429730260388</v>
      </c>
      <c r="AD516" s="2"/>
      <c r="AE516" s="16">
        <v>292135.17531460093</v>
      </c>
      <c r="AF516" s="16">
        <f t="shared" si="6"/>
        <v>336493.26916651143</v>
      </c>
      <c r="AG516" s="16">
        <f t="shared" si="7"/>
        <v>256465.72200819149</v>
      </c>
      <c r="AH516" s="16">
        <f t="shared" si="8"/>
        <v>164768.07027185202</v>
      </c>
      <c r="AI516" s="16">
        <v>55991.429730261494</v>
      </c>
      <c r="AJ516" s="2"/>
    </row>
    <row r="517" spans="1:3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2">
        <f t="shared" si="9"/>
        <v>45.699999999999392</v>
      </c>
      <c r="X517" s="13">
        <f t="shared" si="0"/>
        <v>7.6814642649142726E-9</v>
      </c>
      <c r="Y517" s="13">
        <f t="shared" si="1"/>
        <v>406.29973733844218</v>
      </c>
      <c r="Z517" s="13">
        <f t="shared" si="2"/>
        <v>273964.91218813846</v>
      </c>
      <c r="AA517" s="13">
        <f t="shared" si="3"/>
        <v>1.8697236684314685E-49</v>
      </c>
      <c r="AB517" s="13">
        <f t="shared" si="4"/>
        <v>1.925833134428016E-8</v>
      </c>
      <c r="AC517" s="13">
        <f t="shared" si="5"/>
        <v>63986.365448699231</v>
      </c>
      <c r="AD517" s="2"/>
      <c r="AE517" s="13">
        <v>273964.91218813852</v>
      </c>
      <c r="AF517" s="13">
        <f t="shared" si="6"/>
        <v>331280.34427915124</v>
      </c>
      <c r="AG517" s="13">
        <f t="shared" si="7"/>
        <v>265211.50050463877</v>
      </c>
      <c r="AH517" s="13">
        <f t="shared" si="8"/>
        <v>179067.82903461982</v>
      </c>
      <c r="AI517" s="13">
        <v>63986.365448700446</v>
      </c>
      <c r="AJ517" s="2"/>
    </row>
    <row r="518" spans="1:3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5">
        <f t="shared" si="9"/>
        <v>45.749999999999389</v>
      </c>
      <c r="X518" s="16">
        <f t="shared" si="0"/>
        <v>6.3598785437429043E-12</v>
      </c>
      <c r="Y518" s="16">
        <f t="shared" si="1"/>
        <v>68.920392711732617</v>
      </c>
      <c r="Z518" s="16">
        <f t="shared" si="2"/>
        <v>255196.6638274084</v>
      </c>
      <c r="AA518" s="16">
        <f t="shared" si="3"/>
        <v>6.004033514080816E-44</v>
      </c>
      <c r="AB518" s="16">
        <f t="shared" si="4"/>
        <v>4.5844271419679129E-7</v>
      </c>
      <c r="AC518" s="16">
        <f t="shared" si="5"/>
        <v>72636.364431570197</v>
      </c>
      <c r="AD518" s="2"/>
      <c r="AE518" s="16">
        <v>255196.6638274084</v>
      </c>
      <c r="AF518" s="16">
        <f t="shared" si="6"/>
        <v>323960.15427426569</v>
      </c>
      <c r="AG518" s="16">
        <f t="shared" si="7"/>
        <v>272420.55875987461</v>
      </c>
      <c r="AH518" s="16">
        <f t="shared" si="8"/>
        <v>193310.13530713707</v>
      </c>
      <c r="AI518" s="16">
        <v>72636.364431571492</v>
      </c>
      <c r="AJ518" s="2"/>
    </row>
    <row r="519" spans="1:3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2">
        <f t="shared" si="9"/>
        <v>45.799999999999386</v>
      </c>
      <c r="X519" s="13">
        <f t="shared" si="0"/>
        <v>2.6813236390263193E-15</v>
      </c>
      <c r="Y519" s="13">
        <f t="shared" si="1"/>
        <v>9.875812756433092</v>
      </c>
      <c r="Z519" s="13">
        <f t="shared" si="2"/>
        <v>236115.22766660244</v>
      </c>
      <c r="AA519" s="13">
        <f t="shared" si="3"/>
        <v>9.8897653887371068E-39</v>
      </c>
      <c r="AB519" s="13">
        <f t="shared" si="4"/>
        <v>9.2357207978863051E-6</v>
      </c>
      <c r="AC519" s="13">
        <f t="shared" si="5"/>
        <v>81907.095876208492</v>
      </c>
      <c r="AD519" s="2"/>
      <c r="AE519" s="13">
        <v>236115.22766660244</v>
      </c>
      <c r="AF519" s="13">
        <f t="shared" si="6"/>
        <v>314676.39514184179</v>
      </c>
      <c r="AG519" s="13">
        <f t="shared" si="7"/>
        <v>277953.34679053491</v>
      </c>
      <c r="AH519" s="13">
        <f t="shared" si="8"/>
        <v>207292.80327103485</v>
      </c>
      <c r="AI519" s="13">
        <v>81907.09587620986</v>
      </c>
      <c r="AJ519" s="2"/>
    </row>
    <row r="520" spans="1:3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5">
        <f t="shared" si="9"/>
        <v>45.849999999999383</v>
      </c>
      <c r="X520" s="16">
        <f t="shared" si="0"/>
        <v>5.7563243879154807E-19</v>
      </c>
      <c r="Y520" s="16">
        <f t="shared" si="1"/>
        <v>1.1954236757151504</v>
      </c>
      <c r="Z520" s="16">
        <f t="shared" si="2"/>
        <v>216991.1177631022</v>
      </c>
      <c r="AA520" s="16">
        <f t="shared" si="3"/>
        <v>8.3561469672042995E-34</v>
      </c>
      <c r="AB520" s="16">
        <f t="shared" si="4"/>
        <v>1.5746201894555479E-4</v>
      </c>
      <c r="AC520" s="16">
        <f t="shared" si="5"/>
        <v>91746.547112526663</v>
      </c>
      <c r="AD520" s="2"/>
      <c r="AE520" s="16">
        <v>216991.1177631022</v>
      </c>
      <c r="AF520" s="16">
        <f t="shared" si="6"/>
        <v>303608.1157803525</v>
      </c>
      <c r="AG520" s="16">
        <f t="shared" si="7"/>
        <v>281701.03172001033</v>
      </c>
      <c r="AH520" s="16">
        <f t="shared" si="8"/>
        <v>220803.7108416601</v>
      </c>
      <c r="AI520" s="16">
        <v>91746.547112528118</v>
      </c>
      <c r="AJ520" s="2"/>
    </row>
    <row r="521" spans="1:3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2">
        <f t="shared" si="9"/>
        <v>45.89999999999938</v>
      </c>
      <c r="X521" s="13">
        <f t="shared" si="0"/>
        <v>6.2926980139029677E-23</v>
      </c>
      <c r="Y521" s="13">
        <f t="shared" si="1"/>
        <v>0.12223477024819689</v>
      </c>
      <c r="Z521" s="13">
        <f t="shared" si="2"/>
        <v>198074.63908448711</v>
      </c>
      <c r="AA521" s="13">
        <f t="shared" si="3"/>
        <v>3.6216239171789568E-29</v>
      </c>
      <c r="AB521" s="13">
        <f t="shared" si="4"/>
        <v>2.2719571468068976E-3</v>
      </c>
      <c r="AC521" s="13">
        <f t="shared" si="5"/>
        <v>102084.2403404659</v>
      </c>
      <c r="AD521" s="2"/>
      <c r="AE521" s="13">
        <v>198074.63908448711</v>
      </c>
      <c r="AF521" s="13">
        <f t="shared" si="6"/>
        <v>290963.97936348728</v>
      </c>
      <c r="AG521" s="13">
        <f t="shared" si="7"/>
        <v>283589.0573900083</v>
      </c>
      <c r="AH521" s="13">
        <f t="shared" si="8"/>
        <v>233625.93611324581</v>
      </c>
      <c r="AI521" s="13">
        <v>102084.24034046743</v>
      </c>
      <c r="AJ521" s="2"/>
    </row>
    <row r="522" spans="1:3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5">
        <f t="shared" si="9"/>
        <v>45.949999999999378</v>
      </c>
      <c r="X522" s="16">
        <f t="shared" si="0"/>
        <v>3.5028708786410864E-27</v>
      </c>
      <c r="Y522" s="16">
        <f t="shared" si="1"/>
        <v>1.0558240982103582E-2</v>
      </c>
      <c r="Z522" s="16">
        <f t="shared" si="2"/>
        <v>179591.0731718475</v>
      </c>
      <c r="AA522" s="16">
        <f t="shared" si="3"/>
        <v>8.0515191221181618E-25</v>
      </c>
      <c r="AB522" s="16">
        <f t="shared" si="4"/>
        <v>2.7742382501481481E-2</v>
      </c>
      <c r="AC522" s="16">
        <f t="shared" si="5"/>
        <v>112831.00230962101</v>
      </c>
      <c r="AD522" s="2"/>
      <c r="AE522" s="16">
        <v>179591.0731718475</v>
      </c>
      <c r="AF522" s="16">
        <f t="shared" si="6"/>
        <v>276975.73264632589</v>
      </c>
      <c r="AG522" s="16">
        <f t="shared" si="7"/>
        <v>283579.61084172595</v>
      </c>
      <c r="AH522" s="16">
        <f t="shared" si="8"/>
        <v>245543.4110121066</v>
      </c>
      <c r="AI522" s="16">
        <v>112831.00230962259</v>
      </c>
      <c r="AJ522" s="2"/>
    </row>
    <row r="523" spans="1:3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2">
        <f t="shared" si="9"/>
        <v>45.999999999999375</v>
      </c>
      <c r="X523" s="13">
        <f t="shared" si="0"/>
        <v>9.9290334755367598E-32</v>
      </c>
      <c r="Y523" s="13">
        <f t="shared" si="1"/>
        <v>7.7039291778407525E-4</v>
      </c>
      <c r="Z523" s="13">
        <f t="shared" si="2"/>
        <v>161737.07106630568</v>
      </c>
      <c r="AA523" s="13">
        <f t="shared" si="3"/>
        <v>9.1818354859886588E-21</v>
      </c>
      <c r="AB523" s="13">
        <f t="shared" si="4"/>
        <v>0.28668612526389586</v>
      </c>
      <c r="AC523" s="13">
        <f t="shared" si="5"/>
        <v>123879.362828414</v>
      </c>
      <c r="AD523" s="2"/>
      <c r="AE523" s="13">
        <v>161737.07106630568</v>
      </c>
      <c r="AF523" s="13">
        <f t="shared" si="6"/>
        <v>261891.16820840791</v>
      </c>
      <c r="AG523" s="13">
        <f t="shared" si="7"/>
        <v>281672.88168721681</v>
      </c>
      <c r="AH523" s="13">
        <f t="shared" si="8"/>
        <v>256346.89304874025</v>
      </c>
      <c r="AI523" s="13">
        <v>123879.36282841564</v>
      </c>
      <c r="AJ523" s="2"/>
    </row>
    <row r="524" spans="1:3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5">
        <f t="shared" si="9"/>
        <v>46.049999999999372</v>
      </c>
      <c r="X524" s="16">
        <f t="shared" si="0"/>
        <v>1.4331294768382908E-36</v>
      </c>
      <c r="Y524" s="16">
        <f t="shared" si="1"/>
        <v>4.7485049506682794E-5</v>
      </c>
      <c r="Z524" s="16">
        <f t="shared" si="2"/>
        <v>144678.28719974955</v>
      </c>
      <c r="AA524" s="16">
        <f t="shared" si="3"/>
        <v>5.3710399756718542E-17</v>
      </c>
      <c r="AB524" s="16">
        <f t="shared" si="4"/>
        <v>2.5071995105303726</v>
      </c>
      <c r="AC524" s="16">
        <f t="shared" si="5"/>
        <v>135104.63598719682</v>
      </c>
      <c r="AD524" s="2"/>
      <c r="AE524" s="16">
        <v>144678.28719974955</v>
      </c>
      <c r="AF524" s="16">
        <f t="shared" si="6"/>
        <v>245966.87696124165</v>
      </c>
      <c r="AG524" s="16">
        <f t="shared" si="7"/>
        <v>277907.05578035058</v>
      </c>
      <c r="AH524" s="16">
        <f t="shared" si="8"/>
        <v>265840.0286080637</v>
      </c>
      <c r="AI524" s="16">
        <v>135104.63598719845</v>
      </c>
      <c r="AJ524" s="2"/>
    </row>
    <row r="525" spans="1:3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2">
        <f t="shared" si="9"/>
        <v>46.099999999999369</v>
      </c>
      <c r="X525" s="13">
        <f t="shared" si="0"/>
        <v>1.0533179622828862E-41</v>
      </c>
      <c r="Y525" s="13">
        <f t="shared" si="1"/>
        <v>2.4724380038591579E-6</v>
      </c>
      <c r="Z525" s="13">
        <f t="shared" si="2"/>
        <v>128548.22943986519</v>
      </c>
      <c r="AA525" s="13">
        <f t="shared" si="3"/>
        <v>1.6116267293474851E-13</v>
      </c>
      <c r="AB525" s="13">
        <f t="shared" si="4"/>
        <v>18.556258486970833</v>
      </c>
      <c r="AC525" s="13">
        <f t="shared" si="5"/>
        <v>146366.7105013043</v>
      </c>
      <c r="AD525" s="2"/>
      <c r="AE525" s="13">
        <v>128548.22943986519</v>
      </c>
      <c r="AF525" s="13">
        <f t="shared" si="6"/>
        <v>229461.08453815177</v>
      </c>
      <c r="AG525" s="13">
        <f t="shared" si="7"/>
        <v>272357.04348246794</v>
      </c>
      <c r="AH525" s="13">
        <f t="shared" si="8"/>
        <v>273845.264542419</v>
      </c>
      <c r="AI525" s="13">
        <v>146366.71050130593</v>
      </c>
      <c r="AJ525" s="2"/>
    </row>
    <row r="526" spans="1:3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5">
        <f t="shared" si="9"/>
        <v>46.149999999999366</v>
      </c>
      <c r="X526" s="16">
        <f t="shared" si="0"/>
        <v>3.9421138214012253E-47</v>
      </c>
      <c r="Y526" s="16">
        <f t="shared" si="1"/>
        <v>1.087471359455064E-7</v>
      </c>
      <c r="Z526" s="16">
        <f t="shared" si="2"/>
        <v>113448.24866949444</v>
      </c>
      <c r="AA526" s="16">
        <f t="shared" si="3"/>
        <v>2.4805485859419427E-10</v>
      </c>
      <c r="AB526" s="16">
        <f t="shared" si="4"/>
        <v>116.22812522134925</v>
      </c>
      <c r="AC526" s="16">
        <f t="shared" si="5"/>
        <v>157512.54375350315</v>
      </c>
      <c r="AD526" s="2"/>
      <c r="AE526" s="16">
        <v>113448.24866949444</v>
      </c>
      <c r="AF526" s="16">
        <f t="shared" si="6"/>
        <v>212626.84636844043</v>
      </c>
      <c r="AG526" s="16">
        <f t="shared" si="7"/>
        <v>265132.00168587652</v>
      </c>
      <c r="AH526" s="16">
        <f t="shared" si="8"/>
        <v>280209.36054000678</v>
      </c>
      <c r="AI526" s="16">
        <v>157512.54375350478</v>
      </c>
      <c r="AJ526" s="2"/>
    </row>
    <row r="527" spans="1:3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2">
        <f t="shared" si="9"/>
        <v>46.199999999999363</v>
      </c>
      <c r="X527" s="13">
        <f t="shared" si="0"/>
        <v>7.5126721467546521E-53</v>
      </c>
      <c r="Y527" s="13">
        <f t="shared" si="1"/>
        <v>4.0404910313080908E-9</v>
      </c>
      <c r="Z527" s="13">
        <f t="shared" si="2"/>
        <v>99448.548490293164</v>
      </c>
      <c r="AA527" s="13">
        <f t="shared" si="3"/>
        <v>1.9584307221077876E-7</v>
      </c>
      <c r="AB527" s="13">
        <f t="shared" si="4"/>
        <v>616.10020242418011</v>
      </c>
      <c r="AC527" s="13">
        <f t="shared" si="5"/>
        <v>168379.3194872824</v>
      </c>
      <c r="AD527" s="2"/>
      <c r="AE527" s="13">
        <v>99448.548490293164</v>
      </c>
      <c r="AF527" s="13">
        <f t="shared" si="6"/>
        <v>195705.8441852261</v>
      </c>
      <c r="AG527" s="13">
        <f t="shared" si="7"/>
        <v>256371.7640954899</v>
      </c>
      <c r="AH527" s="13">
        <f t="shared" si="8"/>
        <v>284808.26367906417</v>
      </c>
      <c r="AI527" s="13">
        <v>168379.319487284</v>
      </c>
      <c r="AJ527" s="2"/>
    </row>
    <row r="528" spans="1:3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5">
        <f t="shared" si="9"/>
        <v>46.249999999999361</v>
      </c>
      <c r="X528" s="16">
        <f t="shared" si="0"/>
        <v>7.2904665453811365E-59</v>
      </c>
      <c r="Y528" s="16">
        <f t="shared" si="1"/>
        <v>1.2681609275176273E-10</v>
      </c>
      <c r="Z528" s="16">
        <f t="shared" si="2"/>
        <v>86590.063389067669</v>
      </c>
      <c r="AA528" s="16">
        <f t="shared" si="3"/>
        <v>7.9313275904280777E-5</v>
      </c>
      <c r="AB528" s="16">
        <f t="shared" si="4"/>
        <v>2763.826459066082</v>
      </c>
      <c r="AC528" s="16">
        <f t="shared" si="5"/>
        <v>178798.19356409527</v>
      </c>
      <c r="AD528" s="2"/>
      <c r="AE528" s="16">
        <v>86590.063389067669</v>
      </c>
      <c r="AF528" s="16">
        <f t="shared" si="6"/>
        <v>178922.9840518634</v>
      </c>
      <c r="AG528" s="16">
        <f t="shared" si="7"/>
        <v>246242.34281890548</v>
      </c>
      <c r="AH528" s="16">
        <f t="shared" si="8"/>
        <v>287551.12873506773</v>
      </c>
      <c r="AI528" s="16">
        <v>178798.19356409676</v>
      </c>
      <c r="AJ528" s="2"/>
    </row>
    <row r="529" spans="1:3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2">
        <f t="shared" si="9"/>
        <v>46.299999999999358</v>
      </c>
      <c r="X529" s="13">
        <f t="shared" si="0"/>
        <v>3.6025649047503692E-65</v>
      </c>
      <c r="Y529" s="13">
        <f t="shared" si="1"/>
        <v>3.3623157226122051E-12</v>
      </c>
      <c r="Z529" s="13">
        <f t="shared" si="2"/>
        <v>74887.032685806509</v>
      </c>
      <c r="AA529" s="13">
        <f t="shared" si="3"/>
        <v>1.647634063474461E-2</v>
      </c>
      <c r="AB529" s="13">
        <f t="shared" si="4"/>
        <v>10492.75394217782</v>
      </c>
      <c r="AC529" s="13">
        <f t="shared" si="5"/>
        <v>188598.51787317696</v>
      </c>
      <c r="AD529" s="2"/>
      <c r="AE529" s="13">
        <v>74887.032685806509</v>
      </c>
      <c r="AF529" s="13">
        <f t="shared" si="6"/>
        <v>162481.94586605878</v>
      </c>
      <c r="AG529" s="13">
        <f t="shared" si="7"/>
        <v>234930.7033124179</v>
      </c>
      <c r="AH529" s="13">
        <f t="shared" si="8"/>
        <v>288383.3022830899</v>
      </c>
      <c r="AI529" s="13">
        <v>188598.51787317832</v>
      </c>
      <c r="AJ529" s="2"/>
    </row>
    <row r="530" spans="1:3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5">
        <f t="shared" si="9"/>
        <v>46.349999999999355</v>
      </c>
      <c r="X530" s="16">
        <f t="shared" si="0"/>
        <v>9.0649187157624431E-72</v>
      </c>
      <c r="Y530" s="16">
        <f t="shared" si="1"/>
        <v>7.5305468799808406E-14</v>
      </c>
      <c r="Z530" s="16">
        <f t="shared" si="2"/>
        <v>64330.087705301718</v>
      </c>
      <c r="AA530" s="16">
        <f t="shared" si="3"/>
        <v>1.7557102124798982</v>
      </c>
      <c r="AB530" s="16">
        <f t="shared" si="4"/>
        <v>33712.23199888513</v>
      </c>
      <c r="AC530" s="16">
        <f t="shared" si="5"/>
        <v>197612.40158878951</v>
      </c>
      <c r="AD530" s="2"/>
      <c r="AE530" s="16">
        <v>64330.087705301718</v>
      </c>
      <c r="AF530" s="16">
        <f t="shared" si="6"/>
        <v>146561.78013354342</v>
      </c>
      <c r="AG530" s="16">
        <f t="shared" si="7"/>
        <v>222639.04209167577</v>
      </c>
      <c r="AH530" s="16">
        <f t="shared" si="8"/>
        <v>287288.13367452286</v>
      </c>
      <c r="AI530" s="16">
        <v>197612.40158879082</v>
      </c>
      <c r="AJ530" s="2"/>
    </row>
    <row r="531" spans="1:3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2">
        <f t="shared" si="9"/>
        <v>46.399999999999352</v>
      </c>
      <c r="X531" s="13">
        <f t="shared" si="0"/>
        <v>1.161479695811294E-78</v>
      </c>
      <c r="Y531" s="13">
        <f t="shared" si="1"/>
        <v>1.4247492711681333E-15</v>
      </c>
      <c r="Z531" s="13">
        <f t="shared" si="2"/>
        <v>54889.670101022137</v>
      </c>
      <c r="AA531" s="13">
        <f t="shared" si="3"/>
        <v>95.967041805508146</v>
      </c>
      <c r="AB531" s="13">
        <f t="shared" si="4"/>
        <v>91665.270657661036</v>
      </c>
      <c r="AC531" s="13">
        <f t="shared" si="5"/>
        <v>205679.44365655843</v>
      </c>
      <c r="AD531" s="2"/>
      <c r="AE531" s="13">
        <v>54889.670101022137</v>
      </c>
      <c r="AF531" s="13">
        <f t="shared" si="6"/>
        <v>131314.59302369648</v>
      </c>
      <c r="AG531" s="13">
        <f t="shared" si="7"/>
        <v>209578.81107449345</v>
      </c>
      <c r="AH531" s="13">
        <f t="shared" si="8"/>
        <v>284287.52906357317</v>
      </c>
      <c r="AI531" s="13">
        <v>205679.44365655957</v>
      </c>
      <c r="AJ531" s="2"/>
    </row>
    <row r="532" spans="1:3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5">
        <f t="shared" si="9"/>
        <v>46.449999999999349</v>
      </c>
      <c r="X532" s="16">
        <f t="shared" si="0"/>
        <v>7.578005879572968E-86</v>
      </c>
      <c r="Y532" s="16">
        <f t="shared" si="1"/>
        <v>2.2770589413648952E-17</v>
      </c>
      <c r="Z532" s="16">
        <f t="shared" si="2"/>
        <v>46519.608779833376</v>
      </c>
      <c r="AA532" s="16">
        <f t="shared" si="3"/>
        <v>2690.7204509507924</v>
      </c>
      <c r="AB532" s="16">
        <f t="shared" si="4"/>
        <v>210931.50096370769</v>
      </c>
      <c r="AC532" s="16">
        <f t="shared" si="5"/>
        <v>212651.4525745736</v>
      </c>
      <c r="AD532" s="2"/>
      <c r="AE532" s="16">
        <v>46519.608779833376</v>
      </c>
      <c r="AF532" s="16">
        <f t="shared" si="6"/>
        <v>116864.30852474469</v>
      </c>
      <c r="AG532" s="16">
        <f t="shared" si="7"/>
        <v>195964.73359686288</v>
      </c>
      <c r="AH532" s="16">
        <f t="shared" si="8"/>
        <v>279441.22273261595</v>
      </c>
      <c r="AI532" s="16">
        <v>212651.45257457459</v>
      </c>
      <c r="AJ532" s="2"/>
    </row>
    <row r="533" spans="1:3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2">
        <f t="shared" si="9"/>
        <v>46.499999999999346</v>
      </c>
      <c r="X533" s="13">
        <f t="shared" si="0"/>
        <v>2.5176413413382119E-93</v>
      </c>
      <c r="Y533" s="13">
        <f t="shared" si="1"/>
        <v>3.0742133435814901E-19</v>
      </c>
      <c r="Z533" s="13">
        <f t="shared" si="2"/>
        <v>39160.699706820553</v>
      </c>
      <c r="AA533" s="13">
        <f t="shared" si="3"/>
        <v>38698.332400102983</v>
      </c>
      <c r="AB533" s="13">
        <f t="shared" si="4"/>
        <v>410768.71632827265</v>
      </c>
      <c r="AC533" s="13">
        <f t="shared" si="5"/>
        <v>218396.96074090913</v>
      </c>
      <c r="AD533" s="2"/>
      <c r="AE533" s="13">
        <v>39160.699706820553</v>
      </c>
      <c r="AF533" s="13">
        <f t="shared" si="6"/>
        <v>103306.44966580694</v>
      </c>
      <c r="AG533" s="13">
        <f t="shared" si="7"/>
        <v>182009.04552769911</v>
      </c>
      <c r="AH533" s="13">
        <f t="shared" si="8"/>
        <v>272844.79957462702</v>
      </c>
      <c r="AI533" s="13">
        <v>218396.96074090991</v>
      </c>
      <c r="AJ533" s="2"/>
    </row>
    <row r="534" spans="1:3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5">
        <f t="shared" si="9"/>
        <v>46.549999999999343</v>
      </c>
      <c r="X534" s="16">
        <f t="shared" si="0"/>
        <v>4.259203518628821E-101</v>
      </c>
      <c r="Y534" s="16">
        <f t="shared" si="1"/>
        <v>3.5060462120138379E-21</v>
      </c>
      <c r="Z534" s="16">
        <f t="shared" si="2"/>
        <v>32744.155065938481</v>
      </c>
      <c r="AA534" s="16">
        <f t="shared" si="3"/>
        <v>285491.45961463789</v>
      </c>
      <c r="AB534" s="16">
        <f t="shared" si="4"/>
        <v>676974.91811815253</v>
      </c>
      <c r="AC534" s="16">
        <f t="shared" si="5"/>
        <v>222805.34186364437</v>
      </c>
      <c r="AD534" s="2"/>
      <c r="AE534" s="16">
        <v>32744.155065938481</v>
      </c>
      <c r="AF534" s="16">
        <f t="shared" si="6"/>
        <v>90708.841435542417</v>
      </c>
      <c r="AG534" s="16">
        <f t="shared" si="7"/>
        <v>167916.171805875</v>
      </c>
      <c r="AH534" s="16">
        <f t="shared" si="8"/>
        <v>264626.56018179463</v>
      </c>
      <c r="AI534" s="16">
        <v>222805.34186364495</v>
      </c>
      <c r="AJ534" s="2"/>
    </row>
    <row r="535" spans="1:3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2">
        <f t="shared" si="9"/>
        <v>46.599999999999341</v>
      </c>
      <c r="X535" s="13">
        <f t="shared" si="0"/>
        <v>3.6690914085328821E-109</v>
      </c>
      <c r="Y535" s="13">
        <f t="shared" si="1"/>
        <v>3.3777318640898465E-23</v>
      </c>
      <c r="Z535" s="13">
        <f t="shared" si="2"/>
        <v>27194.813810163741</v>
      </c>
      <c r="AA535" s="13">
        <f t="shared" si="3"/>
        <v>1080366.7026393099</v>
      </c>
      <c r="AB535" s="13">
        <f t="shared" si="4"/>
        <v>944206.73908146005</v>
      </c>
      <c r="AC535" s="13">
        <f t="shared" si="5"/>
        <v>225790.35153954031</v>
      </c>
      <c r="AD535" s="2"/>
      <c r="AE535" s="13">
        <v>27194.813810163741</v>
      </c>
      <c r="AF535" s="13">
        <f t="shared" si="6"/>
        <v>79113.107684560833</v>
      </c>
      <c r="AG535" s="13">
        <f t="shared" si="7"/>
        <v>153878.01611157681</v>
      </c>
      <c r="AH535" s="13">
        <f t="shared" si="8"/>
        <v>254943.37215505616</v>
      </c>
      <c r="AI535" s="13">
        <v>225790.35153954066</v>
      </c>
      <c r="AJ535" s="2"/>
    </row>
    <row r="536" spans="1:3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5">
        <f t="shared" si="9"/>
        <v>46.649999999999338</v>
      </c>
      <c r="X536" s="16">
        <f t="shared" si="0"/>
        <v>1.6094751595002009E-117</v>
      </c>
      <c r="Y536" s="16">
        <f t="shared" si="1"/>
        <v>2.7488852281296548E-25</v>
      </c>
      <c r="Z536" s="16">
        <f t="shared" si="2"/>
        <v>22434.032635109867</v>
      </c>
      <c r="AA536" s="16">
        <f t="shared" si="3"/>
        <v>2097135.3428203713</v>
      </c>
      <c r="AB536" s="16">
        <f t="shared" si="4"/>
        <v>1114502.156124606</v>
      </c>
      <c r="AC536" s="16">
        <f t="shared" si="5"/>
        <v>227292.93278622581</v>
      </c>
      <c r="AD536" s="2"/>
      <c r="AE536" s="16">
        <v>22434.032635109867</v>
      </c>
      <c r="AF536" s="16">
        <f t="shared" si="6"/>
        <v>68536.813712878036</v>
      </c>
      <c r="AG536" s="16">
        <f t="shared" si="7"/>
        <v>140070.00173689573</v>
      </c>
      <c r="AH536" s="16">
        <f t="shared" si="8"/>
        <v>243975.69497523416</v>
      </c>
      <c r="AI536" s="16">
        <v>227292.93278622598</v>
      </c>
      <c r="AJ536" s="2"/>
    </row>
    <row r="537" spans="1:3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2">
        <f t="shared" si="9"/>
        <v>46.699999999999335</v>
      </c>
      <c r="X537" s="13">
        <f t="shared" si="0"/>
        <v>3.5950557755142968E-126</v>
      </c>
      <c r="Y537" s="13">
        <f t="shared" si="1"/>
        <v>1.8897830358106826E-27</v>
      </c>
      <c r="Z537" s="13">
        <f t="shared" si="2"/>
        <v>18382.203135994856</v>
      </c>
      <c r="AA537" s="13">
        <f t="shared" si="3"/>
        <v>2088136.7056367525</v>
      </c>
      <c r="AB537" s="13">
        <f t="shared" si="4"/>
        <v>1113304.6680011188</v>
      </c>
      <c r="AC537" s="13">
        <f t="shared" si="5"/>
        <v>227283.15905687638</v>
      </c>
      <c r="AD537" s="2"/>
      <c r="AE537" s="13">
        <v>18382.203135994856</v>
      </c>
      <c r="AF537" s="13">
        <f t="shared" si="6"/>
        <v>58976.095480095428</v>
      </c>
      <c r="AG537" s="13">
        <f t="shared" si="7"/>
        <v>126647.95780354326</v>
      </c>
      <c r="AH537" s="13">
        <f t="shared" si="8"/>
        <v>231921.99865299027</v>
      </c>
      <c r="AI537" s="13">
        <v>227283.15905687632</v>
      </c>
      <c r="AJ537" s="2"/>
    </row>
    <row r="538" spans="1:3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5">
        <f t="shared" si="9"/>
        <v>46.749999999999332</v>
      </c>
      <c r="X538" s="16">
        <f t="shared" si="0"/>
        <v>4.089051635979969E-135</v>
      </c>
      <c r="Y538" s="16">
        <f t="shared" si="1"/>
        <v>1.0974662834304102E-29</v>
      </c>
      <c r="Z538" s="16">
        <f t="shared" si="2"/>
        <v>14960.8659296966</v>
      </c>
      <c r="AA538" s="16">
        <f t="shared" si="3"/>
        <v>1066518.9954204701</v>
      </c>
      <c r="AB538" s="16">
        <f t="shared" si="4"/>
        <v>941166.47060352459</v>
      </c>
      <c r="AC538" s="16">
        <f t="shared" si="5"/>
        <v>225761.22543959058</v>
      </c>
      <c r="AD538" s="2"/>
      <c r="AE538" s="16">
        <v>14960.8659296966</v>
      </c>
      <c r="AF538" s="16">
        <f t="shared" si="6"/>
        <v>50408.614877659034</v>
      </c>
      <c r="AG538" s="16">
        <f t="shared" si="7"/>
        <v>113745.89963156493</v>
      </c>
      <c r="AH538" s="16">
        <f t="shared" si="8"/>
        <v>218992.81675830446</v>
      </c>
      <c r="AI538" s="16">
        <v>225761.22543959029</v>
      </c>
      <c r="AJ538" s="2"/>
    </row>
    <row r="539" spans="1:3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2">
        <f t="shared" si="9"/>
        <v>46.799999999999329</v>
      </c>
      <c r="X539" s="13">
        <f t="shared" si="0"/>
        <v>2.3682915460152394E-144</v>
      </c>
      <c r="Y539" s="13">
        <f t="shared" si="1"/>
        <v>5.3838670785079521E-32</v>
      </c>
      <c r="Z539" s="13">
        <f t="shared" si="2"/>
        <v>12094.414748873214</v>
      </c>
      <c r="AA539" s="13">
        <f t="shared" si="3"/>
        <v>279418.69602401473</v>
      </c>
      <c r="AB539" s="13">
        <f t="shared" si="4"/>
        <v>673345.81239263003</v>
      </c>
      <c r="AC539" s="13">
        <f t="shared" si="5"/>
        <v>222757.44218170474</v>
      </c>
      <c r="AD539" s="2"/>
      <c r="AE539" s="13">
        <v>12094.414748873214</v>
      </c>
      <c r="AF539" s="13">
        <f t="shared" si="6"/>
        <v>42796.687201885856</v>
      </c>
      <c r="AG539" s="13">
        <f t="shared" si="7"/>
        <v>101474.70800691206</v>
      </c>
      <c r="AH539" s="13">
        <f t="shared" si="8"/>
        <v>205404.68154041743</v>
      </c>
      <c r="AI539" s="13">
        <v>222757.44218170427</v>
      </c>
      <c r="AJ539" s="2"/>
    </row>
    <row r="540" spans="1:3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5">
        <f t="shared" si="9"/>
        <v>46.849999999999326</v>
      </c>
      <c r="X540" s="16">
        <f t="shared" si="0"/>
        <v>6.9846289926677218E-154</v>
      </c>
      <c r="Y540" s="16">
        <f t="shared" si="1"/>
        <v>2.2311120075400682E-34</v>
      </c>
      <c r="Z540" s="16">
        <f t="shared" si="2"/>
        <v>9711.4022057698876</v>
      </c>
      <c r="AA540" s="16">
        <f t="shared" si="3"/>
        <v>37550.828847774843</v>
      </c>
      <c r="AB540" s="16">
        <f t="shared" si="4"/>
        <v>407689.17485271784</v>
      </c>
      <c r="AC540" s="16">
        <f t="shared" si="5"/>
        <v>218331.23083931173</v>
      </c>
      <c r="AD540" s="2"/>
      <c r="AE540" s="16">
        <v>9711.4022057698876</v>
      </c>
      <c r="AF540" s="16">
        <f t="shared" si="6"/>
        <v>36090.440421664447</v>
      </c>
      <c r="AG540" s="16">
        <f t="shared" si="7"/>
        <v>89921.671735053053</v>
      </c>
      <c r="AH540" s="16">
        <f t="shared" si="8"/>
        <v>191374.18279652199</v>
      </c>
      <c r="AI540" s="16">
        <v>218331.23083931106</v>
      </c>
      <c r="AJ540" s="2"/>
    </row>
    <row r="541" spans="1:3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2">
        <f t="shared" si="9"/>
        <v>46.899999999999324</v>
      </c>
      <c r="X541" s="13">
        <f t="shared" si="0"/>
        <v>1.0489315000285768E-163</v>
      </c>
      <c r="Y541" s="13">
        <f t="shared" si="1"/>
        <v>7.8103827994626697E-37</v>
      </c>
      <c r="Z541" s="13">
        <f t="shared" si="2"/>
        <v>7745.4736845088555</v>
      </c>
      <c r="AA541" s="13">
        <f t="shared" si="3"/>
        <v>2588.5752393373023</v>
      </c>
      <c r="AB541" s="13">
        <f t="shared" si="4"/>
        <v>208900.50810903241</v>
      </c>
      <c r="AC541" s="13">
        <f t="shared" si="5"/>
        <v>212569.16949441354</v>
      </c>
      <c r="AD541" s="2"/>
      <c r="AE541" s="13">
        <v>7745.4736845088555</v>
      </c>
      <c r="AF541" s="13">
        <f t="shared" si="6"/>
        <v>30230.884376966136</v>
      </c>
      <c r="AG541" s="13">
        <f t="shared" si="7"/>
        <v>79150.823160880871</v>
      </c>
      <c r="AH541" s="13">
        <f t="shared" si="8"/>
        <v>177112.37388983215</v>
      </c>
      <c r="AI541" s="13">
        <v>212569.16949441269</v>
      </c>
      <c r="AJ541" s="2"/>
    </row>
    <row r="542" spans="1:3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5">
        <f t="shared" si="9"/>
        <v>46.949999999999321</v>
      </c>
      <c r="X542" s="16">
        <f t="shared" si="0"/>
        <v>8.0213325327279357E-174</v>
      </c>
      <c r="Y542" s="16">
        <f t="shared" si="1"/>
        <v>2.309655293919372E-39</v>
      </c>
      <c r="Z542" s="16">
        <f t="shared" si="2"/>
        <v>6135.9665662224843</v>
      </c>
      <c r="AA542" s="16">
        <f t="shared" si="3"/>
        <v>91.533328894048211</v>
      </c>
      <c r="AB542" s="16">
        <f t="shared" si="4"/>
        <v>90587.674815982158</v>
      </c>
      <c r="AC542" s="16">
        <f t="shared" si="5"/>
        <v>205582.17686788493</v>
      </c>
      <c r="AD542" s="2"/>
      <c r="AE542" s="16">
        <v>6135.9665662224843</v>
      </c>
      <c r="AF542" s="16">
        <f t="shared" si="6"/>
        <v>25152.789921901222</v>
      </c>
      <c r="AG542" s="16">
        <f t="shared" si="7"/>
        <v>69203.968696783631</v>
      </c>
      <c r="AH542" s="16">
        <f t="shared" si="8"/>
        <v>162819.71955339448</v>
      </c>
      <c r="AI542" s="16">
        <v>205582.17686788389</v>
      </c>
      <c r="AJ542" s="2"/>
    </row>
    <row r="543" spans="1:3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2">
        <f t="shared" si="9"/>
        <v>46.999999999999318</v>
      </c>
      <c r="X543" s="13">
        <f t="shared" si="0"/>
        <v>3.1235000821453014E-184</v>
      </c>
      <c r="Y543" s="13">
        <f t="shared" si="1"/>
        <v>5.7696028340144717E-42</v>
      </c>
      <c r="Z543" s="13">
        <f t="shared" si="2"/>
        <v>4828.21889335982</v>
      </c>
      <c r="AA543" s="13">
        <f t="shared" si="3"/>
        <v>1.6602554740427558</v>
      </c>
      <c r="AB543" s="13">
        <f t="shared" si="4"/>
        <v>33244.36396201764</v>
      </c>
      <c r="AC543" s="13">
        <f t="shared" si="5"/>
        <v>197501.96324671031</v>
      </c>
      <c r="AD543" s="2"/>
      <c r="AE543" s="13">
        <v>4828.21889335982</v>
      </c>
      <c r="AF543" s="13">
        <f t="shared" si="6"/>
        <v>20787.301535084796</v>
      </c>
      <c r="AG543" s="13">
        <f t="shared" si="7"/>
        <v>60102.296657496321</v>
      </c>
      <c r="AH543" s="13">
        <f t="shared" si="8"/>
        <v>148681.74312511756</v>
      </c>
      <c r="AI543" s="13">
        <v>197501.96324670914</v>
      </c>
      <c r="AJ543" s="2"/>
    </row>
    <row r="544" spans="1:3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5">
        <f t="shared" si="9"/>
        <v>47.049999999999315</v>
      </c>
      <c r="X544" s="16">
        <f t="shared" si="0"/>
        <v>6.1934427901721424E-195</v>
      </c>
      <c r="Y544" s="16">
        <f t="shared" si="1"/>
        <v>1.2174988804059522E-44</v>
      </c>
      <c r="Z544" s="16">
        <f t="shared" si="2"/>
        <v>3773.6350081812634</v>
      </c>
      <c r="AA544" s="16">
        <f t="shared" si="3"/>
        <v>1.5447129370700002E-2</v>
      </c>
      <c r="AB544" s="16">
        <f t="shared" si="4"/>
        <v>10324.909272657404</v>
      </c>
      <c r="AC544" s="16">
        <f t="shared" si="5"/>
        <v>188476.90678043125</v>
      </c>
      <c r="AD544" s="2"/>
      <c r="AE544" s="16">
        <v>3773.6350081812634</v>
      </c>
      <c r="AF544" s="16">
        <f t="shared" si="6"/>
        <v>17064.230512423357</v>
      </c>
      <c r="AG544" s="16">
        <f t="shared" si="7"/>
        <v>51848.433094937827</v>
      </c>
      <c r="AH544" s="16">
        <f t="shared" si="8"/>
        <v>134865.48830863932</v>
      </c>
      <c r="AI544" s="16">
        <v>188476.90678042994</v>
      </c>
      <c r="AJ544" s="2"/>
    </row>
    <row r="545" spans="1:3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2">
        <f t="shared" si="9"/>
        <v>47.099999999999312</v>
      </c>
      <c r="X545" s="13">
        <f t="shared" si="0"/>
        <v>6.253430775504881E-206</v>
      </c>
      <c r="Y545" s="13">
        <f t="shared" si="1"/>
        <v>2.1702767836141359E-47</v>
      </c>
      <c r="Z545" s="13">
        <f t="shared" si="2"/>
        <v>2929.5561617206022</v>
      </c>
      <c r="AA545" s="13">
        <f t="shared" si="3"/>
        <v>7.3722125173184206E-5</v>
      </c>
      <c r="AB545" s="13">
        <f t="shared" si="4"/>
        <v>2713.7745147658429</v>
      </c>
      <c r="AC545" s="13">
        <f t="shared" si="5"/>
        <v>178667.53525566691</v>
      </c>
      <c r="AD545" s="2"/>
      <c r="AE545" s="13">
        <v>2929.5561617206022</v>
      </c>
      <c r="AF545" s="13">
        <f t="shared" si="6"/>
        <v>13913.99822121957</v>
      </c>
      <c r="AG545" s="13">
        <f t="shared" si="7"/>
        <v>44428.812565100605</v>
      </c>
      <c r="AH545" s="13">
        <f t="shared" si="8"/>
        <v>121516.86528456755</v>
      </c>
      <c r="AI545" s="13">
        <v>178667.53525566554</v>
      </c>
      <c r="AJ545" s="2"/>
    </row>
    <row r="546" spans="1:3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5">
        <f t="shared" si="9"/>
        <v>47.149999999999309</v>
      </c>
      <c r="X546" s="16">
        <f t="shared" si="0"/>
        <v>3.215142088636367E-217</v>
      </c>
      <c r="Y546" s="16">
        <f t="shared" si="1"/>
        <v>3.2680265835785758E-50</v>
      </c>
      <c r="Z546" s="16">
        <f t="shared" si="2"/>
        <v>2258.9821645786528</v>
      </c>
      <c r="AA546" s="16">
        <f t="shared" si="3"/>
        <v>1.8047834822023143E-7</v>
      </c>
      <c r="AB546" s="16">
        <f t="shared" si="4"/>
        <v>603.64356463713796</v>
      </c>
      <c r="AC546" s="16">
        <f t="shared" si="5"/>
        <v>168241.80493436486</v>
      </c>
      <c r="AD546" s="2"/>
      <c r="AE546" s="16">
        <v>2258.9821645786528</v>
      </c>
      <c r="AF546" s="16">
        <f t="shared" si="6"/>
        <v>11269.219004693268</v>
      </c>
      <c r="AG546" s="16">
        <f t="shared" si="7"/>
        <v>37816.234094818043</v>
      </c>
      <c r="AH546" s="16">
        <f t="shared" si="8"/>
        <v>108758.90581066087</v>
      </c>
      <c r="AI546" s="16">
        <v>168241.80493436338</v>
      </c>
      <c r="AJ546" s="2"/>
    </row>
    <row r="547" spans="1:3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2">
        <f t="shared" si="9"/>
        <v>47.199999999999307</v>
      </c>
      <c r="X547" s="13">
        <f t="shared" si="0"/>
        <v>8.4173929628633154E-229</v>
      </c>
      <c r="Y547" s="13">
        <f t="shared" si="1"/>
        <v>4.1569991774534007E-53</v>
      </c>
      <c r="Z547" s="13">
        <f t="shared" si="2"/>
        <v>1730.186442985447</v>
      </c>
      <c r="AA547" s="13">
        <f t="shared" si="3"/>
        <v>2.2663635058288546E-10</v>
      </c>
      <c r="AB547" s="13">
        <f t="shared" si="4"/>
        <v>113.63358025892131</v>
      </c>
      <c r="AC547" s="13">
        <f t="shared" si="5"/>
        <v>157370.36913303522</v>
      </c>
      <c r="AD547" s="2"/>
      <c r="AE547" s="13">
        <v>1730.186442985447</v>
      </c>
      <c r="AF547" s="13">
        <f t="shared" si="6"/>
        <v>9065.9294659219304</v>
      </c>
      <c r="AG547" s="13">
        <f t="shared" si="7"/>
        <v>31972.48195413929</v>
      </c>
      <c r="AH547" s="13">
        <f t="shared" si="8"/>
        <v>96690.909420656724</v>
      </c>
      <c r="AI547" s="13">
        <v>157370.3691330337</v>
      </c>
      <c r="AJ547" s="2"/>
    </row>
    <row r="548" spans="1:3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5">
        <f t="shared" si="9"/>
        <v>47.249999999999304</v>
      </c>
      <c r="X548" s="16">
        <f t="shared" si="0"/>
        <v>1.1221492979157492E-240</v>
      </c>
      <c r="Y548" s="16">
        <f t="shared" si="1"/>
        <v>4.4668173922272065E-56</v>
      </c>
      <c r="Z548" s="16">
        <f t="shared" si="2"/>
        <v>1316.2619537401972</v>
      </c>
      <c r="AA548" s="16">
        <f t="shared" si="3"/>
        <v>1.4598600647427637E-13</v>
      </c>
      <c r="AB548" s="16">
        <f t="shared" si="4"/>
        <v>18.103064769338214</v>
      </c>
      <c r="AC548" s="16">
        <f t="shared" si="5"/>
        <v>146222.02030237636</v>
      </c>
      <c r="AD548" s="2"/>
      <c r="AE548" s="16">
        <v>1316.2619537401972</v>
      </c>
      <c r="AF548" s="16">
        <f t="shared" si="6"/>
        <v>7244.484616874317</v>
      </c>
      <c r="AG548" s="16">
        <f t="shared" si="7"/>
        <v>26850.904856997437</v>
      </c>
      <c r="AH548" s="16">
        <f t="shared" si="8"/>
        <v>85388.425142343578</v>
      </c>
      <c r="AI548" s="16">
        <v>146222.02030237482</v>
      </c>
      <c r="AJ548" s="2"/>
    </row>
    <row r="549" spans="1:3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2">
        <f t="shared" si="9"/>
        <v>47.299999999999301</v>
      </c>
      <c r="X549" s="13">
        <f t="shared" si="0"/>
        <v>7.6176197369176209E-253</v>
      </c>
      <c r="Y549" s="13">
        <f t="shared" si="1"/>
        <v>4.0545285260022227E-59</v>
      </c>
      <c r="Z549" s="13">
        <f t="shared" si="2"/>
        <v>994.62982588618763</v>
      </c>
      <c r="AA549" s="13">
        <f t="shared" si="3"/>
        <v>4.8235866851300647E-17</v>
      </c>
      <c r="AB549" s="13">
        <f t="shared" si="4"/>
        <v>2.4407135941645004</v>
      </c>
      <c r="AC549" s="13">
        <f t="shared" si="5"/>
        <v>134959.47144342837</v>
      </c>
      <c r="AD549" s="2"/>
      <c r="AE549" s="13">
        <v>994.62982588618763</v>
      </c>
      <c r="AF549" s="13">
        <f t="shared" si="6"/>
        <v>5750.1516166620177</v>
      </c>
      <c r="AG549" s="13">
        <f t="shared" si="7"/>
        <v>22398.86447779513</v>
      </c>
      <c r="AH549" s="13">
        <f t="shared" si="8"/>
        <v>74903.981981810735</v>
      </c>
      <c r="AI549" s="13">
        <v>134959.47144342682</v>
      </c>
      <c r="AJ549" s="2"/>
    </row>
    <row r="550" spans="1:3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5">
        <f t="shared" si="9"/>
        <v>47.349999999999298</v>
      </c>
      <c r="X550" s="16">
        <f t="shared" si="0"/>
        <v>2.6331981688024414E-265</v>
      </c>
      <c r="Y550" s="16">
        <f t="shared" si="1"/>
        <v>3.1088976460454452E-62</v>
      </c>
      <c r="Z550" s="16">
        <f t="shared" si="2"/>
        <v>746.53678414529872</v>
      </c>
      <c r="AA550" s="16">
        <f t="shared" si="3"/>
        <v>8.1753460782502531E-21</v>
      </c>
      <c r="AB550" s="16">
        <f t="shared" si="4"/>
        <v>0.27848437602489406</v>
      </c>
      <c r="AC550" s="16">
        <f t="shared" si="5"/>
        <v>123735.61729844642</v>
      </c>
      <c r="AD550" s="2"/>
      <c r="AE550" s="16">
        <v>746.53678414529872</v>
      </c>
      <c r="AF550" s="16">
        <f t="shared" si="6"/>
        <v>4533.4386450164675</v>
      </c>
      <c r="AG550" s="16">
        <f t="shared" si="7"/>
        <v>18559.983257342912</v>
      </c>
      <c r="AH550" s="16">
        <f t="shared" si="8"/>
        <v>65268.457863768475</v>
      </c>
      <c r="AI550" s="16">
        <v>123735.61729844488</v>
      </c>
      <c r="AJ550" s="2"/>
    </row>
    <row r="551" spans="1:3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2">
        <f t="shared" si="9"/>
        <v>47.399999999999295</v>
      </c>
      <c r="X551" s="13">
        <f t="shared" si="0"/>
        <v>4.6349324296857208E-278</v>
      </c>
      <c r="Y551" s="13">
        <f t="shared" si="1"/>
        <v>2.0137075099494732E-65</v>
      </c>
      <c r="Z551" s="13">
        <f t="shared" si="2"/>
        <v>556.56172928983779</v>
      </c>
      <c r="AA551" s="13">
        <f t="shared" si="3"/>
        <v>7.1075414988205416E-25</v>
      </c>
      <c r="AB551" s="13">
        <f t="shared" si="4"/>
        <v>2.6890826409105263E-2</v>
      </c>
      <c r="AC551" s="13">
        <f t="shared" si="5"/>
        <v>112690.38480272345</v>
      </c>
      <c r="AD551" s="2"/>
      <c r="AE551" s="13">
        <v>556.56172928983779</v>
      </c>
      <c r="AF551" s="13">
        <f t="shared" si="6"/>
        <v>3550.200149795427</v>
      </c>
      <c r="AG551" s="13">
        <f t="shared" si="7"/>
        <v>15276.141050841094</v>
      </c>
      <c r="AH551" s="13">
        <f t="shared" si="8"/>
        <v>56492.961286403581</v>
      </c>
      <c r="AI551" s="13">
        <v>112690.38480272194</v>
      </c>
      <c r="AJ551" s="2"/>
    </row>
    <row r="552" spans="1:3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5">
        <f t="shared" si="9"/>
        <v>47.449999999999292</v>
      </c>
      <c r="X552" s="16">
        <f t="shared" si="0"/>
        <v>4.1543097766539841E-291</v>
      </c>
      <c r="Y552" s="16">
        <f t="shared" si="1"/>
        <v>1.1018190004877522E-68</v>
      </c>
      <c r="Z552" s="16">
        <f t="shared" si="2"/>
        <v>412.14657231009573</v>
      </c>
      <c r="AA552" s="16">
        <f t="shared" si="3"/>
        <v>3.1696394327797466E-29</v>
      </c>
      <c r="AB552" s="16">
        <f t="shared" si="4"/>
        <v>2.1974892714552536E-3</v>
      </c>
      <c r="AC552" s="16">
        <f t="shared" si="5"/>
        <v>101948.24792940782</v>
      </c>
      <c r="AD552" s="2"/>
      <c r="AE552" s="16">
        <v>412.14657231009573</v>
      </c>
      <c r="AF552" s="16">
        <f t="shared" si="6"/>
        <v>2761.56068979273</v>
      </c>
      <c r="AG552" s="16">
        <f t="shared" si="7"/>
        <v>12489.189089790025</v>
      </c>
      <c r="AH552" s="16">
        <f t="shared" si="8"/>
        <v>48571.092588806423</v>
      </c>
      <c r="AI552" s="16">
        <v>101948.24792940634</v>
      </c>
      <c r="AJ552" s="2"/>
    </row>
    <row r="553" spans="1:3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2">
        <f t="shared" si="9"/>
        <v>47.499999999999289</v>
      </c>
      <c r="X553" s="13">
        <f t="shared" si="0"/>
        <v>1.8960507428840841E-304</v>
      </c>
      <c r="Y553" s="13">
        <f t="shared" si="1"/>
        <v>5.0926992183859923E-72</v>
      </c>
      <c r="Z553" s="13">
        <f t="shared" si="2"/>
        <v>303.16172379023391</v>
      </c>
      <c r="AA553" s="13">
        <f t="shared" si="3"/>
        <v>7.2506596162247383E-34</v>
      </c>
      <c r="AB553" s="13">
        <f t="shared" si="4"/>
        <v>1.5197378414797254E-4</v>
      </c>
      <c r="AC553" s="13">
        <f t="shared" si="5"/>
        <v>91616.446519606819</v>
      </c>
      <c r="AD553" s="2"/>
      <c r="AE553" s="13">
        <v>303.16172379023391</v>
      </c>
      <c r="AF553" s="13">
        <f t="shared" si="6"/>
        <v>2133.6983629436272</v>
      </c>
      <c r="AG553" s="13">
        <f t="shared" si="7"/>
        <v>10142.367059378681</v>
      </c>
      <c r="AH553" s="13">
        <f t="shared" si="8"/>
        <v>41481.451888954303</v>
      </c>
      <c r="AI553" s="13">
        <v>91616.446519605408</v>
      </c>
      <c r="AJ553" s="2"/>
    </row>
    <row r="554" spans="1:3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5">
        <f t="shared" si="9"/>
        <v>47.549999999999287</v>
      </c>
      <c r="X554" s="16">
        <f t="shared" si="0"/>
        <v>0</v>
      </c>
      <c r="Y554" s="16">
        <f t="shared" si="1"/>
        <v>1.9884272143303265E-75</v>
      </c>
      <c r="Z554" s="16">
        <f t="shared" si="2"/>
        <v>221.51263088351658</v>
      </c>
      <c r="AA554" s="16">
        <f t="shared" si="3"/>
        <v>8.5078999321089367E-39</v>
      </c>
      <c r="AB554" s="16">
        <f t="shared" si="4"/>
        <v>8.8946710533487172E-6</v>
      </c>
      <c r="AC554" s="16">
        <f t="shared" si="5"/>
        <v>81783.914086769437</v>
      </c>
      <c r="AD554" s="2"/>
      <c r="AE554" s="16">
        <v>221.51263088351658</v>
      </c>
      <c r="AF554" s="16">
        <f t="shared" si="6"/>
        <v>1637.5258915157237</v>
      </c>
      <c r="AG554" s="16">
        <f t="shared" si="7"/>
        <v>8181.4241534034036</v>
      </c>
      <c r="AH554" s="16">
        <f t="shared" si="8"/>
        <v>35190.26748062019</v>
      </c>
      <c r="AI554" s="16">
        <v>81783.914086768098</v>
      </c>
      <c r="AJ554" s="2"/>
    </row>
    <row r="555" spans="1:3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2">
        <f t="shared" si="9"/>
        <v>47.599999999999284</v>
      </c>
      <c r="X555" s="13">
        <f t="shared" si="0"/>
        <v>0</v>
      </c>
      <c r="Y555" s="13">
        <f t="shared" si="1"/>
        <v>6.5583602970112813E-79</v>
      </c>
      <c r="Z555" s="13">
        <f t="shared" si="2"/>
        <v>160.7904699889188</v>
      </c>
      <c r="AA555" s="13">
        <f t="shared" si="3"/>
        <v>5.1208779856633487E-44</v>
      </c>
      <c r="AB555" s="13">
        <f t="shared" si="4"/>
        <v>4.4056541879595271E-7</v>
      </c>
      <c r="AC555" s="13">
        <f t="shared" si="5"/>
        <v>72520.887804784521</v>
      </c>
      <c r="AD555" s="2"/>
      <c r="AE555" s="13">
        <v>160.7904699889188</v>
      </c>
      <c r="AF555" s="13">
        <f t="shared" si="6"/>
        <v>1248.303345556219</v>
      </c>
      <c r="AG555" s="13">
        <f t="shared" si="7"/>
        <v>6555.4573336893191</v>
      </c>
      <c r="AH555" s="13">
        <f t="shared" si="8"/>
        <v>29654.03054371391</v>
      </c>
      <c r="AI555" s="13">
        <v>72520.887804783255</v>
      </c>
      <c r="AJ555" s="2"/>
    </row>
    <row r="556" spans="1:3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5">
        <f t="shared" si="9"/>
        <v>47.649999999999281</v>
      </c>
      <c r="X556" s="16">
        <f t="shared" si="0"/>
        <v>0</v>
      </c>
      <c r="Y556" s="16">
        <f t="shared" si="1"/>
        <v>1.8272785123285589E-82</v>
      </c>
      <c r="Z556" s="16">
        <f t="shared" si="2"/>
        <v>115.96753072053474</v>
      </c>
      <c r="AA556" s="16">
        <f t="shared" si="3"/>
        <v>1.5810430020258066E-49</v>
      </c>
      <c r="AB556" s="16">
        <f t="shared" si="4"/>
        <v>1.8467589767111896E-8</v>
      </c>
      <c r="AC556" s="16">
        <f t="shared" si="5"/>
        <v>63879.146475201662</v>
      </c>
      <c r="AD556" s="2"/>
      <c r="AE556" s="16">
        <v>115.96753072053474</v>
      </c>
      <c r="AF556" s="16">
        <f t="shared" si="6"/>
        <v>945.21169721922558</v>
      </c>
      <c r="AG556" s="16">
        <f t="shared" si="7"/>
        <v>5217.489501577249</v>
      </c>
      <c r="AH556" s="16">
        <f t="shared" si="8"/>
        <v>24822.038026029008</v>
      </c>
      <c r="AI556" s="16">
        <v>63879.14647520049</v>
      </c>
      <c r="AJ556" s="2"/>
    </row>
    <row r="557" spans="1:3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2">
        <f t="shared" si="9"/>
        <v>47.699999999999278</v>
      </c>
      <c r="X557" s="13">
        <f t="shared" si="0"/>
        <v>0</v>
      </c>
      <c r="Y557" s="13">
        <f t="shared" si="1"/>
        <v>4.3006898555418669E-86</v>
      </c>
      <c r="Z557" s="13">
        <f t="shared" si="2"/>
        <v>83.135915813940372</v>
      </c>
      <c r="AA557" s="13">
        <f t="shared" si="3"/>
        <v>2.5039181930797411E-55</v>
      </c>
      <c r="AB557" s="13">
        <f t="shared" si="4"/>
        <v>6.5513278284396293E-10</v>
      </c>
      <c r="AC557" s="13">
        <f t="shared" si="5"/>
        <v>55892.800341895774</v>
      </c>
      <c r="AD557" s="2"/>
      <c r="AE557" s="13">
        <v>83.135915813940372</v>
      </c>
      <c r="AF557" s="13">
        <f t="shared" si="6"/>
        <v>710.91132159872006</v>
      </c>
      <c r="AG557" s="13">
        <f t="shared" si="7"/>
        <v>4124.8169042417803</v>
      </c>
      <c r="AH557" s="13">
        <f t="shared" si="8"/>
        <v>20638.764049921316</v>
      </c>
      <c r="AI557" s="13">
        <v>55892.800341894705</v>
      </c>
      <c r="AJ557" s="2"/>
    </row>
    <row r="558" spans="1:3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5">
        <f t="shared" si="9"/>
        <v>47.749999999999275</v>
      </c>
      <c r="X558" s="16">
        <f t="shared" si="0"/>
        <v>0</v>
      </c>
      <c r="Y558" s="16">
        <f t="shared" si="1"/>
        <v>8.5505766354377178E-90</v>
      </c>
      <c r="Z558" s="16">
        <f t="shared" si="2"/>
        <v>59.286857718509417</v>
      </c>
      <c r="AA558" s="16">
        <f t="shared" si="3"/>
        <v>2.0341069720663241E-61</v>
      </c>
      <c r="AB558" s="16">
        <f t="shared" si="4"/>
        <v>1.9668341723640102E-11</v>
      </c>
      <c r="AC558" s="16">
        <f t="shared" si="5"/>
        <v>48579.540846245021</v>
      </c>
      <c r="AD558" s="2"/>
      <c r="AE558" s="16">
        <v>59.286857718509417</v>
      </c>
      <c r="AF558" s="16">
        <f t="shared" si="6"/>
        <v>531.1045285443081</v>
      </c>
      <c r="AG558" s="16">
        <f t="shared" si="7"/>
        <v>3239.1590355608614</v>
      </c>
      <c r="AH558" s="16">
        <f t="shared" si="8"/>
        <v>17045.99979709824</v>
      </c>
      <c r="AI558" s="16">
        <v>48579.540846244054</v>
      </c>
      <c r="AJ558" s="2"/>
    </row>
    <row r="559" spans="1:3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2">
        <f t="shared" si="9"/>
        <v>47.799999999999272</v>
      </c>
      <c r="X559" s="13">
        <f t="shared" si="0"/>
        <v>0</v>
      </c>
      <c r="Y559" s="13">
        <f t="shared" si="1"/>
        <v>1.4360732246275175E-93</v>
      </c>
      <c r="Z559" s="13">
        <f t="shared" si="2"/>
        <v>42.127128199986991</v>
      </c>
      <c r="AA559" s="13">
        <f t="shared" si="3"/>
        <v>8.4762672331314222E-68</v>
      </c>
      <c r="AB559" s="13">
        <f t="shared" si="4"/>
        <v>4.9971853515053673E-13</v>
      </c>
      <c r="AC559" s="13">
        <f t="shared" si="5"/>
        <v>41942.249002523175</v>
      </c>
      <c r="AD559" s="2"/>
      <c r="AE559" s="13">
        <v>42.127128199986991</v>
      </c>
      <c r="AF559" s="13">
        <f t="shared" si="6"/>
        <v>394.11647889679614</v>
      </c>
      <c r="AG559" s="13">
        <f t="shared" si="7"/>
        <v>2526.6458611060916</v>
      </c>
      <c r="AH559" s="13">
        <f t="shared" si="8"/>
        <v>13984.721282497601</v>
      </c>
      <c r="AI559" s="13">
        <v>41942.249002522287</v>
      </c>
      <c r="AJ559" s="2"/>
    </row>
    <row r="560" spans="1:3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5">
        <f t="shared" si="9"/>
        <v>47.84999999999927</v>
      </c>
      <c r="X560" s="16">
        <f t="shared" si="0"/>
        <v>0</v>
      </c>
      <c r="Y560" s="16">
        <f t="shared" si="1"/>
        <v>2.0374251745539345E-97</v>
      </c>
      <c r="Z560" s="16">
        <f t="shared" si="2"/>
        <v>29.928600775795591</v>
      </c>
      <c r="AA560" s="16">
        <f t="shared" si="3"/>
        <v>1.8118101636713324E-74</v>
      </c>
      <c r="AB560" s="16">
        <f t="shared" si="4"/>
        <v>1.0744902302493497E-14</v>
      </c>
      <c r="AC560" s="16">
        <f t="shared" si="5"/>
        <v>35970.857812446433</v>
      </c>
      <c r="AD560" s="2"/>
      <c r="AE560" s="16">
        <v>29.928600775795591</v>
      </c>
      <c r="AF560" s="16">
        <f t="shared" si="6"/>
        <v>290.50458436772084</v>
      </c>
      <c r="AG560" s="16">
        <f t="shared" si="7"/>
        <v>1957.6767901477283</v>
      </c>
      <c r="AH560" s="16">
        <f t="shared" si="8"/>
        <v>11396.662701874469</v>
      </c>
      <c r="AI560" s="16">
        <v>35970.857812445633</v>
      </c>
      <c r="AJ560" s="2"/>
    </row>
    <row r="561" spans="1:3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2">
        <f t="shared" si="9"/>
        <v>47.899999999999267</v>
      </c>
      <c r="X561" s="13">
        <f t="shared" si="0"/>
        <v>0</v>
      </c>
      <c r="Y561" s="13">
        <f t="shared" si="1"/>
        <v>2.4418031691884993E-101</v>
      </c>
      <c r="Z561" s="13">
        <f t="shared" si="2"/>
        <v>21.406928582888142</v>
      </c>
      <c r="AA561" s="13">
        <f t="shared" si="3"/>
        <v>1.9865428719202472E-81</v>
      </c>
      <c r="AB561" s="13">
        <f t="shared" si="4"/>
        <v>1.9552341935709862E-16</v>
      </c>
      <c r="AC561" s="13">
        <f t="shared" si="5"/>
        <v>30644.366463779206</v>
      </c>
      <c r="AD561" s="2"/>
      <c r="AE561" s="13">
        <v>21.406928582888142</v>
      </c>
      <c r="AF561" s="13">
        <f t="shared" si="6"/>
        <v>212.70281933627257</v>
      </c>
      <c r="AG561" s="13">
        <f t="shared" si="7"/>
        <v>1506.6838629556851</v>
      </c>
      <c r="AH561" s="13">
        <f t="shared" si="8"/>
        <v>9225.5893256822055</v>
      </c>
      <c r="AI561" s="13">
        <v>30644.366463778508</v>
      </c>
      <c r="AJ561" s="2"/>
    </row>
    <row r="562" spans="1:3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5">
        <f t="shared" si="9"/>
        <v>47.949999999999264</v>
      </c>
      <c r="X562" s="16">
        <f t="shared" si="0"/>
        <v>0</v>
      </c>
      <c r="Y562" s="16">
        <f t="shared" si="1"/>
        <v>2.472085800432603E-105</v>
      </c>
      <c r="Z562" s="16">
        <f t="shared" si="2"/>
        <v>15.625441321127607</v>
      </c>
      <c r="AA562" s="16">
        <f t="shared" si="3"/>
        <v>1.1172757992581023E-88</v>
      </c>
      <c r="AB562" s="16">
        <f t="shared" si="4"/>
        <v>3.0110252406548937E-18</v>
      </c>
      <c r="AC562" s="16">
        <f t="shared" si="5"/>
        <v>25932.911129891974</v>
      </c>
      <c r="AD562" s="2"/>
      <c r="AE562" s="16">
        <v>15.625441321127607</v>
      </c>
      <c r="AF562" s="16">
        <f t="shared" si="6"/>
        <v>154.70433169909171</v>
      </c>
      <c r="AG562" s="16">
        <f t="shared" si="7"/>
        <v>1151.8285500020338</v>
      </c>
      <c r="AH562" s="16">
        <f t="shared" si="8"/>
        <v>7418.2776670525245</v>
      </c>
      <c r="AI562" s="16">
        <v>25932.911129891359</v>
      </c>
      <c r="AJ562" s="2"/>
    </row>
    <row r="563" spans="1:3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2">
        <f t="shared" si="9"/>
        <v>47.999999999999261</v>
      </c>
      <c r="X563" s="13">
        <f t="shared" si="0"/>
        <v>0</v>
      </c>
      <c r="Y563" s="13">
        <f t="shared" si="1"/>
        <v>2.118080658538186E-109</v>
      </c>
      <c r="Z563" s="13">
        <f t="shared" si="2"/>
        <v>11.92067365608424</v>
      </c>
      <c r="AA563" s="13">
        <f t="shared" si="3"/>
        <v>3.2232948987351323E-96</v>
      </c>
      <c r="AB563" s="13">
        <f t="shared" si="4"/>
        <v>3.9241835090204338E-20</v>
      </c>
      <c r="AC563" s="13">
        <f t="shared" si="5"/>
        <v>21799.807981593371</v>
      </c>
      <c r="AD563" s="2"/>
      <c r="AE563" s="13">
        <v>11.92067365608424</v>
      </c>
      <c r="AF563" s="13">
        <f t="shared" si="6"/>
        <v>111.78332724981479</v>
      </c>
      <c r="AG563" s="13">
        <f t="shared" si="7"/>
        <v>874.6577756399779</v>
      </c>
      <c r="AH563" s="13">
        <f t="shared" si="8"/>
        <v>5925.2215744421446</v>
      </c>
      <c r="AI563" s="13">
        <v>21799.807981592825</v>
      </c>
      <c r="AJ563" s="2"/>
    </row>
    <row r="564" spans="1:3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5">
        <f t="shared" si="9"/>
        <v>48.049999999999258</v>
      </c>
      <c r="X564" s="16">
        <f t="shared" si="0"/>
        <v>0</v>
      </c>
      <c r="Y564" s="16">
        <f t="shared" si="1"/>
        <v>4.0698659240861852E-108</v>
      </c>
      <c r="Z564" s="16">
        <f t="shared" si="2"/>
        <v>9.8463549980482483</v>
      </c>
      <c r="AA564" s="16">
        <f t="shared" si="3"/>
        <v>4.7699836361263121E-104</v>
      </c>
      <c r="AB564" s="16">
        <f t="shared" si="4"/>
        <v>4.328162126602811E-22</v>
      </c>
      <c r="AC564" s="16">
        <f t="shared" si="5"/>
        <v>18203.497426457154</v>
      </c>
      <c r="AD564" s="2"/>
      <c r="AE564" s="16">
        <v>9.8463549980482483</v>
      </c>
      <c r="AF564" s="16">
        <f t="shared" si="6"/>
        <v>80.255380967184507</v>
      </c>
      <c r="AG564" s="16">
        <f t="shared" si="7"/>
        <v>659.74064046813203</v>
      </c>
      <c r="AH564" s="16">
        <f t="shared" si="8"/>
        <v>4701.0909138012012</v>
      </c>
      <c r="AI564" s="16">
        <v>18203.497426456684</v>
      </c>
      <c r="AJ564" s="2"/>
    </row>
    <row r="565" spans="1:3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2">
        <f t="shared" si="9"/>
        <v>48.099999999999255</v>
      </c>
      <c r="X565" s="13">
        <f t="shared" si="0"/>
        <v>0</v>
      </c>
      <c r="Y565" s="13">
        <f t="shared" si="1"/>
        <v>3.6060668430903604E-104</v>
      </c>
      <c r="Z565" s="13">
        <f t="shared" si="2"/>
        <v>9.1331696203497188</v>
      </c>
      <c r="AA565" s="13">
        <f t="shared" si="3"/>
        <v>3.6208533593262388E-112</v>
      </c>
      <c r="AB565" s="13">
        <f t="shared" si="4"/>
        <v>4.0399596947230671E-24</v>
      </c>
      <c r="AC565" s="13">
        <f t="shared" si="5"/>
        <v>15099.333489215027</v>
      </c>
      <c r="AD565" s="2"/>
      <c r="AE565" s="13">
        <v>9.1331696203497188</v>
      </c>
      <c r="AF565" s="13">
        <f t="shared" si="6"/>
        <v>57.274038152223007</v>
      </c>
      <c r="AG565" s="13">
        <f t="shared" si="7"/>
        <v>494.30312246607292</v>
      </c>
      <c r="AH565" s="13">
        <f t="shared" si="8"/>
        <v>3704.9747230410753</v>
      </c>
      <c r="AI565" s="13">
        <v>15099.333489214627</v>
      </c>
      <c r="AJ565" s="2"/>
    </row>
    <row r="566" spans="1:3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5">
        <f t="shared" si="9"/>
        <v>48.149999999999253</v>
      </c>
      <c r="X566" s="16">
        <f t="shared" si="0"/>
        <v>0</v>
      </c>
      <c r="Y566" s="16">
        <f t="shared" si="1"/>
        <v>2.7188611940084216E-100</v>
      </c>
      <c r="Z566" s="16">
        <f t="shared" si="2"/>
        <v>9.6621000420491168</v>
      </c>
      <c r="AA566" s="16">
        <f t="shared" si="3"/>
        <v>1.4098801093590263E-120</v>
      </c>
      <c r="AB566" s="16">
        <f t="shared" si="4"/>
        <v>3.1913162529991835E-26</v>
      </c>
      <c r="AC566" s="16">
        <f t="shared" si="5"/>
        <v>12441.1775976891</v>
      </c>
      <c r="AD566" s="2"/>
      <c r="AE566" s="16">
        <v>9.6621000420491168</v>
      </c>
      <c r="AF566" s="16">
        <f t="shared" si="6"/>
        <v>40.660733914555976</v>
      </c>
      <c r="AG566" s="16">
        <f t="shared" si="7"/>
        <v>367.87402052416024</v>
      </c>
      <c r="AH566" s="16">
        <f t="shared" si="8"/>
        <v>2900.4434008868807</v>
      </c>
      <c r="AI566" s="16">
        <v>12441.177597688757</v>
      </c>
      <c r="AJ566" s="2"/>
    </row>
    <row r="567" spans="1:3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2">
        <f t="shared" si="9"/>
        <v>48.19999999999925</v>
      </c>
      <c r="X567" s="13">
        <f t="shared" si="0"/>
        <v>0</v>
      </c>
      <c r="Y567" s="13">
        <f t="shared" si="1"/>
        <v>1.7443686093827536E-96</v>
      </c>
      <c r="Z567" s="13">
        <f t="shared" si="2"/>
        <v>11.449668014288708</v>
      </c>
      <c r="AA567" s="13">
        <f t="shared" si="3"/>
        <v>2.8159868967166568E-129</v>
      </c>
      <c r="AB567" s="13">
        <f t="shared" si="4"/>
        <v>2.1334474772655242E-28</v>
      </c>
      <c r="AC567" s="13">
        <f t="shared" si="5"/>
        <v>10182.770932145484</v>
      </c>
      <c r="AD567" s="2"/>
      <c r="AE567" s="13">
        <v>11.449668014288708</v>
      </c>
      <c r="AF567" s="13">
        <f t="shared" si="6"/>
        <v>28.764601082456519</v>
      </c>
      <c r="AG567" s="13">
        <f t="shared" si="7"/>
        <v>271.95173359023238</v>
      </c>
      <c r="AH567" s="13">
        <f t="shared" si="8"/>
        <v>2255.4649914175338</v>
      </c>
      <c r="AI567" s="13">
        <v>10182.770932145189</v>
      </c>
      <c r="AJ567" s="2"/>
    </row>
    <row r="568" spans="1:3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5">
        <f t="shared" si="9"/>
        <v>48.249999999999247</v>
      </c>
      <c r="X568" s="16">
        <f t="shared" si="0"/>
        <v>0</v>
      </c>
      <c r="Y568" s="16">
        <f t="shared" si="1"/>
        <v>9.5232997160380285E-93</v>
      </c>
      <c r="Z568" s="16">
        <f t="shared" si="2"/>
        <v>14.643866106902534</v>
      </c>
      <c r="AA568" s="16">
        <f t="shared" si="3"/>
        <v>2.8850694694997E-138</v>
      </c>
      <c r="AB568" s="16">
        <f t="shared" si="4"/>
        <v>1.2070169444589893E-30</v>
      </c>
      <c r="AC568" s="16">
        <f t="shared" si="5"/>
        <v>8278.873193847463</v>
      </c>
      <c r="AD568" s="2"/>
      <c r="AE568" s="16">
        <v>14.643866106902534</v>
      </c>
      <c r="AF568" s="16">
        <f t="shared" si="6"/>
        <v>20.348575404240307</v>
      </c>
      <c r="AG568" s="16">
        <f t="shared" si="7"/>
        <v>199.69825235780746</v>
      </c>
      <c r="AH568" s="16">
        <f t="shared" si="8"/>
        <v>1742.2093607275795</v>
      </c>
      <c r="AI568" s="16">
        <v>8278.8731938472174</v>
      </c>
      <c r="AJ568" s="2"/>
    </row>
    <row r="569" spans="1:3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2">
        <f t="shared" si="9"/>
        <v>48.299999999999244</v>
      </c>
      <c r="X569" s="13">
        <f t="shared" si="0"/>
        <v>0</v>
      </c>
      <c r="Y569" s="13">
        <f t="shared" si="1"/>
        <v>4.4241985148606185E-89</v>
      </c>
      <c r="Z569" s="13">
        <f t="shared" si="2"/>
        <v>19.530013842010973</v>
      </c>
      <c r="AA569" s="13">
        <f t="shared" si="3"/>
        <v>1.516209172399029E-147</v>
      </c>
      <c r="AB569" s="13">
        <f t="shared" si="4"/>
        <v>5.7791514792139387E-33</v>
      </c>
      <c r="AC569" s="13">
        <f t="shared" si="5"/>
        <v>6686.167606308456</v>
      </c>
      <c r="AD569" s="2"/>
      <c r="AE569" s="13">
        <v>19.530013842010973</v>
      </c>
      <c r="AF569" s="13">
        <f t="shared" si="6"/>
        <v>14.498269925778365</v>
      </c>
      <c r="AG569" s="13">
        <f t="shared" si="7"/>
        <v>145.66403363671949</v>
      </c>
      <c r="AH569" s="13">
        <f t="shared" si="8"/>
        <v>1336.7714679497019</v>
      </c>
      <c r="AI569" s="13">
        <v>6686.1676063082523</v>
      </c>
      <c r="AJ569" s="2"/>
    </row>
    <row r="570" spans="1:3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5">
        <f t="shared" si="9"/>
        <v>48.349999999999241</v>
      </c>
      <c r="X570" s="16">
        <f t="shared" si="0"/>
        <v>0</v>
      </c>
      <c r="Y570" s="16">
        <f t="shared" si="1"/>
        <v>1.7489593753694808E-85</v>
      </c>
      <c r="Z570" s="16">
        <f t="shared" si="2"/>
        <v>26.546163933967211</v>
      </c>
      <c r="AA570" s="16">
        <f t="shared" si="3"/>
        <v>4.0873249234490638E-157</v>
      </c>
      <c r="AB570" s="16">
        <f t="shared" si="4"/>
        <v>2.3417152759109463E-35</v>
      </c>
      <c r="AC570" s="16">
        <f t="shared" si="5"/>
        <v>5363.941832820663</v>
      </c>
      <c r="AD570" s="2"/>
      <c r="AE570" s="16">
        <v>26.546163933967211</v>
      </c>
      <c r="AF570" s="16">
        <f t="shared" si="6"/>
        <v>10.550313376973076</v>
      </c>
      <c r="AG570" s="16">
        <f t="shared" si="7"/>
        <v>105.5452425593258</v>
      </c>
      <c r="AH570" s="16">
        <f t="shared" si="8"/>
        <v>1018.8414307789631</v>
      </c>
      <c r="AI570" s="16">
        <v>5363.9418328204929</v>
      </c>
      <c r="AJ570" s="2"/>
    </row>
    <row r="571" spans="1:3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2">
        <f t="shared" si="9"/>
        <v>48.399999999999238</v>
      </c>
      <c r="X571" s="13">
        <f t="shared" si="0"/>
        <v>0</v>
      </c>
      <c r="Y571" s="13">
        <f t="shared" si="1"/>
        <v>5.8833244772093348E-82</v>
      </c>
      <c r="Z571" s="13">
        <f t="shared" si="2"/>
        <v>36.308016409116739</v>
      </c>
      <c r="AA571" s="13">
        <f t="shared" si="3"/>
        <v>5.6519252138750072E-167</v>
      </c>
      <c r="AB571" s="13">
        <f t="shared" si="4"/>
        <v>8.0301452296787434E-38</v>
      </c>
      <c r="AC571" s="13">
        <f t="shared" si="5"/>
        <v>4274.5621149585268</v>
      </c>
      <c r="AD571" s="2"/>
      <c r="AE571" s="13">
        <v>36.308016409116739</v>
      </c>
      <c r="AF571" s="13">
        <f t="shared" si="6"/>
        <v>8.0371761305321954</v>
      </c>
      <c r="AG571" s="13">
        <f t="shared" si="7"/>
        <v>75.973163844876126</v>
      </c>
      <c r="AH571" s="13">
        <f t="shared" si="8"/>
        <v>771.34505933406433</v>
      </c>
      <c r="AI571" s="13">
        <v>4274.5621149583912</v>
      </c>
      <c r="AJ571" s="2"/>
    </row>
    <row r="572" spans="1:3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5">
        <f t="shared" si="9"/>
        <v>48.449999999999235</v>
      </c>
      <c r="X572" s="16">
        <f t="shared" si="0"/>
        <v>0</v>
      </c>
      <c r="Y572" s="16">
        <f t="shared" si="1"/>
        <v>1.6840843648931922E-78</v>
      </c>
      <c r="Z572" s="16">
        <f t="shared" si="2"/>
        <v>49.643561240922502</v>
      </c>
      <c r="AA572" s="16">
        <f t="shared" si="3"/>
        <v>4.0089519323783929E-177</v>
      </c>
      <c r="AB572" s="16">
        <f t="shared" si="4"/>
        <v>2.3304082570968028E-40</v>
      </c>
      <c r="AC572" s="16">
        <f t="shared" si="5"/>
        <v>3383.7633113062216</v>
      </c>
      <c r="AD572" s="2"/>
      <c r="AE572" s="16">
        <v>49.643561240922502</v>
      </c>
      <c r="AF572" s="16">
        <f t="shared" si="6"/>
        <v>6.6458980892525652</v>
      </c>
      <c r="AG572" s="16">
        <f t="shared" si="7"/>
        <v>54.334356529772123</v>
      </c>
      <c r="AH572" s="16">
        <f t="shared" si="8"/>
        <v>580.07431117233034</v>
      </c>
      <c r="AI572" s="16">
        <v>3383.7633113061111</v>
      </c>
      <c r="AJ572" s="2"/>
    </row>
    <row r="573" spans="1:3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2">
        <f t="shared" si="9"/>
        <v>48.499999999999233</v>
      </c>
      <c r="X573" s="13">
        <f t="shared" si="0"/>
        <v>0</v>
      </c>
      <c r="Y573" s="13">
        <f t="shared" si="1"/>
        <v>4.1020679458694849E-75</v>
      </c>
      <c r="Z573" s="13">
        <f t="shared" si="2"/>
        <v>67.637852706262834</v>
      </c>
      <c r="AA573" s="13">
        <f t="shared" si="3"/>
        <v>1.4586210969443553E-187</v>
      </c>
      <c r="AB573" s="13">
        <f t="shared" si="4"/>
        <v>5.7234767219781896E-43</v>
      </c>
      <c r="AC573" s="13">
        <f t="shared" si="5"/>
        <v>2660.7807795500262</v>
      </c>
      <c r="AD573" s="2"/>
      <c r="AE573" s="13">
        <v>67.637852706262834</v>
      </c>
      <c r="AF573" s="13">
        <f t="shared" si="6"/>
        <v>6.1885518458893003</v>
      </c>
      <c r="AG573" s="13">
        <f t="shared" si="7"/>
        <v>38.6192985944394</v>
      </c>
      <c r="AH573" s="13">
        <f t="shared" si="8"/>
        <v>433.3229708083764</v>
      </c>
      <c r="AI573" s="13">
        <v>2660.7807795499371</v>
      </c>
      <c r="AJ573" s="2"/>
    </row>
    <row r="574" spans="1:3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5">
        <f t="shared" si="9"/>
        <v>48.54999999999923</v>
      </c>
      <c r="X574" s="16">
        <f t="shared" si="0"/>
        <v>6.6124011975874474E-302</v>
      </c>
      <c r="Y574" s="16">
        <f t="shared" si="1"/>
        <v>8.5023664426480805E-72</v>
      </c>
      <c r="Z574" s="16">
        <f t="shared" si="2"/>
        <v>91.688408358184162</v>
      </c>
      <c r="AA574" s="16">
        <f t="shared" si="3"/>
        <v>2.7222708432304692E-198</v>
      </c>
      <c r="AB574" s="16">
        <f t="shared" si="4"/>
        <v>1.189616915932316E-45</v>
      </c>
      <c r="AC574" s="16">
        <f t="shared" si="5"/>
        <v>2078.3514336780468</v>
      </c>
      <c r="AD574" s="2"/>
      <c r="AE574" s="16">
        <v>91.688408358184162</v>
      </c>
      <c r="AF574" s="16">
        <f t="shared" si="6"/>
        <v>6.582696468094074</v>
      </c>
      <c r="AG574" s="16">
        <f t="shared" si="7"/>
        <v>27.296773671426941</v>
      </c>
      <c r="AH574" s="16">
        <f t="shared" si="8"/>
        <v>321.53897964170602</v>
      </c>
      <c r="AI574" s="16">
        <v>2078.3514336779749</v>
      </c>
      <c r="AJ574" s="2"/>
    </row>
    <row r="575" spans="1:3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2">
        <f t="shared" si="9"/>
        <v>48.599999999999227</v>
      </c>
      <c r="X575" s="13">
        <f t="shared" si="0"/>
        <v>6.3988057233156726E-289</v>
      </c>
      <c r="Y575" s="13">
        <f t="shared" si="1"/>
        <v>1.4995976488074276E-68</v>
      </c>
      <c r="Z575" s="13">
        <f t="shared" si="2"/>
        <v>123.57170790244248</v>
      </c>
      <c r="AA575" s="13">
        <f t="shared" si="3"/>
        <v>2.6061377791610543E-209</v>
      </c>
      <c r="AB575" s="13">
        <f t="shared" si="4"/>
        <v>2.0925393862236726E-48</v>
      </c>
      <c r="AC575" s="13">
        <f t="shared" si="5"/>
        <v>1612.6111215168401</v>
      </c>
      <c r="AD575" s="2"/>
      <c r="AE575" s="13">
        <v>123.57170790244248</v>
      </c>
      <c r="AF575" s="13">
        <f t="shared" si="6"/>
        <v>7.8404843038304453</v>
      </c>
      <c r="AG575" s="13">
        <f t="shared" si="7"/>
        <v>19.211025520953235</v>
      </c>
      <c r="AH575" s="13">
        <f t="shared" si="8"/>
        <v>237.0013740638027</v>
      </c>
      <c r="AI575" s="13">
        <v>1612.6111215167832</v>
      </c>
      <c r="AJ575" s="2"/>
    </row>
    <row r="576" spans="1:3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5">
        <f t="shared" si="9"/>
        <v>48.649999999999224</v>
      </c>
      <c r="X576" s="16">
        <f t="shared" si="0"/>
        <v>3.2466128710531815E-276</v>
      </c>
      <c r="Y576" s="16">
        <f t="shared" si="1"/>
        <v>2.250648359044077E-65</v>
      </c>
      <c r="Z576" s="16">
        <f t="shared" si="2"/>
        <v>165.5211264642144</v>
      </c>
      <c r="AA576" s="16">
        <f t="shared" si="3"/>
        <v>1.2797955961114733E-220</v>
      </c>
      <c r="AB576" s="16">
        <f t="shared" si="4"/>
        <v>3.1150100415966074E-51</v>
      </c>
      <c r="AC576" s="16">
        <f t="shared" si="5"/>
        <v>1242.9140387600767</v>
      </c>
      <c r="AD576" s="2"/>
      <c r="AE576" s="16">
        <v>165.5211264642144</v>
      </c>
      <c r="AF576" s="16">
        <f t="shared" si="6"/>
        <v>10.065462827328245</v>
      </c>
      <c r="AG576" s="16">
        <f t="shared" si="7"/>
        <v>13.498684728935814</v>
      </c>
      <c r="AH576" s="16">
        <f t="shared" si="8"/>
        <v>173.5268111831362</v>
      </c>
      <c r="AI576" s="16">
        <v>1242.9140387600319</v>
      </c>
      <c r="AJ576" s="2"/>
    </row>
    <row r="577" spans="1:3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2">
        <f t="shared" si="9"/>
        <v>48.699999999999221</v>
      </c>
      <c r="X577" s="13">
        <f t="shared" si="0"/>
        <v>8.636821426838584E-264</v>
      </c>
      <c r="Y577" s="13">
        <f t="shared" si="1"/>
        <v>2.8743424229057789E-62</v>
      </c>
      <c r="Z577" s="13">
        <f t="shared" si="2"/>
        <v>220.31635626908803</v>
      </c>
      <c r="AA577" s="13">
        <f t="shared" si="3"/>
        <v>3.2237477359346836E-232</v>
      </c>
      <c r="AB577" s="13">
        <f t="shared" si="4"/>
        <v>3.9243213278296869E-54</v>
      </c>
      <c r="AC577" s="13">
        <f t="shared" si="5"/>
        <v>951.59756076084648</v>
      </c>
      <c r="AD577" s="2"/>
      <c r="AE577" s="13">
        <v>220.31635626908803</v>
      </c>
      <c r="AF577" s="13">
        <f t="shared" si="6"/>
        <v>13.456457177311391</v>
      </c>
      <c r="AG577" s="13">
        <f t="shared" si="7"/>
        <v>9.5226000547188452</v>
      </c>
      <c r="AH577" s="13">
        <f t="shared" si="8"/>
        <v>126.2082055517421</v>
      </c>
      <c r="AI577" s="13">
        <v>951.59756076081135</v>
      </c>
      <c r="AJ577" s="2"/>
    </row>
    <row r="578" spans="1:3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5">
        <f t="shared" si="9"/>
        <v>48.749999999999218</v>
      </c>
      <c r="X578" s="16">
        <f t="shared" si="0"/>
        <v>1.2046731403251857E-251</v>
      </c>
      <c r="Y578" s="16">
        <f t="shared" si="1"/>
        <v>3.1236856790561203E-59</v>
      </c>
      <c r="Z578" s="16">
        <f t="shared" si="2"/>
        <v>291.38393507219683</v>
      </c>
      <c r="AA578" s="16">
        <f t="shared" si="3"/>
        <v>4.1654189470155917E-244</v>
      </c>
      <c r="AB578" s="16">
        <f t="shared" si="4"/>
        <v>4.1839739335830853E-57</v>
      </c>
      <c r="AC578" s="16">
        <f t="shared" si="5"/>
        <v>723.71295098741643</v>
      </c>
      <c r="AD578" s="2"/>
      <c r="AE578" s="16">
        <v>291.38393507219683</v>
      </c>
      <c r="AF578" s="16">
        <f t="shared" si="6"/>
        <v>18.31822043764905</v>
      </c>
      <c r="AG578" s="16">
        <f t="shared" si="7"/>
        <v>6.8199360260102511</v>
      </c>
      <c r="AH578" s="16">
        <f t="shared" si="8"/>
        <v>91.186060888240618</v>
      </c>
      <c r="AI578" s="16">
        <v>723.71295098738767</v>
      </c>
      <c r="AJ578" s="2"/>
    </row>
    <row r="579" spans="1:3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2">
        <f t="shared" si="9"/>
        <v>48.799999999999216</v>
      </c>
      <c r="X579" s="13">
        <f t="shared" si="0"/>
        <v>8.8100093047741926E-240</v>
      </c>
      <c r="Y579" s="13">
        <f t="shared" si="1"/>
        <v>2.888644593927073E-56</v>
      </c>
      <c r="Z579" s="13">
        <f t="shared" si="2"/>
        <v>382.90789610979954</v>
      </c>
      <c r="AA579" s="13">
        <f t="shared" si="3"/>
        <v>2.7607909676748534E-256</v>
      </c>
      <c r="AB579" s="13">
        <f t="shared" si="4"/>
        <v>3.7751366755566866E-60</v>
      </c>
      <c r="AC579" s="13">
        <f t="shared" si="5"/>
        <v>546.73917853865112</v>
      </c>
      <c r="AD579" s="2"/>
      <c r="AE579" s="13">
        <v>382.90789610979948</v>
      </c>
      <c r="AF579" s="13">
        <f t="shared" si="6"/>
        <v>25.078792617868661</v>
      </c>
      <c r="AG579" s="13">
        <f t="shared" si="7"/>
        <v>5.0621894066880149</v>
      </c>
      <c r="AH579" s="13">
        <f t="shared" si="8"/>
        <v>65.451624428174895</v>
      </c>
      <c r="AI579" s="13">
        <v>546.73917853862895</v>
      </c>
      <c r="AJ579" s="2"/>
    </row>
    <row r="580" spans="1:3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5">
        <f t="shared" si="9"/>
        <v>48.849999999999213</v>
      </c>
      <c r="X580" s="16">
        <f t="shared" si="0"/>
        <v>3.3781222309443864E-228</v>
      </c>
      <c r="Y580" s="16">
        <f t="shared" si="1"/>
        <v>2.2731016624423055E-53</v>
      </c>
      <c r="Z580" s="16">
        <f t="shared" si="2"/>
        <v>499.94877571617252</v>
      </c>
      <c r="AA580" s="16">
        <f t="shared" si="3"/>
        <v>9.3861083223786185E-269</v>
      </c>
      <c r="AB580" s="16">
        <f t="shared" si="4"/>
        <v>2.8826750460744345E-63</v>
      </c>
      <c r="AC580" s="16">
        <f t="shared" si="5"/>
        <v>410.29378439030449</v>
      </c>
      <c r="AD580" s="2"/>
      <c r="AE580" s="16">
        <v>499.94877571617252</v>
      </c>
      <c r="AF580" s="16">
        <f t="shared" si="6"/>
        <v>34.313710328296111</v>
      </c>
      <c r="AG580" s="16">
        <f t="shared" si="7"/>
        <v>4.0250991928694271</v>
      </c>
      <c r="AH580" s="16">
        <f t="shared" si="8"/>
        <v>46.679965925712843</v>
      </c>
      <c r="AI580" s="16">
        <v>410.2937843902871</v>
      </c>
      <c r="AJ580" s="2"/>
    </row>
    <row r="581" spans="1:3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2">
        <f t="shared" si="9"/>
        <v>48.89999999999921</v>
      </c>
      <c r="X581" s="13">
        <f t="shared" si="0"/>
        <v>6.7915078178207177E-217</v>
      </c>
      <c r="Y581" s="13">
        <f t="shared" si="1"/>
        <v>1.5220943396851063E-50</v>
      </c>
      <c r="Z581" s="13">
        <f t="shared" si="2"/>
        <v>648.56826217231992</v>
      </c>
      <c r="AA581" s="13">
        <f t="shared" si="3"/>
        <v>1.6368722938813834E-281</v>
      </c>
      <c r="AB581" s="13">
        <f t="shared" si="4"/>
        <v>1.8628504780740077E-66</v>
      </c>
      <c r="AC581" s="13">
        <f t="shared" si="5"/>
        <v>305.85156458655439</v>
      </c>
      <c r="AD581" s="2"/>
      <c r="AE581" s="13">
        <v>648.56826217231992</v>
      </c>
      <c r="AF581" s="13">
        <f t="shared" si="6"/>
        <v>46.77735099931072</v>
      </c>
      <c r="AG581" s="13">
        <f t="shared" si="7"/>
        <v>3.5667547186697304</v>
      </c>
      <c r="AH581" s="13">
        <f t="shared" si="8"/>
        <v>33.090425808463991</v>
      </c>
      <c r="AI581" s="13">
        <v>305.85156458654143</v>
      </c>
      <c r="AJ581" s="2"/>
    </row>
    <row r="582" spans="1:3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5">
        <f t="shared" si="9"/>
        <v>48.949999999999207</v>
      </c>
      <c r="X582" s="16">
        <f t="shared" si="0"/>
        <v>7.1589429749609435E-206</v>
      </c>
      <c r="Y582" s="16">
        <f t="shared" si="1"/>
        <v>8.6728581928941711E-48</v>
      </c>
      <c r="Z582" s="16">
        <f t="shared" si="2"/>
        <v>835.95565538196092</v>
      </c>
      <c r="AA582" s="16">
        <f t="shared" si="3"/>
        <v>1.4642702300377288E-294</v>
      </c>
      <c r="AB582" s="16">
        <f t="shared" si="4"/>
        <v>1.0187781134018907E-69</v>
      </c>
      <c r="AC582" s="16">
        <f t="shared" si="5"/>
        <v>226.47892514286761</v>
      </c>
      <c r="AD582" s="2"/>
      <c r="AE582" s="16">
        <v>835.95565538196092</v>
      </c>
      <c r="AF582" s="16">
        <f t="shared" si="6"/>
        <v>63.441770430497549</v>
      </c>
      <c r="AG582" s="16">
        <f t="shared" si="7"/>
        <v>3.6125278433397892</v>
      </c>
      <c r="AH582" s="16">
        <f t="shared" si="8"/>
        <v>23.331521215582821</v>
      </c>
      <c r="AI582" s="16">
        <v>226.47892514285763</v>
      </c>
      <c r="AJ582" s="2"/>
    </row>
    <row r="583" spans="1:3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2">
        <f t="shared" si="9"/>
        <v>48.999999999999204</v>
      </c>
      <c r="X583" s="13">
        <f t="shared" si="0"/>
        <v>3.9566119092804319E-195</v>
      </c>
      <c r="Y583" s="13">
        <f t="shared" si="1"/>
        <v>4.2051441053463942E-45</v>
      </c>
      <c r="Z583" s="13">
        <f t="shared" si="2"/>
        <v>1070.551058631426</v>
      </c>
      <c r="AA583" s="13">
        <f t="shared" si="3"/>
        <v>6.7190034976465953E-308</v>
      </c>
      <c r="AB583" s="13">
        <f t="shared" si="4"/>
        <v>4.7152043042417225E-73</v>
      </c>
      <c r="AC583" s="13">
        <f t="shared" si="5"/>
        <v>166.58919724727181</v>
      </c>
      <c r="AD583" s="2"/>
      <c r="AE583" s="13">
        <v>1070.551058631426</v>
      </c>
      <c r="AF583" s="13">
        <f t="shared" si="6"/>
        <v>85.543391176196167</v>
      </c>
      <c r="AG583" s="13">
        <f t="shared" si="7"/>
        <v>4.1457570355153601</v>
      </c>
      <c r="AH583" s="13">
        <f t="shared" si="8"/>
        <v>16.387279797809882</v>
      </c>
      <c r="AI583" s="13">
        <v>166.58919724726428</v>
      </c>
      <c r="AJ583" s="2"/>
    </row>
    <row r="584" spans="1:3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5">
        <f t="shared" si="9"/>
        <v>49.049999999999201</v>
      </c>
      <c r="X584" s="16">
        <f t="shared" si="0"/>
        <v>1.1465417072213529E-184</v>
      </c>
      <c r="Y584" s="16">
        <f t="shared" si="1"/>
        <v>1.7349920297279308E-42</v>
      </c>
      <c r="Z584" s="16">
        <f t="shared" si="2"/>
        <v>1362.1588851906527</v>
      </c>
      <c r="AA584" s="16">
        <f t="shared" si="3"/>
        <v>0</v>
      </c>
      <c r="AB584" s="16">
        <f t="shared" si="4"/>
        <v>1.8468886967367634E-76</v>
      </c>
      <c r="AC584" s="16">
        <f t="shared" si="5"/>
        <v>121.72202999564242</v>
      </c>
      <c r="AD584" s="2"/>
      <c r="AE584" s="16">
        <v>1362.1588851906527</v>
      </c>
      <c r="AF584" s="16">
        <f t="shared" si="6"/>
        <v>114.63781115727529</v>
      </c>
      <c r="AG584" s="16">
        <f t="shared" si="7"/>
        <v>5.2033865863420612</v>
      </c>
      <c r="AH584" s="16">
        <f t="shared" si="8"/>
        <v>11.502029534698478</v>
      </c>
      <c r="AI584" s="16">
        <v>121.72202999563682</v>
      </c>
      <c r="AJ584" s="2"/>
    </row>
    <row r="585" spans="1:3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2">
        <f t="shared" si="9"/>
        <v>49.099999999999199</v>
      </c>
      <c r="X585" s="13">
        <f t="shared" si="0"/>
        <v>1.7419998523493915E-174</v>
      </c>
      <c r="Y585" s="13">
        <f t="shared" si="1"/>
        <v>6.0913288772102177E-40</v>
      </c>
      <c r="Z585" s="13">
        <f t="shared" si="2"/>
        <v>1722.0438972255233</v>
      </c>
      <c r="AA585" s="13">
        <f t="shared" si="3"/>
        <v>0</v>
      </c>
      <c r="AB585" s="13">
        <f t="shared" si="4"/>
        <v>6.1220973550272118E-80</v>
      </c>
      <c r="AC585" s="13">
        <f t="shared" si="5"/>
        <v>88.348214477585188</v>
      </c>
      <c r="AD585" s="2"/>
      <c r="AE585" s="13">
        <v>1722.0438972255233</v>
      </c>
      <c r="AF585" s="13">
        <f t="shared" si="6"/>
        <v>152.66281561726697</v>
      </c>
      <c r="AG585" s="13">
        <f t="shared" si="7"/>
        <v>6.8760091801902252</v>
      </c>
      <c r="AH585" s="13">
        <f t="shared" si="8"/>
        <v>8.1208561374799544</v>
      </c>
      <c r="AI585" s="13">
        <v>88.348214477580967</v>
      </c>
      <c r="AJ585" s="2"/>
    </row>
    <row r="586" spans="1:3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5">
        <f t="shared" si="9"/>
        <v>49.149999999999196</v>
      </c>
      <c r="X586" s="16">
        <f t="shared" si="0"/>
        <v>1.387708418722152E-164</v>
      </c>
      <c r="Y586" s="16">
        <f t="shared" si="1"/>
        <v>1.8198038329829423E-37</v>
      </c>
      <c r="Z586" s="16">
        <f t="shared" si="2"/>
        <v>2163.000685818613</v>
      </c>
      <c r="AA586" s="16">
        <f t="shared" si="3"/>
        <v>0</v>
      </c>
      <c r="AB586" s="16">
        <f t="shared" si="4"/>
        <v>1.7174299791820058E-83</v>
      </c>
      <c r="AC586" s="16">
        <f t="shared" si="5"/>
        <v>63.699924014647401</v>
      </c>
      <c r="AD586" s="2"/>
      <c r="AE586" s="16">
        <v>2163.000685818613</v>
      </c>
      <c r="AF586" s="16">
        <f t="shared" si="6"/>
        <v>202.00938012809161</v>
      </c>
      <c r="AG586" s="16">
        <f t="shared" si="7"/>
        <v>9.3119724118980152</v>
      </c>
      <c r="AH586" s="16">
        <f t="shared" si="8"/>
        <v>5.8432040713066815</v>
      </c>
      <c r="AI586" s="16">
        <v>63.699924014644353</v>
      </c>
      <c r="AJ586" s="2"/>
    </row>
    <row r="587" spans="1:3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2">
        <f t="shared" si="9"/>
        <v>49.199999999999193</v>
      </c>
      <c r="X587" s="13">
        <f t="shared" si="0"/>
        <v>5.7961575906844803E-155</v>
      </c>
      <c r="Y587" s="13">
        <f t="shared" si="1"/>
        <v>4.6263135715153033E-35</v>
      </c>
      <c r="Z587" s="13">
        <f t="shared" si="2"/>
        <v>2699.3863515931403</v>
      </c>
      <c r="AA587" s="13">
        <f t="shared" si="3"/>
        <v>0</v>
      </c>
      <c r="AB587" s="13">
        <f t="shared" si="4"/>
        <v>4.077342062403669E-87</v>
      </c>
      <c r="AC587" s="13">
        <f t="shared" si="5"/>
        <v>45.625348247674651</v>
      </c>
      <c r="AD587" s="2"/>
      <c r="AE587" s="13">
        <v>2699.3863515931403</v>
      </c>
      <c r="AF587" s="13">
        <f t="shared" si="6"/>
        <v>265.60003855588462</v>
      </c>
      <c r="AG587" s="13">
        <f t="shared" si="7"/>
        <v>12.725388163564016</v>
      </c>
      <c r="AH587" s="13">
        <f t="shared" si="8"/>
        <v>4.3874077662801199</v>
      </c>
      <c r="AI587" s="13">
        <v>45.625348247672477</v>
      </c>
      <c r="AJ587" s="2"/>
    </row>
    <row r="588" spans="1:3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5">
        <f t="shared" si="9"/>
        <v>49.24999999999919</v>
      </c>
      <c r="X588" s="16">
        <f t="shared" si="0"/>
        <v>1.2693284073358416E-145</v>
      </c>
      <c r="Y588" s="16">
        <f t="shared" si="1"/>
        <v>1.0007912959725391E-32</v>
      </c>
      <c r="Z588" s="16">
        <f t="shared" si="2"/>
        <v>3347.1052750317522</v>
      </c>
      <c r="AA588" s="16">
        <f t="shared" si="3"/>
        <v>0</v>
      </c>
      <c r="AB588" s="16">
        <f t="shared" si="4"/>
        <v>8.1920869859817228E-91</v>
      </c>
      <c r="AC588" s="16">
        <f t="shared" si="5"/>
        <v>32.466009100847415</v>
      </c>
      <c r="AD588" s="2"/>
      <c r="AE588" s="16">
        <v>3347.1052750317522</v>
      </c>
      <c r="AF588" s="16">
        <f t="shared" si="6"/>
        <v>346.97345198855095</v>
      </c>
      <c r="AG588" s="16">
        <f t="shared" si="7"/>
        <v>17.408026691954493</v>
      </c>
      <c r="AH588" s="16">
        <f t="shared" si="8"/>
        <v>3.5642693420747209</v>
      </c>
      <c r="AI588" s="16">
        <v>32.46600910084581</v>
      </c>
      <c r="AJ588" s="2"/>
    </row>
    <row r="589" spans="1:3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2">
        <f t="shared" si="9"/>
        <v>49.299999999999187</v>
      </c>
      <c r="X589" s="13">
        <f t="shared" si="0"/>
        <v>1.4574701438349787E-136</v>
      </c>
      <c r="Y589" s="13">
        <f t="shared" si="1"/>
        <v>1.8422558167459915E-30</v>
      </c>
      <c r="Z589" s="13">
        <f t="shared" si="2"/>
        <v>4123.5344055892056</v>
      </c>
      <c r="AA589" s="13">
        <f t="shared" si="3"/>
        <v>0</v>
      </c>
      <c r="AB589" s="13">
        <f t="shared" si="4"/>
        <v>1.3929363203153717E-94</v>
      </c>
      <c r="AC589" s="13">
        <f t="shared" si="5"/>
        <v>22.954623928066862</v>
      </c>
      <c r="AD589" s="2"/>
      <c r="AE589" s="13">
        <v>4123.5344055892056</v>
      </c>
      <c r="AF589" s="13">
        <f t="shared" si="6"/>
        <v>450.37335241768477</v>
      </c>
      <c r="AG589" s="13">
        <f t="shared" si="7"/>
        <v>23.745182960612951</v>
      </c>
      <c r="AH589" s="13">
        <f t="shared" si="8"/>
        <v>3.258128608636798</v>
      </c>
      <c r="AI589" s="13">
        <v>22.95462392806569</v>
      </c>
      <c r="AJ589" s="2"/>
    </row>
    <row r="590" spans="1:3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5">
        <f t="shared" si="9"/>
        <v>49.349999999999184</v>
      </c>
      <c r="X590" s="16">
        <f t="shared" si="0"/>
        <v>8.7743951201418236E-128</v>
      </c>
      <c r="Y590" s="16">
        <f t="shared" si="1"/>
        <v>2.8857208443433756E-28</v>
      </c>
      <c r="Z590" s="16">
        <f t="shared" si="2"/>
        <v>5047.3775854706137</v>
      </c>
      <c r="AA590" s="16">
        <f t="shared" si="3"/>
        <v>0</v>
      </c>
      <c r="AB590" s="16">
        <f t="shared" si="4"/>
        <v>2.0044132728966681E-98</v>
      </c>
      <c r="AC590" s="16">
        <f t="shared" si="5"/>
        <v>16.131173648566666</v>
      </c>
      <c r="AD590" s="2"/>
      <c r="AE590" s="16">
        <v>5047.3775854706137</v>
      </c>
      <c r="AF590" s="16">
        <f t="shared" si="6"/>
        <v>580.83925601627607</v>
      </c>
      <c r="AG590" s="16">
        <f t="shared" si="7"/>
        <v>32.235668430142645</v>
      </c>
      <c r="AH590" s="16">
        <f t="shared" si="8"/>
        <v>3.4141868253370564</v>
      </c>
      <c r="AI590" s="16">
        <v>16.131173648565873</v>
      </c>
      <c r="AJ590" s="2"/>
    </row>
    <row r="591" spans="1:3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2">
        <f t="shared" si="9"/>
        <v>49.399999999999181</v>
      </c>
      <c r="X591" s="13">
        <f t="shared" si="0"/>
        <v>2.7696606462091544E-119</v>
      </c>
      <c r="Y591" s="13">
        <f t="shared" si="1"/>
        <v>3.8464196064848439E-26</v>
      </c>
      <c r="Z591" s="13">
        <f t="shared" si="2"/>
        <v>6138.4381892313731</v>
      </c>
      <c r="AA591" s="13">
        <f t="shared" si="3"/>
        <v>0</v>
      </c>
      <c r="AB591" s="13">
        <f t="shared" si="4"/>
        <v>2.4409707595500608E-102</v>
      </c>
      <c r="AC591" s="13">
        <f t="shared" si="5"/>
        <v>11.274792001943954</v>
      </c>
      <c r="AD591" s="2"/>
      <c r="AE591" s="13">
        <v>6138.4381892313731</v>
      </c>
      <c r="AF591" s="13">
        <f t="shared" si="6"/>
        <v>744.2954626555404</v>
      </c>
      <c r="AG591" s="13">
        <f t="shared" si="7"/>
        <v>43.516103420746248</v>
      </c>
      <c r="AH591" s="13">
        <f t="shared" si="8"/>
        <v>4.0311391570107675</v>
      </c>
      <c r="AI591" s="13">
        <v>11.27479200194338</v>
      </c>
      <c r="AJ591" s="2"/>
    </row>
    <row r="592" spans="1:3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5">
        <f t="shared" si="9"/>
        <v>49.449999999999179</v>
      </c>
      <c r="X592" s="16">
        <f t="shared" si="0"/>
        <v>4.5838224358268214E-111</v>
      </c>
      <c r="Y592" s="16">
        <f t="shared" si="1"/>
        <v>4.3627162366738644E-24</v>
      </c>
      <c r="Z592" s="16">
        <f t="shared" si="2"/>
        <v>7417.3009198206973</v>
      </c>
      <c r="AA592" s="16">
        <f t="shared" si="3"/>
        <v>0</v>
      </c>
      <c r="AB592" s="16">
        <f t="shared" si="4"/>
        <v>2.5156903506385115E-106</v>
      </c>
      <c r="AC592" s="16">
        <f t="shared" si="5"/>
        <v>7.8491715356921254</v>
      </c>
      <c r="AD592" s="2"/>
      <c r="AE592" s="16">
        <v>7417.3009198206973</v>
      </c>
      <c r="AF592" s="16">
        <f t="shared" si="6"/>
        <v>947.63391027034481</v>
      </c>
      <c r="AG592" s="16">
        <f t="shared" si="7"/>
        <v>58.389658552906418</v>
      </c>
      <c r="AH592" s="16">
        <f t="shared" si="8"/>
        <v>5.1584369862858974</v>
      </c>
      <c r="AI592" s="16">
        <v>7.849171535691732</v>
      </c>
      <c r="AJ592" s="2"/>
    </row>
    <row r="593" spans="1:3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2">
        <f t="shared" si="9"/>
        <v>49.499999999999176</v>
      </c>
      <c r="X593" s="13">
        <f t="shared" si="0"/>
        <v>3.9775977790515309E-103</v>
      </c>
      <c r="Y593" s="13">
        <f t="shared" si="1"/>
        <v>4.2107090699682216E-22</v>
      </c>
      <c r="Z593" s="13">
        <f t="shared" si="2"/>
        <v>8904.9160419976179</v>
      </c>
      <c r="AA593" s="13">
        <f t="shared" si="3"/>
        <v>0</v>
      </c>
      <c r="AB593" s="13">
        <f t="shared" si="4"/>
        <v>2.1941741321375502E-110</v>
      </c>
      <c r="AC593" s="13">
        <f t="shared" si="5"/>
        <v>5.4593440702083607</v>
      </c>
      <c r="AD593" s="2"/>
      <c r="AE593" s="13">
        <v>8904.9160419976179</v>
      </c>
      <c r="AF593" s="13">
        <f t="shared" si="6"/>
        <v>1198.7854776501124</v>
      </c>
      <c r="AG593" s="13">
        <f t="shared" si="7"/>
        <v>77.859313263729135</v>
      </c>
      <c r="AH593" s="13">
        <f t="shared" si="8"/>
        <v>6.8977376345284345</v>
      </c>
      <c r="AI593" s="13">
        <v>5.4593440702080915</v>
      </c>
      <c r="AJ593" s="2"/>
    </row>
    <row r="594" spans="1:3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5">
        <f t="shared" si="9"/>
        <v>49.549999999999173</v>
      </c>
      <c r="X594" s="16">
        <f t="shared" si="0"/>
        <v>1.8096967053713362E-95</v>
      </c>
      <c r="Y594" s="16">
        <f t="shared" si="1"/>
        <v>3.4582108466191907E-20</v>
      </c>
      <c r="Z594" s="16">
        <f t="shared" si="2"/>
        <v>10622.082699300065</v>
      </c>
      <c r="AA594" s="16">
        <f t="shared" si="3"/>
        <v>0</v>
      </c>
      <c r="AB594" s="16">
        <f t="shared" si="4"/>
        <v>1.619587072812488E-114</v>
      </c>
      <c r="AC594" s="16">
        <f t="shared" si="5"/>
        <v>3.8179064009127197</v>
      </c>
      <c r="AD594" s="2"/>
      <c r="AE594" s="16">
        <v>10622.082699300065</v>
      </c>
      <c r="AF594" s="16">
        <f t="shared" si="6"/>
        <v>1506.7733842224279</v>
      </c>
      <c r="AG594" s="16">
        <f t="shared" si="7"/>
        <v>103.16555945092902</v>
      </c>
      <c r="AH594" s="16">
        <f t="shared" si="8"/>
        <v>9.4083043305489564</v>
      </c>
      <c r="AI594" s="16">
        <v>3.8179064009125416</v>
      </c>
      <c r="AJ594" s="2"/>
    </row>
    <row r="595" spans="1:3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2">
        <f t="shared" si="9"/>
        <v>49.59999999999917</v>
      </c>
      <c r="X595" s="13">
        <f t="shared" si="0"/>
        <v>4.3170052795391955E-88</v>
      </c>
      <c r="Y595" s="13">
        <f t="shared" si="1"/>
        <v>2.4168275594977697E-18</v>
      </c>
      <c r="Z595" s="13">
        <f t="shared" si="2"/>
        <v>12588.832239433947</v>
      </c>
      <c r="AA595" s="13">
        <f t="shared" si="3"/>
        <v>0</v>
      </c>
      <c r="AB595" s="13">
        <f t="shared" si="4"/>
        <v>3.3327173850553623E-118</v>
      </c>
      <c r="AC595" s="13">
        <f t="shared" si="5"/>
        <v>2.7190008362194842</v>
      </c>
      <c r="AD595" s="2"/>
      <c r="AE595" s="13">
        <v>12588.832239433945</v>
      </c>
      <c r="AF595" s="13">
        <f t="shared" si="6"/>
        <v>1881.7414913327866</v>
      </c>
      <c r="AG595" s="13">
        <f t="shared" si="7"/>
        <v>135.82827396169992</v>
      </c>
      <c r="AH595" s="13">
        <f t="shared" si="8"/>
        <v>12.916292583378381</v>
      </c>
      <c r="AI595" s="13">
        <v>2.7190008362193652</v>
      </c>
      <c r="AJ595" s="2"/>
    </row>
    <row r="596" spans="1:3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5">
        <f t="shared" si="9"/>
        <v>49.649999999999167</v>
      </c>
      <c r="X596" s="16">
        <f t="shared" si="0"/>
        <v>5.3994710450764514E-81</v>
      </c>
      <c r="Y596" s="16">
        <f t="shared" si="1"/>
        <v>1.4372682233120595E-16</v>
      </c>
      <c r="Z596" s="16">
        <f t="shared" si="2"/>
        <v>14823.717586685472</v>
      </c>
      <c r="AA596" s="16">
        <f t="shared" si="3"/>
        <v>0</v>
      </c>
      <c r="AB596" s="16">
        <f t="shared" si="4"/>
        <v>2.8039638512121637E-114</v>
      </c>
      <c r="AC596" s="16">
        <f t="shared" si="5"/>
        <v>2.0186060022021617</v>
      </c>
      <c r="AD596" s="2"/>
      <c r="AE596" s="16">
        <v>14823.717586685472</v>
      </c>
      <c r="AF596" s="16">
        <f t="shared" si="6"/>
        <v>2334.9496496325814</v>
      </c>
      <c r="AG596" s="16">
        <f t="shared" si="7"/>
        <v>177.69221147973659</v>
      </c>
      <c r="AH596" s="16">
        <f t="shared" si="8"/>
        <v>17.727999293262425</v>
      </c>
      <c r="AI596" s="16">
        <v>2.0186060022020884</v>
      </c>
      <c r="AJ596" s="2"/>
    </row>
    <row r="597" spans="1:3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2">
        <f t="shared" si="9"/>
        <v>49.699999999999164</v>
      </c>
      <c r="X597" s="13">
        <f t="shared" si="0"/>
        <v>3.5408840549428488E-74</v>
      </c>
      <c r="Y597" s="13">
        <f t="shared" si="1"/>
        <v>7.2732404640254931E-15</v>
      </c>
      <c r="Z597" s="13">
        <f t="shared" si="2"/>
        <v>17343.020495455919</v>
      </c>
      <c r="AA597" s="13">
        <f t="shared" si="3"/>
        <v>0</v>
      </c>
      <c r="AB597" s="13">
        <f t="shared" si="4"/>
        <v>2.8890884566813507E-110</v>
      </c>
      <c r="AC597" s="13">
        <f t="shared" si="5"/>
        <v>1.6199328035582217</v>
      </c>
      <c r="AD597" s="2"/>
      <c r="AE597" s="13">
        <v>17343.020495455919</v>
      </c>
      <c r="AF597" s="13">
        <f t="shared" si="6"/>
        <v>2878.727853869113</v>
      </c>
      <c r="AG597" s="13">
        <f t="shared" si="7"/>
        <v>230.97522853021289</v>
      </c>
      <c r="AH597" s="13">
        <f t="shared" si="8"/>
        <v>24.247255965936024</v>
      </c>
      <c r="AI597" s="13">
        <v>1.6199328035581857</v>
      </c>
      <c r="AJ597" s="2"/>
    </row>
    <row r="598" spans="1:3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5">
        <f t="shared" si="9"/>
        <v>49.749999999999162</v>
      </c>
      <c r="X598" s="16">
        <f t="shared" si="0"/>
        <v>1.217486203488631E-67</v>
      </c>
      <c r="Y598" s="16">
        <f t="shared" si="1"/>
        <v>3.131958737989167E-13</v>
      </c>
      <c r="Z598" s="16">
        <f t="shared" si="2"/>
        <v>20159.89476467553</v>
      </c>
      <c r="AA598" s="16">
        <f t="shared" si="3"/>
        <v>0</v>
      </c>
      <c r="AB598" s="16">
        <f t="shared" si="4"/>
        <v>2.5388759349606042E-106</v>
      </c>
      <c r="AC598" s="16">
        <f t="shared" si="5"/>
        <v>1.4629447074925113</v>
      </c>
      <c r="AD598" s="2"/>
      <c r="AE598" s="16">
        <v>20159.89476467553</v>
      </c>
      <c r="AF598" s="16">
        <f t="shared" si="6"/>
        <v>3526.3809564155786</v>
      </c>
      <c r="AG598" s="16">
        <f t="shared" si="7"/>
        <v>298.31794277129171</v>
      </c>
      <c r="AH598" s="16">
        <f t="shared" si="8"/>
        <v>32.997214097552259</v>
      </c>
      <c r="AI598" s="16">
        <v>1.4629447074925046</v>
      </c>
      <c r="AJ598" s="2"/>
    </row>
    <row r="599" spans="1:3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2">
        <f t="shared" si="9"/>
        <v>49.799999999999159</v>
      </c>
      <c r="X599" s="13">
        <f t="shared" si="0"/>
        <v>2.1948671754325185E-61</v>
      </c>
      <c r="Y599" s="13">
        <f t="shared" si="1"/>
        <v>1.1476304969106801E-11</v>
      </c>
      <c r="Z599" s="13">
        <f t="shared" si="2"/>
        <v>23283.469881256558</v>
      </c>
      <c r="AA599" s="13">
        <f t="shared" si="3"/>
        <v>0</v>
      </c>
      <c r="AB599" s="13">
        <f t="shared" si="4"/>
        <v>1.9028928298461832E-102</v>
      </c>
      <c r="AC599" s="13">
        <f t="shared" si="5"/>
        <v>1.5172254142134918</v>
      </c>
      <c r="AD599" s="2"/>
      <c r="AE599" s="13">
        <v>23283.469881256558</v>
      </c>
      <c r="AF599" s="13">
        <f t="shared" si="6"/>
        <v>4292.0361490281839</v>
      </c>
      <c r="AG599" s="13">
        <f t="shared" si="7"/>
        <v>382.83306743080766</v>
      </c>
      <c r="AH599" s="13">
        <f t="shared" si="8"/>
        <v>44.646794682329563</v>
      </c>
      <c r="AI599" s="13">
        <v>1.5172254142135166</v>
      </c>
      <c r="AJ599" s="2"/>
    </row>
    <row r="600" spans="1:3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5">
        <f t="shared" si="9"/>
        <v>49.849999999999156</v>
      </c>
      <c r="X600" s="16">
        <f t="shared" si="0"/>
        <v>2.0746473779036647E-55</v>
      </c>
      <c r="Y600" s="16">
        <f t="shared" si="1"/>
        <v>3.5783769901546236E-10</v>
      </c>
      <c r="Z600" s="16">
        <f t="shared" si="2"/>
        <v>26717.945717957962</v>
      </c>
      <c r="AA600" s="16">
        <f t="shared" si="3"/>
        <v>0</v>
      </c>
      <c r="AB600" s="16">
        <f t="shared" si="4"/>
        <v>1.2164083447631395E-98</v>
      </c>
      <c r="AC600" s="16">
        <f t="shared" si="5"/>
        <v>1.7775979939753084</v>
      </c>
      <c r="AD600" s="2"/>
      <c r="AE600" s="16">
        <v>26717.945717957962</v>
      </c>
      <c r="AF600" s="16">
        <f t="shared" si="6"/>
        <v>5190.4264333556603</v>
      </c>
      <c r="AG600" s="16">
        <f t="shared" si="7"/>
        <v>488.15215277631546</v>
      </c>
      <c r="AH600" s="16">
        <f t="shared" si="8"/>
        <v>60.042049144075989</v>
      </c>
      <c r="AI600" s="16">
        <v>1.777597993975359</v>
      </c>
      <c r="AJ600" s="2"/>
    </row>
    <row r="601" spans="1:3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2">
        <f t="shared" si="9"/>
        <v>49.899999999999153</v>
      </c>
      <c r="X601" s="13">
        <f t="shared" si="0"/>
        <v>1.0281871979466526E-49</v>
      </c>
      <c r="Y601" s="13">
        <f t="shared" si="1"/>
        <v>9.4944118725579997E-9</v>
      </c>
      <c r="Z601" s="13">
        <f t="shared" si="2"/>
        <v>30461.714413146179</v>
      </c>
      <c r="AA601" s="13">
        <f t="shared" si="3"/>
        <v>0</v>
      </c>
      <c r="AB601" s="13">
        <f t="shared" si="4"/>
        <v>6.6318800485367739E-95</v>
      </c>
      <c r="AC601" s="13">
        <f t="shared" si="5"/>
        <v>2.2620570733947281</v>
      </c>
      <c r="AD601" s="2"/>
      <c r="AE601" s="13">
        <v>30461.714413146179</v>
      </c>
      <c r="AF601" s="13">
        <f t="shared" si="6"/>
        <v>6236.6049304537501</v>
      </c>
      <c r="AG601" s="13">
        <f t="shared" si="7"/>
        <v>618.46693603075619</v>
      </c>
      <c r="AH601" s="13">
        <f t="shared" si="8"/>
        <v>80.242599158823353</v>
      </c>
      <c r="AI601" s="13">
        <v>2.2620570733948133</v>
      </c>
      <c r="AJ601" s="2"/>
    </row>
    <row r="602" spans="1:3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5">
        <f t="shared" si="9"/>
        <v>49.94999999999915</v>
      </c>
      <c r="X602" s="16">
        <f t="shared" si="0"/>
        <v>2.6717261765519145E-44</v>
      </c>
      <c r="Y602" s="16">
        <f t="shared" si="1"/>
        <v>2.1436210153149504E-7</v>
      </c>
      <c r="Z602" s="16">
        <f t="shared" si="2"/>
        <v>34506.549956673654</v>
      </c>
      <c r="AA602" s="16">
        <f t="shared" si="3"/>
        <v>0</v>
      </c>
      <c r="AB602" s="16">
        <f t="shared" si="4"/>
        <v>3.0837995782164454E-91</v>
      </c>
      <c r="AC602" s="16">
        <f t="shared" si="5"/>
        <v>3.0117101617113402</v>
      </c>
      <c r="AD602" s="2"/>
      <c r="AE602" s="16">
        <v>34506.549956673654</v>
      </c>
      <c r="AF602" s="16">
        <f t="shared" si="6"/>
        <v>7445.5871652128317</v>
      </c>
      <c r="AG602" s="16">
        <f t="shared" si="7"/>
        <v>778.56197693152046</v>
      </c>
      <c r="AH602" s="16">
        <f t="shared" si="8"/>
        <v>106.56318077022632</v>
      </c>
      <c r="AI602" s="16">
        <v>3.0117101617114694</v>
      </c>
      <c r="AJ602" s="2"/>
    </row>
    <row r="603" spans="1:3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2">
        <f t="shared" si="9"/>
        <v>49.999999999999147</v>
      </c>
      <c r="X603" s="13">
        <f t="shared" si="0"/>
        <v>3.6400181713908634E-39</v>
      </c>
      <c r="Y603" s="13">
        <f t="shared" si="1"/>
        <v>4.118375177303809E-6</v>
      </c>
      <c r="Z603" s="13">
        <f t="shared" si="2"/>
        <v>38836.908850602667</v>
      </c>
      <c r="AA603" s="13">
        <f t="shared" si="3"/>
        <v>0</v>
      </c>
      <c r="AB603" s="13">
        <f t="shared" si="4"/>
        <v>1.2230038873689579E-87</v>
      </c>
      <c r="AC603" s="13">
        <f t="shared" si="5"/>
        <v>4.0925367973830244</v>
      </c>
      <c r="AD603" s="2"/>
      <c r="AE603" s="13">
        <v>38836.908850602667</v>
      </c>
      <c r="AF603" s="13">
        <f t="shared" si="6"/>
        <v>8831.9214024942048</v>
      </c>
      <c r="AG603" s="13">
        <f t="shared" si="7"/>
        <v>973.83477459159928</v>
      </c>
      <c r="AH603" s="13">
        <f t="shared" si="8"/>
        <v>140.62010721051539</v>
      </c>
      <c r="AI603" s="13">
        <v>4.0925367973832039</v>
      </c>
      <c r="AJ603" s="2"/>
    </row>
    <row r="604" spans="1:3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5">
        <f t="shared" si="9"/>
        <v>50.049999999999145</v>
      </c>
      <c r="X604" s="16">
        <f t="shared" si="0"/>
        <v>2.6002015368363821E-34</v>
      </c>
      <c r="Y604" s="16">
        <f t="shared" si="1"/>
        <v>6.7328939252726542E-5</v>
      </c>
      <c r="Z604" s="16">
        <f t="shared" si="2"/>
        <v>43429.386096628645</v>
      </c>
      <c r="AA604" s="16">
        <f t="shared" si="3"/>
        <v>0</v>
      </c>
      <c r="AB604" s="16">
        <f t="shared" si="4"/>
        <v>4.1367734815632444E-84</v>
      </c>
      <c r="AC604" s="16">
        <f t="shared" si="5"/>
        <v>5.5988660337736551</v>
      </c>
      <c r="AD604" s="2"/>
      <c r="AE604" s="16">
        <v>43429.386096628645</v>
      </c>
      <c r="AF604" s="16">
        <f t="shared" si="6"/>
        <v>10409.190660986134</v>
      </c>
      <c r="AG604" s="16">
        <f t="shared" si="7"/>
        <v>1210.2991658828462</v>
      </c>
      <c r="AH604" s="16">
        <f t="shared" si="8"/>
        <v>184.38217957142226</v>
      </c>
      <c r="AI604" s="16">
        <v>5.5988660337738985</v>
      </c>
      <c r="AJ604" s="2"/>
    </row>
    <row r="605" spans="1:3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2">
        <f t="shared" si="9"/>
        <v>50.099999999999142</v>
      </c>
      <c r="X605" s="13">
        <f t="shared" si="0"/>
        <v>9.7387299300436209E-30</v>
      </c>
      <c r="Y605" s="13">
        <f t="shared" si="1"/>
        <v>9.3664625338541212E-4</v>
      </c>
      <c r="Z605" s="13">
        <f t="shared" si="2"/>
        <v>48252.369348847431</v>
      </c>
      <c r="AA605" s="13">
        <f t="shared" si="3"/>
        <v>0</v>
      </c>
      <c r="AB605" s="13">
        <f t="shared" si="4"/>
        <v>1.1934050042308391E-80</v>
      </c>
      <c r="AC605" s="13">
        <f t="shared" si="5"/>
        <v>7.6585447793588415</v>
      </c>
      <c r="AD605" s="2"/>
      <c r="AE605" s="13">
        <v>48252.369348847431</v>
      </c>
      <c r="AF605" s="13">
        <f t="shared" si="6"/>
        <v>12189.454089054438</v>
      </c>
      <c r="AG605" s="13">
        <f t="shared" si="7"/>
        <v>1494.5675452244116</v>
      </c>
      <c r="AH605" s="13">
        <f t="shared" si="8"/>
        <v>240.22521207184695</v>
      </c>
      <c r="AI605" s="13">
        <v>7.6585447793591843</v>
      </c>
      <c r="AJ605" s="2"/>
    </row>
    <row r="606" spans="1:3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5">
        <f t="shared" si="9"/>
        <v>50.149999999999139</v>
      </c>
      <c r="X606" s="16">
        <f t="shared" si="0"/>
        <v>1.9124473457246951E-25</v>
      </c>
      <c r="Y606" s="16">
        <f t="shared" si="1"/>
        <v>1.1087851260056823E-2</v>
      </c>
      <c r="Z606" s="16">
        <f t="shared" si="2"/>
        <v>53265.930135938841</v>
      </c>
      <c r="AA606" s="16">
        <f t="shared" si="3"/>
        <v>0</v>
      </c>
      <c r="AB606" s="16">
        <f t="shared" si="4"/>
        <v>2.9363389027480183E-77</v>
      </c>
      <c r="AC606" s="16">
        <f t="shared" si="5"/>
        <v>10.439822080913286</v>
      </c>
      <c r="AD606" s="2"/>
      <c r="AE606" s="16">
        <v>53265.930135938841</v>
      </c>
      <c r="AF606" s="16">
        <f t="shared" si="6"/>
        <v>14182.639799461256</v>
      </c>
      <c r="AG606" s="16">
        <f t="shared" si="7"/>
        <v>1833.8073726828882</v>
      </c>
      <c r="AH606" s="16">
        <f t="shared" si="8"/>
        <v>310.98890011296527</v>
      </c>
      <c r="AI606" s="16">
        <v>10.439822080913739</v>
      </c>
      <c r="AJ606" s="2"/>
    </row>
    <row r="607" spans="1:3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2">
        <f t="shared" si="9"/>
        <v>50.199999999999136</v>
      </c>
      <c r="X607" s="13">
        <f t="shared" si="0"/>
        <v>1.9691033183492566E-21</v>
      </c>
      <c r="Y607" s="13">
        <f t="shared" si="1"/>
        <v>0.11169073417690763</v>
      </c>
      <c r="Z607" s="13">
        <f t="shared" si="2"/>
        <v>58421.984517541787</v>
      </c>
      <c r="AA607" s="13">
        <f t="shared" si="3"/>
        <v>3.3776406889179709E-308</v>
      </c>
      <c r="AB607" s="13">
        <f t="shared" si="4"/>
        <v>6.1619293409087826E-74</v>
      </c>
      <c r="AC607" s="13">
        <f t="shared" si="5"/>
        <v>14.160007385148218</v>
      </c>
      <c r="AD607" s="2"/>
      <c r="AE607" s="13">
        <v>58421.984517541787</v>
      </c>
      <c r="AF607" s="13">
        <f t="shared" si="6"/>
        <v>16395.905817569241</v>
      </c>
      <c r="AG607" s="13">
        <f t="shared" si="7"/>
        <v>2235.6676039697772</v>
      </c>
      <c r="AH607" s="13">
        <f t="shared" si="8"/>
        <v>400.03425076788295</v>
      </c>
      <c r="AI607" s="13">
        <v>14.16000738514882</v>
      </c>
      <c r="AJ607" s="2"/>
    </row>
    <row r="608" spans="1:3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5">
        <f t="shared" si="9"/>
        <v>50.249999999999133</v>
      </c>
      <c r="X608" s="16">
        <f t="shared" si="0"/>
        <v>1.0630149541034305E-17</v>
      </c>
      <c r="Y608" s="16">
        <f t="shared" si="1"/>
        <v>0.9573811298222773</v>
      </c>
      <c r="Z608" s="16">
        <f t="shared" si="2"/>
        <v>63664.746478285182</v>
      </c>
      <c r="AA608" s="16">
        <f t="shared" si="3"/>
        <v>3.4659670498722411E-295</v>
      </c>
      <c r="AB608" s="16">
        <f t="shared" si="4"/>
        <v>1.1028576484411472E-70</v>
      </c>
      <c r="AC608" s="16">
        <f t="shared" si="5"/>
        <v>19.095973283059752</v>
      </c>
      <c r="AD608" s="2"/>
      <c r="AE608" s="16">
        <v>63664.746478285175</v>
      </c>
      <c r="AF608" s="16">
        <f t="shared" si="6"/>
        <v>18832.990242557102</v>
      </c>
      <c r="AG608" s="16">
        <f t="shared" si="7"/>
        <v>2708.1711305282511</v>
      </c>
      <c r="AH608" s="16">
        <f t="shared" si="8"/>
        <v>511.29922953149401</v>
      </c>
      <c r="AI608" s="16">
        <v>19.095973283060562</v>
      </c>
      <c r="AJ608" s="2"/>
    </row>
    <row r="609" spans="1:3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2">
        <f t="shared" si="9"/>
        <v>50.29999999999913</v>
      </c>
      <c r="X609" s="13">
        <f t="shared" si="0"/>
        <v>3.008860803796388E-14</v>
      </c>
      <c r="Y609" s="13">
        <f t="shared" si="1"/>
        <v>6.9831367021580224</v>
      </c>
      <c r="Z609" s="13">
        <f t="shared" si="2"/>
        <v>68931.486042344084</v>
      </c>
      <c r="AA609" s="13">
        <f t="shared" si="3"/>
        <v>1.8819334160120575E-282</v>
      </c>
      <c r="AB609" s="13">
        <f t="shared" si="4"/>
        <v>1.683505018837535E-67</v>
      </c>
      <c r="AC609" s="13">
        <f t="shared" si="5"/>
        <v>25.596563796018128</v>
      </c>
      <c r="AD609" s="2"/>
      <c r="AE609" s="13">
        <v>68931.486042344084</v>
      </c>
      <c r="AF609" s="13">
        <f t="shared" si="6"/>
        <v>21493.575757257819</v>
      </c>
      <c r="AG609" s="13">
        <f t="shared" si="7"/>
        <v>3259.5700999493565</v>
      </c>
      <c r="AH609" s="13">
        <f t="shared" si="8"/>
        <v>649.34967446643407</v>
      </c>
      <c r="AI609" s="13">
        <v>25.596563796019172</v>
      </c>
      <c r="AJ609" s="2"/>
    </row>
    <row r="610" spans="1:3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5">
        <f t="shared" si="9"/>
        <v>50.349999999999127</v>
      </c>
      <c r="X610" s="16">
        <f t="shared" si="0"/>
        <v>4.4653620013898927E-11</v>
      </c>
      <c r="Y610" s="16">
        <f t="shared" si="1"/>
        <v>43.342522945607726</v>
      </c>
      <c r="Z610" s="16">
        <f t="shared" si="2"/>
        <v>74153.590955328691</v>
      </c>
      <c r="AA610" s="16">
        <f t="shared" si="3"/>
        <v>5.4069570528680524E-270</v>
      </c>
      <c r="AB610" s="16">
        <f t="shared" si="4"/>
        <v>2.1918033279064116E-64</v>
      </c>
      <c r="AC610" s="16">
        <f t="shared" si="5"/>
        <v>34.09693604282262</v>
      </c>
      <c r="AD610" s="2"/>
      <c r="AE610" s="16">
        <v>74153.590955328691</v>
      </c>
      <c r="AF610" s="16">
        <f t="shared" si="6"/>
        <v>24372.696931339851</v>
      </c>
      <c r="AG610" s="16">
        <f t="shared" si="7"/>
        <v>3898.1621220678212</v>
      </c>
      <c r="AH610" s="16">
        <f t="shared" si="8"/>
        <v>819.42191825704185</v>
      </c>
      <c r="AI610" s="16">
        <v>34.096936042823984</v>
      </c>
      <c r="AJ610" s="2"/>
    </row>
    <row r="611" spans="1:3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2">
        <f t="shared" si="9"/>
        <v>50.399999999999125</v>
      </c>
      <c r="X611" s="13">
        <f t="shared" si="0"/>
        <v>3.474586281915904E-8</v>
      </c>
      <c r="Y611" s="13">
        <f t="shared" si="1"/>
        <v>228.91581354484171</v>
      </c>
      <c r="Z611" s="13">
        <f t="shared" si="2"/>
        <v>79257.916440242916</v>
      </c>
      <c r="AA611" s="13">
        <f t="shared" si="3"/>
        <v>8.2199737084470408E-258</v>
      </c>
      <c r="AB611" s="13">
        <f t="shared" si="4"/>
        <v>2.4337779893982469E-61</v>
      </c>
      <c r="AC611" s="13">
        <f t="shared" si="5"/>
        <v>45.134804096370182</v>
      </c>
      <c r="AD611" s="2"/>
      <c r="AE611" s="13">
        <v>79257.916440242916</v>
      </c>
      <c r="AF611" s="13">
        <f t="shared" si="6"/>
        <v>27460.221024728835</v>
      </c>
      <c r="AG611" s="13">
        <f t="shared" si="7"/>
        <v>4632.0668608215619</v>
      </c>
      <c r="AH611" s="13">
        <f t="shared" si="8"/>
        <v>1027.4529778949122</v>
      </c>
      <c r="AI611" s="13">
        <v>45.134804096371937</v>
      </c>
      <c r="AJ611" s="2"/>
    </row>
    <row r="612" spans="1:3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5">
        <f t="shared" si="9"/>
        <v>50.449999999999122</v>
      </c>
      <c r="X612" s="16">
        <f t="shared" si="0"/>
        <v>1.4175597771722134E-5</v>
      </c>
      <c r="Y612" s="16">
        <f t="shared" si="1"/>
        <v>1028.8104458050918</v>
      </c>
      <c r="Z612" s="16">
        <f t="shared" si="2"/>
        <v>84168.392741000018</v>
      </c>
      <c r="AA612" s="16">
        <f t="shared" si="3"/>
        <v>6.6123644003819557E-246</v>
      </c>
      <c r="AB612" s="16">
        <f t="shared" si="4"/>
        <v>2.3049024352695535E-58</v>
      </c>
      <c r="AC612" s="16">
        <f t="shared" si="5"/>
        <v>59.368467120249093</v>
      </c>
      <c r="AD612" s="2"/>
      <c r="AE612" s="16">
        <v>84168.392741000018</v>
      </c>
      <c r="AF612" s="16">
        <f t="shared" si="6"/>
        <v>30740.433915468315</v>
      </c>
      <c r="AG612" s="16">
        <f t="shared" si="7"/>
        <v>5468.9643490950366</v>
      </c>
      <c r="AH612" s="16">
        <f t="shared" si="8"/>
        <v>1280.0936669953476</v>
      </c>
      <c r="AI612" s="16">
        <v>59.368467120251417</v>
      </c>
      <c r="AJ612" s="2"/>
    </row>
    <row r="613" spans="1:3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2">
        <f t="shared" si="9"/>
        <v>50.499999999999119</v>
      </c>
      <c r="X613" s="13">
        <f t="shared" si="0"/>
        <v>3.0322954592207373E-3</v>
      </c>
      <c r="Y613" s="13">
        <f t="shared" si="1"/>
        <v>3934.5303398285755</v>
      </c>
      <c r="Z613" s="13">
        <f t="shared" si="2"/>
        <v>88807.845768587315</v>
      </c>
      <c r="AA613" s="13">
        <f t="shared" si="3"/>
        <v>2.8145694657722817E-234</v>
      </c>
      <c r="AB613" s="13">
        <f t="shared" si="4"/>
        <v>1.8617284906939464E-55</v>
      </c>
      <c r="AC613" s="13">
        <f t="shared" si="5"/>
        <v>77.59638816404761</v>
      </c>
      <c r="AD613" s="2"/>
      <c r="AE613" s="13">
        <v>88807.845768587315</v>
      </c>
      <c r="AF613" s="13">
        <f t="shared" si="6"/>
        <v>34191.762098415296</v>
      </c>
      <c r="AG613" s="13">
        <f t="shared" si="7"/>
        <v>6415.7984985398643</v>
      </c>
      <c r="AH613" s="13">
        <f t="shared" si="8"/>
        <v>1584.699610543666</v>
      </c>
      <c r="AI613" s="13">
        <v>77.596388164050509</v>
      </c>
      <c r="AJ613" s="2"/>
    </row>
    <row r="614" spans="1:3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5">
        <f t="shared" si="9"/>
        <v>50.549999999999116</v>
      </c>
      <c r="X614" s="16">
        <f t="shared" si="0"/>
        <v>0.34008971812830963</v>
      </c>
      <c r="Y614" s="16">
        <f t="shared" si="1"/>
        <v>12804.080479731047</v>
      </c>
      <c r="Z614" s="16">
        <f t="shared" si="2"/>
        <v>93099.973052998335</v>
      </c>
      <c r="AA614" s="16">
        <f t="shared" si="3"/>
        <v>6.3392226679058792E-223</v>
      </c>
      <c r="AB614" s="16">
        <f t="shared" si="4"/>
        <v>1.2825442374484254E-52</v>
      </c>
      <c r="AC614" s="16">
        <f t="shared" si="5"/>
        <v>100.7779450325794</v>
      </c>
      <c r="AD614" s="2"/>
      <c r="AE614" s="16">
        <v>93099.973052998335</v>
      </c>
      <c r="AF614" s="16">
        <f t="shared" si="6"/>
        <v>37786.659251347162</v>
      </c>
      <c r="AG614" s="16">
        <f t="shared" si="7"/>
        <v>7478.4516342241677</v>
      </c>
      <c r="AH614" s="16">
        <f t="shared" si="8"/>
        <v>1949.2949546890645</v>
      </c>
      <c r="AI614" s="16">
        <v>100.77794503258306</v>
      </c>
      <c r="AJ614" s="2"/>
    </row>
    <row r="615" spans="1:3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2">
        <f t="shared" si="9"/>
        <v>50.599999999999113</v>
      </c>
      <c r="X615" s="13">
        <f t="shared" si="0"/>
        <v>19.998956766856466</v>
      </c>
      <c r="Y615" s="13">
        <f t="shared" si="1"/>
        <v>35456.989198800773</v>
      </c>
      <c r="Z615" s="13">
        <f t="shared" si="2"/>
        <v>96971.406252044922</v>
      </c>
      <c r="AA615" s="13">
        <f t="shared" si="3"/>
        <v>7.5549028487190486E-212</v>
      </c>
      <c r="AB615" s="13">
        <f t="shared" si="4"/>
        <v>7.5356474654969545E-50</v>
      </c>
      <c r="AC615" s="13">
        <f t="shared" si="5"/>
        <v>130.05480173074375</v>
      </c>
      <c r="AD615" s="2"/>
      <c r="AE615" s="13">
        <v>96971.406252044922</v>
      </c>
      <c r="AF615" s="13">
        <f t="shared" si="6"/>
        <v>41491.681562843762</v>
      </c>
      <c r="AG615" s="13">
        <f t="shared" si="7"/>
        <v>8661.3983603465131</v>
      </c>
      <c r="AH615" s="13">
        <f t="shared" si="8"/>
        <v>2382.5036253484636</v>
      </c>
      <c r="AI615" s="13">
        <v>130.05480173074847</v>
      </c>
      <c r="AJ615" s="2"/>
    </row>
    <row r="616" spans="1:3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5">
        <f t="shared" si="9"/>
        <v>50.64999999999911</v>
      </c>
      <c r="X616" s="16">
        <f t="shared" si="0"/>
        <v>616.61350688184291</v>
      </c>
      <c r="Y616" s="16">
        <f t="shared" si="1"/>
        <v>83551.312794078185</v>
      </c>
      <c r="Z616" s="16">
        <f t="shared" si="2"/>
        <v>100353.78346690189</v>
      </c>
      <c r="AA616" s="16">
        <f t="shared" si="3"/>
        <v>4.7642067849131684E-201</v>
      </c>
      <c r="AB616" s="16">
        <f t="shared" si="4"/>
        <v>3.7762523001819514E-47</v>
      </c>
      <c r="AC616" s="16">
        <f t="shared" si="5"/>
        <v>166.7721515063707</v>
      </c>
      <c r="AD616" s="2"/>
      <c r="AE616" s="16">
        <v>100353.78346690189</v>
      </c>
      <c r="AF616" s="16">
        <f t="shared" si="6"/>
        <v>45267.769896342594</v>
      </c>
      <c r="AG616" s="16">
        <f t="shared" si="7"/>
        <v>9967.3495258325711</v>
      </c>
      <c r="AH616" s="16">
        <f t="shared" si="8"/>
        <v>2893.4433567494011</v>
      </c>
      <c r="AI616" s="16">
        <v>166.77215150637645</v>
      </c>
      <c r="AJ616" s="2"/>
    </row>
    <row r="617" spans="1:3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2">
        <f t="shared" si="9"/>
        <v>50.699999999999108</v>
      </c>
      <c r="X617" s="13">
        <f t="shared" si="0"/>
        <v>9968.0585115955146</v>
      </c>
      <c r="Y617" s="13">
        <f t="shared" si="1"/>
        <v>167533.88681963659</v>
      </c>
      <c r="Z617" s="13">
        <f t="shared" si="2"/>
        <v>103185.75020909229</v>
      </c>
      <c r="AA617" s="13">
        <f t="shared" si="3"/>
        <v>1.5897219279935251E-190</v>
      </c>
      <c r="AB617" s="13">
        <f t="shared" si="4"/>
        <v>1.6139632559167345E-44</v>
      </c>
      <c r="AC617" s="13">
        <f t="shared" si="5"/>
        <v>212.49886641718919</v>
      </c>
      <c r="AD617" s="2"/>
      <c r="AE617" s="13">
        <v>103185.75020909229</v>
      </c>
      <c r="AF617" s="13">
        <f t="shared" si="6"/>
        <v>49070.749088195022</v>
      </c>
      <c r="AG617" s="13">
        <f t="shared" si="7"/>
        <v>11396.899352264298</v>
      </c>
      <c r="AH617" s="13">
        <f t="shared" si="8"/>
        <v>3491.5784350276631</v>
      </c>
      <c r="AI617" s="13">
        <v>212.49886641719635</v>
      </c>
      <c r="AJ617" s="2"/>
    </row>
    <row r="618" spans="1:3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5">
        <f t="shared" si="9"/>
        <v>50.749999999999105</v>
      </c>
      <c r="X618" s="16">
        <f t="shared" si="0"/>
        <v>84488.962330087306</v>
      </c>
      <c r="Y618" s="16">
        <f t="shared" si="1"/>
        <v>285857.77811323793</v>
      </c>
      <c r="Z618" s="16">
        <f t="shared" si="2"/>
        <v>105414.80749951297</v>
      </c>
      <c r="AA618" s="16">
        <f t="shared" si="3"/>
        <v>2.8068588166424412E-180</v>
      </c>
      <c r="AB618" s="16">
        <f t="shared" si="4"/>
        <v>5.8832661290486117E-42</v>
      </c>
      <c r="AC618" s="16">
        <f t="shared" si="5"/>
        <v>269.04536254119296</v>
      </c>
      <c r="AD618" s="2"/>
      <c r="AE618" s="16">
        <v>105414.80749951297</v>
      </c>
      <c r="AF618" s="16">
        <f t="shared" si="6"/>
        <v>52852.045534707489</v>
      </c>
      <c r="AG618" s="16">
        <f t="shared" si="7"/>
        <v>12948.190741027074</v>
      </c>
      <c r="AH618" s="16">
        <f t="shared" si="8"/>
        <v>4186.5282198035156</v>
      </c>
      <c r="AI618" s="16">
        <v>269.04536254120228</v>
      </c>
      <c r="AJ618" s="2"/>
    </row>
    <row r="619" spans="1:3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2">
        <f t="shared" si="9"/>
        <v>50.799999999999102</v>
      </c>
      <c r="X619" s="13">
        <f t="shared" si="0"/>
        <v>375475.17354464956</v>
      </c>
      <c r="Y619" s="13">
        <f t="shared" si="1"/>
        <v>415045.13381771953</v>
      </c>
      <c r="Z619" s="13">
        <f t="shared" si="2"/>
        <v>106998.92945919187</v>
      </c>
      <c r="AA619" s="13">
        <f t="shared" si="3"/>
        <v>2.6223388812780244E-170</v>
      </c>
      <c r="AB619" s="13">
        <f t="shared" si="4"/>
        <v>1.829092022396725E-39</v>
      </c>
      <c r="AC619" s="13">
        <f t="shared" si="5"/>
        <v>338.47776653479298</v>
      </c>
      <c r="AD619" s="2"/>
      <c r="AE619" s="13">
        <v>106998.92945919187</v>
      </c>
      <c r="AF619" s="13">
        <f t="shared" si="6"/>
        <v>56559.614126112174</v>
      </c>
      <c r="AG619" s="13">
        <f t="shared" si="7"/>
        <v>14616.615216751979</v>
      </c>
      <c r="AH619" s="13">
        <f t="shared" si="8"/>
        <v>4987.8300363602511</v>
      </c>
      <c r="AI619" s="13">
        <v>338.47776653480378</v>
      </c>
      <c r="AJ619" s="2"/>
    </row>
    <row r="620" spans="1:3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5">
        <f t="shared" si="9"/>
        <v>50.849999999999099</v>
      </c>
      <c r="X620" s="16">
        <f t="shared" si="0"/>
        <v>874891.7673860935</v>
      </c>
      <c r="Y620" s="16">
        <f t="shared" si="1"/>
        <v>512788.8839742592</v>
      </c>
      <c r="Z620" s="16">
        <f t="shared" si="2"/>
        <v>107907.88080782053</v>
      </c>
      <c r="AA620" s="16">
        <f t="shared" si="3"/>
        <v>1.2963608362129033E-160</v>
      </c>
      <c r="AB620" s="16">
        <f t="shared" si="4"/>
        <v>4.8500344962810643E-37</v>
      </c>
      <c r="AC620" s="16">
        <f t="shared" si="5"/>
        <v>423.12676354151506</v>
      </c>
      <c r="AD620" s="2"/>
      <c r="AE620" s="16">
        <v>107907.88080782053</v>
      </c>
      <c r="AF620" s="16">
        <f t="shared" si="6"/>
        <v>60139.055050066258</v>
      </c>
      <c r="AG620" s="16">
        <f t="shared" si="7"/>
        <v>16394.56472260685</v>
      </c>
      <c r="AH620" s="16">
        <f t="shared" si="8"/>
        <v>5904.656965892872</v>
      </c>
      <c r="AI620" s="16">
        <v>423.12676354152819</v>
      </c>
      <c r="AJ620" s="2"/>
    </row>
    <row r="621" spans="1:3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2">
        <f t="shared" si="9"/>
        <v>50.899999999999096</v>
      </c>
      <c r="X621" s="13">
        <f t="shared" si="0"/>
        <v>1068856.2125918057</v>
      </c>
      <c r="Y621" s="13">
        <f t="shared" si="1"/>
        <v>539113.04562464287</v>
      </c>
      <c r="Z621" s="13">
        <f t="shared" si="2"/>
        <v>108124.17658020067</v>
      </c>
      <c r="AA621" s="13">
        <f t="shared" si="3"/>
        <v>3.3910315657377105E-151</v>
      </c>
      <c r="AB621" s="13">
        <f t="shared" si="4"/>
        <v>1.0968476525507483E-34</v>
      </c>
      <c r="AC621" s="13">
        <f t="shared" si="5"/>
        <v>525.58933674699426</v>
      </c>
      <c r="AD621" s="2"/>
      <c r="AE621" s="13">
        <v>108124.17658020067</v>
      </c>
      <c r="AF621" s="13">
        <f t="shared" si="6"/>
        <v>63534.890605332119</v>
      </c>
      <c r="AG621" s="13">
        <f t="shared" si="7"/>
        <v>18271.252413561462</v>
      </c>
      <c r="AH621" s="13">
        <f t="shared" si="8"/>
        <v>6945.4933648550168</v>
      </c>
      <c r="AI621" s="13">
        <v>525.58933674701007</v>
      </c>
      <c r="AJ621" s="2"/>
    </row>
    <row r="622" spans="1:3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5">
        <f t="shared" si="9"/>
        <v>50.949999999999093</v>
      </c>
      <c r="X622" s="16">
        <f t="shared" si="0"/>
        <v>684661.7953809289</v>
      </c>
      <c r="Y622" s="16">
        <f t="shared" si="1"/>
        <v>482301.97832548211</v>
      </c>
      <c r="Z622" s="16">
        <f t="shared" si="2"/>
        <v>107643.64150510142</v>
      </c>
      <c r="AA622" s="16">
        <f t="shared" si="3"/>
        <v>4.6936057238722619E-142</v>
      </c>
      <c r="AB622" s="16">
        <f t="shared" si="4"/>
        <v>2.1156313954004592E-32</v>
      </c>
      <c r="AC622" s="16">
        <f t="shared" si="5"/>
        <v>648.72149581333258</v>
      </c>
      <c r="AD622" s="2"/>
      <c r="AE622" s="16">
        <v>107643.64150510142</v>
      </c>
      <c r="AF622" s="16">
        <f t="shared" si="6"/>
        <v>66691.962568721661</v>
      </c>
      <c r="AG622" s="16">
        <f t="shared" si="7"/>
        <v>20232.618585536773</v>
      </c>
      <c r="AH622" s="16">
        <f t="shared" si="8"/>
        <v>8117.7735471758406</v>
      </c>
      <c r="AI622" s="16">
        <v>648.72149581335225</v>
      </c>
      <c r="AJ622" s="2"/>
    </row>
    <row r="623" spans="1:3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2">
        <f t="shared" si="9"/>
        <v>50.999999999999091</v>
      </c>
      <c r="X623" s="13">
        <f t="shared" si="0"/>
        <v>229945.41591372859</v>
      </c>
      <c r="Y623" s="13">
        <f t="shared" si="1"/>
        <v>367160.71651032206</v>
      </c>
      <c r="Z623" s="13">
        <f t="shared" si="2"/>
        <v>106475.54404624313</v>
      </c>
      <c r="AA623" s="13">
        <f t="shared" si="3"/>
        <v>3.4375594632428923E-133</v>
      </c>
      <c r="AB623" s="13">
        <f t="shared" si="4"/>
        <v>3.4803739296951805E-30</v>
      </c>
      <c r="AC623" s="13">
        <f t="shared" si="5"/>
        <v>795.62005706458535</v>
      </c>
      <c r="AD623" s="2"/>
      <c r="AE623" s="13">
        <v>106475.54404624313</v>
      </c>
      <c r="AF623" s="13">
        <f t="shared" si="6"/>
        <v>69556.90247272735</v>
      </c>
      <c r="AG623" s="13">
        <f t="shared" si="7"/>
        <v>22261.335868923044</v>
      </c>
      <c r="AH623" s="13">
        <f t="shared" si="8"/>
        <v>9427.4918610353598</v>
      </c>
      <c r="AI623" s="13">
        <v>795.62005706460798</v>
      </c>
      <c r="AJ623" s="2"/>
    </row>
    <row r="624" spans="1:3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5">
        <f t="shared" si="9"/>
        <v>51.049999999999088</v>
      </c>
      <c r="X624" s="16">
        <f t="shared" si="0"/>
        <v>40491.630990383346</v>
      </c>
      <c r="Y624" s="16">
        <f t="shared" si="1"/>
        <v>237843.52746169528</v>
      </c>
      <c r="Z624" s="16">
        <f t="shared" si="2"/>
        <v>104642.29909384635</v>
      </c>
      <c r="AA624" s="16">
        <f t="shared" si="3"/>
        <v>1.3321792845893134E-124</v>
      </c>
      <c r="AB624" s="16">
        <f t="shared" si="4"/>
        <v>4.8831944801376473E-28</v>
      </c>
      <c r="AC624" s="16">
        <f t="shared" si="5"/>
        <v>969.59160476047543</v>
      </c>
      <c r="AD624" s="2"/>
      <c r="AE624" s="16">
        <v>104642.29909384635</v>
      </c>
      <c r="AF624" s="16">
        <f t="shared" si="6"/>
        <v>72079.620955889957</v>
      </c>
      <c r="AG624" s="16">
        <f t="shared" si="7"/>
        <v>24336.924801363723</v>
      </c>
      <c r="AH624" s="16">
        <f t="shared" si="8"/>
        <v>10878.795247702819</v>
      </c>
      <c r="AI624" s="16">
        <v>969.59160476050215</v>
      </c>
      <c r="AJ624" s="2"/>
    </row>
    <row r="625" spans="1:3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2">
        <f t="shared" si="9"/>
        <v>51.099999999999085</v>
      </c>
      <c r="X625" s="13">
        <f t="shared" si="0"/>
        <v>3738.502172880455</v>
      </c>
      <c r="Y625" s="13">
        <f t="shared" si="1"/>
        <v>131106.56199197989</v>
      </c>
      <c r="Z625" s="13">
        <f t="shared" si="2"/>
        <v>102178.75262980924</v>
      </c>
      <c r="AA625" s="13">
        <f t="shared" si="3"/>
        <v>2.7317690164309857E-116</v>
      </c>
      <c r="AB625" s="13">
        <f t="shared" si="4"/>
        <v>5.8435174563130026E-26</v>
      </c>
      <c r="AC625" s="13">
        <f t="shared" si="5"/>
        <v>1174.1069505899388</v>
      </c>
      <c r="AD625" s="2"/>
      <c r="AE625" s="13">
        <v>102178.75262980924</v>
      </c>
      <c r="AF625" s="13">
        <f t="shared" si="6"/>
        <v>74214.758627065399</v>
      </c>
      <c r="AG625" s="13">
        <f t="shared" si="7"/>
        <v>26435.986941088868</v>
      </c>
      <c r="AH625" s="13">
        <f t="shared" si="8"/>
        <v>12473.572117312709</v>
      </c>
      <c r="AI625" s="13">
        <v>1174.10695058997</v>
      </c>
      <c r="AJ625" s="2"/>
    </row>
    <row r="626" spans="1:3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5">
        <f t="shared" si="9"/>
        <v>51.149999999999082</v>
      </c>
      <c r="X626" s="16">
        <f t="shared" si="0"/>
        <v>180.97636344042363</v>
      </c>
      <c r="Y626" s="16">
        <f t="shared" si="1"/>
        <v>61497.220024603645</v>
      </c>
      <c r="Z626" s="16">
        <f t="shared" si="2"/>
        <v>99131.080258222981</v>
      </c>
      <c r="AA626" s="16">
        <f t="shared" si="3"/>
        <v>2.9641086315065089E-108</v>
      </c>
      <c r="AB626" s="16">
        <f t="shared" si="4"/>
        <v>5.9639896487626604E-24</v>
      </c>
      <c r="AC626" s="16">
        <f t="shared" si="5"/>
        <v>1412.7397345427394</v>
      </c>
      <c r="AD626" s="2"/>
      <c r="AE626" s="16">
        <v>99131.080258222981</v>
      </c>
      <c r="AF626" s="16">
        <f t="shared" si="6"/>
        <v>75923.039987914468</v>
      </c>
      <c r="AG626" s="16">
        <f t="shared" si="7"/>
        <v>28532.557922815526</v>
      </c>
      <c r="AH626" s="16">
        <f t="shared" si="8"/>
        <v>14211.053827313859</v>
      </c>
      <c r="AI626" s="16">
        <v>1412.7397345427758</v>
      </c>
      <c r="AJ626" s="2"/>
    </row>
    <row r="627" spans="1:3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2">
        <f t="shared" si="9"/>
        <v>51.199999999999079</v>
      </c>
      <c r="X627" s="13">
        <f t="shared" si="0"/>
        <v>4.5934387500472278</v>
      </c>
      <c r="Y627" s="13">
        <f t="shared" si="1"/>
        <v>24546.213205238106</v>
      </c>
      <c r="Z627" s="13">
        <f t="shared" si="2"/>
        <v>95555.34823743593</v>
      </c>
      <c r="AA627" s="13">
        <f t="shared" si="3"/>
        <v>1.7018179468490785E-100</v>
      </c>
      <c r="AB627" s="13">
        <f t="shared" si="4"/>
        <v>5.1914852784742326E-22</v>
      </c>
      <c r="AC627" s="13">
        <f t="shared" si="5"/>
        <v>1689.0882857289846</v>
      </c>
      <c r="AD627" s="2"/>
      <c r="AE627" s="13">
        <v>95555.34823743593</v>
      </c>
      <c r="AF627" s="13">
        <f t="shared" si="6"/>
        <v>77172.474067901261</v>
      </c>
      <c r="AG627" s="13">
        <f t="shared" si="7"/>
        <v>30598.577495791487</v>
      </c>
      <c r="AH627" s="13">
        <f t="shared" si="8"/>
        <v>16087.447004319198</v>
      </c>
      <c r="AI627" s="13">
        <v>1689.0882857290264</v>
      </c>
      <c r="AJ627" s="2"/>
    </row>
    <row r="628" spans="1:3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5">
        <f t="shared" si="9"/>
        <v>51.249999999999076</v>
      </c>
      <c r="X628" s="16">
        <f t="shared" si="0"/>
        <v>6.1128797849993664E-2</v>
      </c>
      <c r="Y628" s="16">
        <f t="shared" si="1"/>
        <v>8337.0322880711756</v>
      </c>
      <c r="Z628" s="16">
        <f t="shared" si="2"/>
        <v>91515.799639315184</v>
      </c>
      <c r="AA628" s="16">
        <f t="shared" si="3"/>
        <v>5.1701235878567181E-93</v>
      </c>
      <c r="AB628" s="16">
        <f t="shared" si="4"/>
        <v>3.8542384814670797E-20</v>
      </c>
      <c r="AC628" s="16">
        <f t="shared" si="5"/>
        <v>2006.680489745323</v>
      </c>
      <c r="AD628" s="2"/>
      <c r="AE628" s="16">
        <v>91515.799639315184</v>
      </c>
      <c r="AF628" s="16">
        <f t="shared" si="6"/>
        <v>77939.350538032566</v>
      </c>
      <c r="AG628" s="16">
        <f t="shared" si="7"/>
        <v>32604.467880733602</v>
      </c>
      <c r="AH628" s="16">
        <f t="shared" si="8"/>
        <v>18095.616211647022</v>
      </c>
      <c r="AI628" s="16">
        <v>2006.6804897453701</v>
      </c>
      <c r="AJ628" s="2"/>
    </row>
    <row r="629" spans="1:3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2">
        <f t="shared" si="9"/>
        <v>51.299999999999073</v>
      </c>
      <c r="X629" s="13">
        <f t="shared" si="0"/>
        <v>4.2652612113668146E-4</v>
      </c>
      <c r="Y629" s="13">
        <f t="shared" si="1"/>
        <v>2409.5526925949434</v>
      </c>
      <c r="Z629" s="13">
        <f t="shared" si="2"/>
        <v>87082.93875513511</v>
      </c>
      <c r="AA629" s="13">
        <f t="shared" si="3"/>
        <v>8.3110824794858064E-86</v>
      </c>
      <c r="AB629" s="13">
        <f t="shared" si="4"/>
        <v>2.4404940325847791E-18</v>
      </c>
      <c r="AC629" s="13">
        <f t="shared" si="5"/>
        <v>2368.862183147703</v>
      </c>
      <c r="AD629" s="2"/>
      <c r="AE629" s="13">
        <v>87082.93875513511</v>
      </c>
      <c r="AF629" s="13">
        <f t="shared" si="6"/>
        <v>78208.987984081599</v>
      </c>
      <c r="AG629" s="13">
        <f t="shared" si="7"/>
        <v>34519.806048924409</v>
      </c>
      <c r="AH629" s="13">
        <f t="shared" si="8"/>
        <v>20224.836852260734</v>
      </c>
      <c r="AI629" s="13">
        <v>2368.8621831477599</v>
      </c>
      <c r="AJ629" s="2"/>
    </row>
    <row r="630" spans="1:3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5">
        <f t="shared" si="9"/>
        <v>51.349999999999071</v>
      </c>
      <c r="X630" s="16">
        <f t="shared" si="0"/>
        <v>1.5604047514283635E-6</v>
      </c>
      <c r="Y630" s="16">
        <f t="shared" si="1"/>
        <v>592.59684601380241</v>
      </c>
      <c r="Z630" s="16">
        <f t="shared" si="2"/>
        <v>82331.49336294875</v>
      </c>
      <c r="AA630" s="16">
        <f t="shared" si="3"/>
        <v>7.0694088957587752E-79</v>
      </c>
      <c r="AB630" s="16">
        <f t="shared" si="4"/>
        <v>1.3179809332173537E-16</v>
      </c>
      <c r="AC630" s="16">
        <f t="shared" si="5"/>
        <v>2778.6704972759258</v>
      </c>
      <c r="AD630" s="2"/>
      <c r="AE630" s="16">
        <v>82331.49336294875</v>
      </c>
      <c r="AF630" s="16">
        <f t="shared" si="6"/>
        <v>77976.201350889431</v>
      </c>
      <c r="AG630" s="16">
        <f t="shared" si="7"/>
        <v>36314.070100896446</v>
      </c>
      <c r="AH630" s="16">
        <f t="shared" si="8"/>
        <v>22460.637562188036</v>
      </c>
      <c r="AI630" s="16">
        <v>2778.6704972759876</v>
      </c>
      <c r="AJ630" s="2"/>
    </row>
    <row r="631" spans="1:3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2">
        <f t="shared" si="9"/>
        <v>51.399999999999068</v>
      </c>
      <c r="X631" s="13">
        <f t="shared" si="0"/>
        <v>2.993096697154749E-9</v>
      </c>
      <c r="Y631" s="13">
        <f t="shared" si="1"/>
        <v>124.01671020098044</v>
      </c>
      <c r="Z631" s="13">
        <f t="shared" si="2"/>
        <v>77338.336732043448</v>
      </c>
      <c r="AA631" s="13">
        <f t="shared" si="3"/>
        <v>3.1818335292078744E-72</v>
      </c>
      <c r="AB631" s="13">
        <f t="shared" si="4"/>
        <v>6.0706153469596615E-15</v>
      </c>
      <c r="AC631" s="13">
        <f t="shared" si="5"/>
        <v>3238.6945723687031</v>
      </c>
      <c r="AD631" s="2"/>
      <c r="AE631" s="13">
        <v>77338.336732043448</v>
      </c>
      <c r="AF631" s="13">
        <f t="shared" si="6"/>
        <v>77245.467765956972</v>
      </c>
      <c r="AG631" s="13">
        <f t="shared" si="7"/>
        <v>37957.435148682773</v>
      </c>
      <c r="AH631" s="13">
        <f t="shared" si="8"/>
        <v>24784.749593396635</v>
      </c>
      <c r="AI631" s="13">
        <v>3238.6945723687722</v>
      </c>
      <c r="AJ631" s="2"/>
    </row>
    <row r="632" spans="1:3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5">
        <f t="shared" si="9"/>
        <v>51.449999999999065</v>
      </c>
      <c r="X632" s="16">
        <f t="shared" si="0"/>
        <v>3.0102050784349672E-12</v>
      </c>
      <c r="Y632" s="16">
        <f t="shared" si="1"/>
        <v>22.08508325155308</v>
      </c>
      <c r="Z632" s="16">
        <f t="shared" si="2"/>
        <v>72180.449303781876</v>
      </c>
      <c r="AA632" s="16">
        <f t="shared" si="3"/>
        <v>7.5777565410817256E-66</v>
      </c>
      <c r="AB632" s="16">
        <f t="shared" si="4"/>
        <v>2.384781060919998E-13</v>
      </c>
      <c r="AC632" s="16">
        <f t="shared" si="5"/>
        <v>3750.9271152364827</v>
      </c>
      <c r="AD632" s="2"/>
      <c r="AE632" s="16">
        <v>72180.449303781876</v>
      </c>
      <c r="AF632" s="16">
        <f t="shared" si="6"/>
        <v>76030.783333670348</v>
      </c>
      <c r="AG632" s="16">
        <f t="shared" si="7"/>
        <v>39421.590311262298</v>
      </c>
      <c r="AH632" s="16">
        <f t="shared" si="8"/>
        <v>27175.177770444287</v>
      </c>
      <c r="AI632" s="16">
        <v>3750.9271152365586</v>
      </c>
      <c r="AJ632" s="2"/>
    </row>
    <row r="633" spans="1:3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2">
        <f t="shared" si="9"/>
        <v>51.499999999999062</v>
      </c>
      <c r="X633" s="13">
        <f t="shared" si="0"/>
        <v>1.5873155590004447E-15</v>
      </c>
      <c r="Y633" s="13">
        <f t="shared" si="1"/>
        <v>3.3466927122916363</v>
      </c>
      <c r="Z633" s="13">
        <f t="shared" si="2"/>
        <v>66932.994153109932</v>
      </c>
      <c r="AA633" s="13">
        <f t="shared" si="3"/>
        <v>9.5493252221896228E-60</v>
      </c>
      <c r="AB633" s="13">
        <f t="shared" si="4"/>
        <v>7.9901792648066539E-12</v>
      </c>
      <c r="AC633" s="13">
        <f t="shared" si="5"/>
        <v>4316.6113245576307</v>
      </c>
      <c r="AD633" s="2"/>
      <c r="AE633" s="13">
        <v>66932.994153109932</v>
      </c>
      <c r="AF633" s="13">
        <f t="shared" si="6"/>
        <v>74355.21729930141</v>
      </c>
      <c r="AG633" s="13">
        <f t="shared" si="7"/>
        <v>40680.545901515012</v>
      </c>
      <c r="AH633" s="13">
        <f t="shared" si="8"/>
        <v>29606.403567975733</v>
      </c>
      <c r="AI633" s="13">
        <v>4316.6113245577153</v>
      </c>
      <c r="AJ633" s="2"/>
    </row>
    <row r="634" spans="1:3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5">
        <f t="shared" si="9"/>
        <v>51.549999999999059</v>
      </c>
      <c r="X634" s="16">
        <f t="shared" si="0"/>
        <v>4.3885627771331349E-19</v>
      </c>
      <c r="Y634" s="16">
        <f t="shared" si="1"/>
        <v>0.43154948083673322</v>
      </c>
      <c r="Z634" s="16">
        <f t="shared" si="2"/>
        <v>61667.571128087984</v>
      </c>
      <c r="AA634" s="16">
        <f t="shared" si="3"/>
        <v>6.3675675795082371E-54</v>
      </c>
      <c r="AB634" s="16">
        <f t="shared" si="4"/>
        <v>2.2832672253127278E-10</v>
      </c>
      <c r="AC634" s="16">
        <f t="shared" si="5"/>
        <v>4936.0886921718748</v>
      </c>
      <c r="AD634" s="2"/>
      <c r="AE634" s="16">
        <v>61667.57112808797</v>
      </c>
      <c r="AF634" s="16">
        <f t="shared" si="6"/>
        <v>72250.183422863556</v>
      </c>
      <c r="AG634" s="16">
        <f t="shared" si="7"/>
        <v>41711.398832846644</v>
      </c>
      <c r="AH634" s="16">
        <f t="shared" si="8"/>
        <v>32049.725811483808</v>
      </c>
      <c r="AI634" s="16">
        <v>4936.0886921719675</v>
      </c>
      <c r="AJ634" s="2"/>
    </row>
    <row r="635" spans="1:3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2">
        <f t="shared" si="9"/>
        <v>51.599999999999056</v>
      </c>
      <c r="X635" s="13">
        <f t="shared" si="0"/>
        <v>6.3617003625980978E-23</v>
      </c>
      <c r="Y635" s="13">
        <f t="shared" si="1"/>
        <v>4.7352544638894919E-2</v>
      </c>
      <c r="Z635" s="13">
        <f t="shared" si="2"/>
        <v>56450.702693568637</v>
      </c>
      <c r="AA635" s="13">
        <f t="shared" si="3"/>
        <v>2.2466906788989053E-48</v>
      </c>
      <c r="AB635" s="13">
        <f t="shared" si="4"/>
        <v>5.5647950354785521E-9</v>
      </c>
      <c r="AC635" s="13">
        <f t="shared" si="5"/>
        <v>5608.6540349648476</v>
      </c>
      <c r="AD635" s="2"/>
      <c r="AE635" s="13">
        <v>56450.702693568637</v>
      </c>
      <c r="AF635" s="13">
        <f t="shared" si="6"/>
        <v>69754.460711103049</v>
      </c>
      <c r="AG635" s="13">
        <f t="shared" si="7"/>
        <v>42495.024837721976</v>
      </c>
      <c r="AH635" s="13">
        <f t="shared" si="8"/>
        <v>34473.738646608923</v>
      </c>
      <c r="AI635" s="13">
        <v>5608.6540349649467</v>
      </c>
      <c r="AJ635" s="2"/>
    </row>
    <row r="636" spans="1:3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5">
        <f t="shared" si="9"/>
        <v>51.649999999999054</v>
      </c>
      <c r="X636" s="16">
        <f t="shared" si="0"/>
        <v>4.835216863866008E-27</v>
      </c>
      <c r="Y636" s="16">
        <f t="shared" si="1"/>
        <v>4.4213409741570321E-3</v>
      </c>
      <c r="Z636" s="16">
        <f t="shared" si="2"/>
        <v>51342.590799420926</v>
      </c>
      <c r="AA636" s="16">
        <f t="shared" si="3"/>
        <v>4.1945159127343666E-43</v>
      </c>
      <c r="AB636" s="16">
        <f t="shared" si="4"/>
        <v>1.1567348324653071E-7</v>
      </c>
      <c r="AC636" s="16">
        <f t="shared" si="5"/>
        <v>6332.424746074792</v>
      </c>
      <c r="AD636" s="2"/>
      <c r="AE636" s="16">
        <v>51342.590799420926</v>
      </c>
      <c r="AF636" s="16">
        <f t="shared" si="6"/>
        <v>66913.006144364685</v>
      </c>
      <c r="AG636" s="16">
        <f t="shared" si="7"/>
        <v>43016.66830308894</v>
      </c>
      <c r="AH636" s="16">
        <f t="shared" si="8"/>
        <v>36844.940021530194</v>
      </c>
      <c r="AI636" s="16">
        <v>6332.4247460748975</v>
      </c>
      <c r="AJ636" s="2"/>
    </row>
    <row r="637" spans="1:3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2">
        <f t="shared" si="9"/>
        <v>51.699999999999051</v>
      </c>
      <c r="X637" s="13">
        <f t="shared" si="0"/>
        <v>1.9268617585143856E-31</v>
      </c>
      <c r="Y637" s="13">
        <f t="shared" si="1"/>
        <v>3.5128746981454197E-4</v>
      </c>
      <c r="Z637" s="13">
        <f t="shared" si="2"/>
        <v>46396.169441442617</v>
      </c>
      <c r="AA637" s="13">
        <f t="shared" si="3"/>
        <v>4.1437090255078196E-38</v>
      </c>
      <c r="AB637" s="13">
        <f t="shared" si="4"/>
        <v>2.0507402943895784E-6</v>
      </c>
      <c r="AC637" s="13">
        <f t="shared" si="5"/>
        <v>7104.2316049502415</v>
      </c>
      <c r="AD637" s="2"/>
      <c r="AE637" s="13">
        <v>46396.169441442617</v>
      </c>
      <c r="AF637" s="13">
        <f t="shared" si="6"/>
        <v>63775.610142407255</v>
      </c>
      <c r="AG637" s="13">
        <f t="shared" si="7"/>
        <v>43266.40431830383</v>
      </c>
      <c r="AH637" s="13">
        <f t="shared" si="8"/>
        <v>39128.457313368403</v>
      </c>
      <c r="AI637" s="13">
        <v>7104.2316049503543</v>
      </c>
      <c r="AJ637" s="2"/>
    </row>
    <row r="638" spans="1:3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5">
        <f t="shared" si="9"/>
        <v>51.749999999999048</v>
      </c>
      <c r="X638" s="16">
        <f t="shared" si="0"/>
        <v>4.0260300358920207E-36</v>
      </c>
      <c r="Y638" s="16">
        <f t="shared" si="1"/>
        <v>2.3750309437743015E-5</v>
      </c>
      <c r="Z638" s="16">
        <f t="shared" si="2"/>
        <v>41656.462866259659</v>
      </c>
      <c r="AA638" s="16">
        <f t="shared" si="3"/>
        <v>2.1660351424272446E-33</v>
      </c>
      <c r="AB638" s="16">
        <f t="shared" si="4"/>
        <v>3.10084263414267E-5</v>
      </c>
      <c r="AC638" s="16">
        <f t="shared" si="5"/>
        <v>7919.5384904454568</v>
      </c>
      <c r="AD638" s="2"/>
      <c r="AE638" s="16">
        <v>41656.462866259659</v>
      </c>
      <c r="AF638" s="16">
        <f t="shared" si="6"/>
        <v>60395.45084022043</v>
      </c>
      <c r="AG638" s="16">
        <f t="shared" si="7"/>
        <v>43239.452725027091</v>
      </c>
      <c r="AH638" s="16">
        <f t="shared" si="8"/>
        <v>41288.870277103364</v>
      </c>
      <c r="AI638" s="16">
        <v>7919.5384904455768</v>
      </c>
      <c r="AJ638" s="2"/>
    </row>
    <row r="639" spans="1:3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2">
        <f t="shared" si="9"/>
        <v>51.799999999999045</v>
      </c>
      <c r="X639" s="13">
        <f t="shared" si="0"/>
        <v>4.4105760650836992E-41</v>
      </c>
      <c r="Y639" s="13">
        <f t="shared" si="1"/>
        <v>1.3663874006530668E-6</v>
      </c>
      <c r="Z639" s="13">
        <f t="shared" si="2"/>
        <v>37160.245406971917</v>
      </c>
      <c r="AA639" s="13">
        <f t="shared" si="3"/>
        <v>5.9911554447917514E-29</v>
      </c>
      <c r="AB639" s="13">
        <f t="shared" si="4"/>
        <v>3.9989041898599463E-4</v>
      </c>
      <c r="AC639" s="13">
        <f t="shared" si="5"/>
        <v>8772.397951205412</v>
      </c>
      <c r="AD639" s="2"/>
      <c r="AE639" s="13">
        <v>37160.245406971917</v>
      </c>
      <c r="AF639" s="13">
        <f t="shared" si="6"/>
        <v>56827.605577921509</v>
      </c>
      <c r="AG639" s="13">
        <f t="shared" si="7"/>
        <v>42936.330286504664</v>
      </c>
      <c r="AH639" s="13">
        <f t="shared" si="8"/>
        <v>43291.105598539056</v>
      </c>
      <c r="AI639" s="13">
        <v>8772.3979512055339</v>
      </c>
      <c r="AJ639" s="2"/>
    </row>
    <row r="640" spans="1:3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5">
        <f t="shared" si="9"/>
        <v>51.849999999999042</v>
      </c>
      <c r="X640" s="16">
        <f t="shared" si="0"/>
        <v>2.5334099673033868E-46</v>
      </c>
      <c r="Y640" s="16">
        <f t="shared" si="1"/>
        <v>6.6892339980698359E-8</v>
      </c>
      <c r="Z640" s="16">
        <f t="shared" si="2"/>
        <v>32935.986426225783</v>
      </c>
      <c r="AA640" s="16">
        <f t="shared" si="3"/>
        <v>8.7684841106597009E-25</v>
      </c>
      <c r="AB640" s="16">
        <f t="shared" si="4"/>
        <v>4.3983975626041361E-3</v>
      </c>
      <c r="AC640" s="16">
        <f t="shared" si="5"/>
        <v>9655.4487745322349</v>
      </c>
      <c r="AD640" s="2"/>
      <c r="AE640" s="16">
        <v>32935.986426225783</v>
      </c>
      <c r="AF640" s="16">
        <f t="shared" si="6"/>
        <v>53127.577328835243</v>
      </c>
      <c r="AG640" s="16">
        <f t="shared" si="7"/>
        <v>42362.834208929584</v>
      </c>
      <c r="AH640" s="16">
        <f t="shared" si="8"/>
        <v>45101.372378820583</v>
      </c>
      <c r="AI640" s="16">
        <v>9655.4487745323604</v>
      </c>
      <c r="AJ640" s="2"/>
    </row>
    <row r="641" spans="1:3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2">
        <f t="shared" si="9"/>
        <v>51.899999999999039</v>
      </c>
      <c r="X641" s="13">
        <f t="shared" si="0"/>
        <v>7.6297004278838317E-52</v>
      </c>
      <c r="Y641" s="13">
        <f t="shared" si="1"/>
        <v>2.7866144911262743E-9</v>
      </c>
      <c r="Z641" s="13">
        <f t="shared" si="2"/>
        <v>29004.053338110196</v>
      </c>
      <c r="AA641" s="13">
        <f t="shared" si="3"/>
        <v>6.7905866140973918E-21</v>
      </c>
      <c r="AB641" s="13">
        <f t="shared" si="4"/>
        <v>4.1261040467915351E-2</v>
      </c>
      <c r="AC641" s="13">
        <f t="shared" si="5"/>
        <v>10559.96045485608</v>
      </c>
      <c r="AD641" s="2"/>
      <c r="AE641" s="13">
        <v>29004.053338110196</v>
      </c>
      <c r="AF641" s="13">
        <f t="shared" si="6"/>
        <v>49349.890266408293</v>
      </c>
      <c r="AG641" s="13">
        <f t="shared" si="7"/>
        <v>41529.857748981689</v>
      </c>
      <c r="AH641" s="13">
        <f t="shared" si="8"/>
        <v>46688.104219323199</v>
      </c>
      <c r="AI641" s="13">
        <v>10559.960454856211</v>
      </c>
      <c r="AJ641" s="2"/>
    </row>
    <row r="642" spans="1:3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5">
        <f t="shared" si="9"/>
        <v>51.949999999999037</v>
      </c>
      <c r="X642" s="16">
        <f t="shared" si="0"/>
        <v>1.204762248183963E-57</v>
      </c>
      <c r="Y642" s="16">
        <f t="shared" si="1"/>
        <v>9.8781440996850747E-11</v>
      </c>
      <c r="Z642" s="16">
        <f t="shared" si="2"/>
        <v>25377.137555611574</v>
      </c>
      <c r="AA642" s="16">
        <f t="shared" si="3"/>
        <v>2.7826520786013196E-17</v>
      </c>
      <c r="AB642" s="16">
        <f t="shared" si="4"/>
        <v>0.33012474535830894</v>
      </c>
      <c r="AC642" s="16">
        <f t="shared" si="5"/>
        <v>11475.92781997794</v>
      </c>
      <c r="AD642" s="2"/>
      <c r="AE642" s="16">
        <v>25377.137555611574</v>
      </c>
      <c r="AF642" s="16">
        <f t="shared" si="6"/>
        <v>45546.802641959628</v>
      </c>
      <c r="AG642" s="16">
        <f t="shared" si="7"/>
        <v>40453.046101089662</v>
      </c>
      <c r="AH642" s="16">
        <f t="shared" si="8"/>
        <v>48022.871502188893</v>
      </c>
      <c r="AI642" s="16">
        <v>11475.927819978073</v>
      </c>
      <c r="AJ642" s="2"/>
    </row>
    <row r="643" spans="1:3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2">
        <f t="shared" si="9"/>
        <v>51.999999999999034</v>
      </c>
      <c r="X643" s="13">
        <f t="shared" si="0"/>
        <v>9.9744065793747136E-64</v>
      </c>
      <c r="Y643" s="13">
        <f t="shared" si="1"/>
        <v>2.9796948233341877E-12</v>
      </c>
      <c r="Z643" s="13">
        <f t="shared" si="2"/>
        <v>22060.862659830545</v>
      </c>
      <c r="AA643" s="13">
        <f t="shared" si="3"/>
        <v>6.033639620792478E-14</v>
      </c>
      <c r="AB643" s="13">
        <f t="shared" si="4"/>
        <v>2.2527250778115904</v>
      </c>
      <c r="AC643" s="13">
        <f t="shared" si="5"/>
        <v>12392.21708106713</v>
      </c>
      <c r="AD643" s="2"/>
      <c r="AE643" s="13">
        <v>22060.862659830545</v>
      </c>
      <c r="AF643" s="13">
        <f t="shared" si="6"/>
        <v>41767.177087027507</v>
      </c>
      <c r="AG643" s="13">
        <f t="shared" si="7"/>
        <v>39152.30775029197</v>
      </c>
      <c r="AH643" s="13">
        <f t="shared" si="8"/>
        <v>49081.227176211629</v>
      </c>
      <c r="AI643" s="13">
        <v>12392.21708106726</v>
      </c>
      <c r="AJ643" s="2"/>
    </row>
    <row r="644" spans="1:3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5">
        <f t="shared" si="9"/>
        <v>52.049999999999031</v>
      </c>
      <c r="X644" s="16">
        <f t="shared" si="0"/>
        <v>4.3297681026119513E-70</v>
      </c>
      <c r="Y644" s="16">
        <f t="shared" si="1"/>
        <v>7.6483222655193707E-14</v>
      </c>
      <c r="Z644" s="16">
        <f t="shared" si="2"/>
        <v>19054.5311281336</v>
      </c>
      <c r="AA644" s="16">
        <f t="shared" si="3"/>
        <v>6.9225909000730995E-11</v>
      </c>
      <c r="AB644" s="16">
        <f t="shared" si="4"/>
        <v>13.110840040425709</v>
      </c>
      <c r="AC644" s="16">
        <f t="shared" si="5"/>
        <v>13296.762313526016</v>
      </c>
      <c r="AD644" s="2"/>
      <c r="AE644" s="16">
        <v>19054.531128133603</v>
      </c>
      <c r="AF644" s="16">
        <f t="shared" si="6"/>
        <v>38055.538939198115</v>
      </c>
      <c r="AG644" s="16">
        <f t="shared" si="7"/>
        <v>37651.202609115629</v>
      </c>
      <c r="AH644" s="16">
        <f t="shared" si="8"/>
        <v>49843.450957118701</v>
      </c>
      <c r="AI644" s="16">
        <v>13296.762313526144</v>
      </c>
      <c r="AJ644" s="2"/>
    </row>
    <row r="645" spans="1:3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2">
        <f t="shared" si="9"/>
        <v>52.099999999999028</v>
      </c>
      <c r="X645" s="13">
        <f t="shared" si="0"/>
        <v>9.854487864739716E-77</v>
      </c>
      <c r="Y645" s="13">
        <f t="shared" si="1"/>
        <v>1.6705463677602479E-15</v>
      </c>
      <c r="Z645" s="13">
        <f t="shared" si="2"/>
        <v>16351.965450389298</v>
      </c>
      <c r="AA645" s="13">
        <f t="shared" si="3"/>
        <v>4.2026847057135354E-8</v>
      </c>
      <c r="AB645" s="13">
        <f t="shared" si="4"/>
        <v>65.079626886903384</v>
      </c>
      <c r="AC645" s="13">
        <f t="shared" si="5"/>
        <v>14176.808958699818</v>
      </c>
      <c r="AD645" s="2"/>
      <c r="AE645" s="13">
        <v>16351.965450389298</v>
      </c>
      <c r="AF645" s="13">
        <f t="shared" si="6"/>
        <v>34451.342844283419</v>
      </c>
      <c r="AG645" s="13">
        <f t="shared" si="7"/>
        <v>35976.233196336267</v>
      </c>
      <c r="AH645" s="13">
        <f t="shared" si="8"/>
        <v>50295.160314994806</v>
      </c>
      <c r="AI645" s="13">
        <v>14176.808958699939</v>
      </c>
      <c r="AJ645" s="2"/>
    </row>
    <row r="646" spans="1:3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5">
        <f t="shared" si="9"/>
        <v>52.149999999999025</v>
      </c>
      <c r="X646" s="16">
        <f t="shared" si="0"/>
        <v>1.1759675399857452E-83</v>
      </c>
      <c r="Y646" s="16">
        <f t="shared" si="1"/>
        <v>3.1049088356371003E-17</v>
      </c>
      <c r="Z646" s="16">
        <f t="shared" si="2"/>
        <v>13942.401134621623</v>
      </c>
      <c r="AA646" s="16">
        <f t="shared" si="3"/>
        <v>1.3500622508390768E-5</v>
      </c>
      <c r="AB646" s="16">
        <f t="shared" si="4"/>
        <v>275.5191567156304</v>
      </c>
      <c r="AC646" s="16">
        <f t="shared" si="5"/>
        <v>15019.19848995145</v>
      </c>
      <c r="AD646" s="2"/>
      <c r="AE646" s="16">
        <v>13942.401134621623</v>
      </c>
      <c r="AF646" s="16">
        <f t="shared" si="6"/>
        <v>30988.457342790778</v>
      </c>
      <c r="AG646" s="16">
        <f t="shared" si="7"/>
        <v>34156.068609948321</v>
      </c>
      <c r="AH646" s="16">
        <f t="shared" si="8"/>
        <v>50427.76180852564</v>
      </c>
      <c r="AI646" s="16">
        <v>15019.198489951568</v>
      </c>
      <c r="AJ646" s="2"/>
    </row>
    <row r="647" spans="1:3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2">
        <f t="shared" si="9"/>
        <v>52.199999999999022</v>
      </c>
      <c r="X647" s="13">
        <f t="shared" si="0"/>
        <v>7.3578081898180288E-91</v>
      </c>
      <c r="Y647" s="13">
        <f t="shared" si="1"/>
        <v>4.9106291237763162E-19</v>
      </c>
      <c r="Z647" s="13">
        <f t="shared" si="2"/>
        <v>11811.392588355173</v>
      </c>
      <c r="AA647" s="13">
        <f t="shared" si="3"/>
        <v>2.2948252556002796E-3</v>
      </c>
      <c r="AB647" s="13">
        <f t="shared" si="4"/>
        <v>994.83431535944237</v>
      </c>
      <c r="AC647" s="13">
        <f t="shared" si="5"/>
        <v>15810.686052828343</v>
      </c>
      <c r="AD647" s="2"/>
      <c r="AE647" s="13">
        <v>11811.392588355173</v>
      </c>
      <c r="AF647" s="13">
        <f t="shared" si="6"/>
        <v>27694.867000720376</v>
      </c>
      <c r="AG647" s="13">
        <f t="shared" si="7"/>
        <v>32220.732941209513</v>
      </c>
      <c r="AH647" s="13">
        <f t="shared" si="8"/>
        <v>50238.722980347702</v>
      </c>
      <c r="AI647" s="13">
        <v>15810.686052828452</v>
      </c>
      <c r="AJ647" s="2"/>
    </row>
    <row r="648" spans="1:3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5">
        <f t="shared" si="9"/>
        <v>52.249999999999019</v>
      </c>
      <c r="X648" s="16">
        <f t="shared" si="0"/>
        <v>2.4137564244811071E-98</v>
      </c>
      <c r="Y648" s="16">
        <f t="shared" si="1"/>
        <v>6.6088117356967845E-21</v>
      </c>
      <c r="Z648" s="16">
        <f t="shared" si="2"/>
        <v>9941.6977319237267</v>
      </c>
      <c r="AA648" s="16">
        <f t="shared" si="3"/>
        <v>0.2064021846606173</v>
      </c>
      <c r="AB648" s="16">
        <f t="shared" si="4"/>
        <v>3063.6695805136947</v>
      </c>
      <c r="AC648" s="16">
        <f t="shared" si="5"/>
        <v>16538.280813812984</v>
      </c>
      <c r="AD648" s="2"/>
      <c r="AE648" s="16">
        <v>9941.6977319237267</v>
      </c>
      <c r="AF648" s="16">
        <f t="shared" si="6"/>
        <v>24592.582416363926</v>
      </c>
      <c r="AG648" s="16">
        <f t="shared" si="7"/>
        <v>30200.790021047142</v>
      </c>
      <c r="AH648" s="16">
        <f t="shared" si="8"/>
        <v>49731.652795190501</v>
      </c>
      <c r="AI648" s="16">
        <v>16538.280813813082</v>
      </c>
      <c r="AJ648" s="2"/>
    </row>
    <row r="649" spans="1:3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2">
        <f t="shared" si="9"/>
        <v>52.299999999999017</v>
      </c>
      <c r="X649" s="13">
        <f t="shared" si="0"/>
        <v>4.1517412222664782E-106</v>
      </c>
      <c r="Y649" s="13">
        <f t="shared" si="1"/>
        <v>7.5684611978215944E-23</v>
      </c>
      <c r="Z649" s="13">
        <f t="shared" si="2"/>
        <v>8314.1130030719341</v>
      </c>
      <c r="AA649" s="13">
        <f t="shared" si="3"/>
        <v>9.823082711091045</v>
      </c>
      <c r="AB649" s="13">
        <f t="shared" si="4"/>
        <v>8046.8388165893411</v>
      </c>
      <c r="AC649" s="13">
        <f t="shared" si="5"/>
        <v>17189.597075095717</v>
      </c>
      <c r="AD649" s="2"/>
      <c r="AE649" s="13">
        <v>8314.1130030719341</v>
      </c>
      <c r="AF649" s="13">
        <f t="shared" si="6"/>
        <v>21697.740546405006</v>
      </c>
      <c r="AG649" s="13">
        <f t="shared" si="7"/>
        <v>28126.555038775507</v>
      </c>
      <c r="AH649" s="13">
        <f t="shared" si="8"/>
        <v>48916.187051465953</v>
      </c>
      <c r="AI649" s="13">
        <v>17189.597075095804</v>
      </c>
      <c r="AJ649" s="2"/>
    </row>
    <row r="650" spans="1:3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5">
        <f t="shared" si="9"/>
        <v>52.349999999999014</v>
      </c>
      <c r="X650" s="16">
        <f t="shared" si="0"/>
        <v>3.744199339574073E-114</v>
      </c>
      <c r="Y650" s="16">
        <f t="shared" si="1"/>
        <v>7.3754710091966592E-25</v>
      </c>
      <c r="Z650" s="16">
        <f t="shared" si="2"/>
        <v>6908.2367048325577</v>
      </c>
      <c r="AA650" s="16">
        <f t="shared" si="3"/>
        <v>247.37178000767037</v>
      </c>
      <c r="AB650" s="16">
        <f t="shared" si="4"/>
        <v>18026.063247545797</v>
      </c>
      <c r="AC650" s="16">
        <f t="shared" si="5"/>
        <v>17753.203056871273</v>
      </c>
      <c r="AD650" s="2"/>
      <c r="AE650" s="16">
        <v>6908.2367048325577</v>
      </c>
      <c r="AF650" s="16">
        <f t="shared" si="6"/>
        <v>19020.871545889298</v>
      </c>
      <c r="AG650" s="16">
        <f t="shared" si="7"/>
        <v>26027.360776844878</v>
      </c>
      <c r="AH650" s="16">
        <f t="shared" si="8"/>
        <v>47807.683849135872</v>
      </c>
      <c r="AI650" s="16">
        <v>17753.203056871345</v>
      </c>
      <c r="AJ650" s="2"/>
    </row>
    <row r="651" spans="1:3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2">
        <f t="shared" si="9"/>
        <v>52.399999999999011</v>
      </c>
      <c r="X651" s="13">
        <f t="shared" si="0"/>
        <v>1.770433021463498E-122</v>
      </c>
      <c r="Y651" s="13">
        <f t="shared" si="1"/>
        <v>6.1160340555854748E-27</v>
      </c>
      <c r="Z651" s="13">
        <f t="shared" si="2"/>
        <v>5703.1450235637358</v>
      </c>
      <c r="AA651" s="13">
        <f t="shared" si="3"/>
        <v>3296.2591592058816</v>
      </c>
      <c r="AB651" s="13">
        <f t="shared" si="4"/>
        <v>34440.439854613098</v>
      </c>
      <c r="AC651" s="13">
        <f t="shared" si="5"/>
        <v>18218.953710275055</v>
      </c>
      <c r="AD651" s="2"/>
      <c r="AE651" s="13">
        <v>5703.1450235637358</v>
      </c>
      <c r="AF651" s="13">
        <f t="shared" si="6"/>
        <v>16567.303878210576</v>
      </c>
      <c r="AG651" s="13">
        <f t="shared" si="7"/>
        <v>23930.902196787218</v>
      </c>
      <c r="AH651" s="13">
        <f t="shared" si="8"/>
        <v>46426.742559599741</v>
      </c>
      <c r="AI651" s="13">
        <v>18218.953710275113</v>
      </c>
      <c r="AJ651" s="2"/>
    </row>
    <row r="652" spans="1:3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5">
        <f t="shared" si="9"/>
        <v>52.449999999999008</v>
      </c>
      <c r="X652" s="16">
        <f t="shared" si="0"/>
        <v>4.3892659201300831E-131</v>
      </c>
      <c r="Y652" s="16">
        <f t="shared" si="1"/>
        <v>4.3156676569630532E-29</v>
      </c>
      <c r="Z652" s="16">
        <f t="shared" si="2"/>
        <v>4677.9711509470781</v>
      </c>
      <c r="AA652" s="16">
        <f t="shared" si="3"/>
        <v>23241.351939631651</v>
      </c>
      <c r="AB652" s="16">
        <f t="shared" si="4"/>
        <v>56121.426158567352</v>
      </c>
      <c r="AC652" s="16">
        <f t="shared" si="5"/>
        <v>18578.294064848775</v>
      </c>
      <c r="AD652" s="2"/>
      <c r="AE652" s="16">
        <v>4677.9711509470781</v>
      </c>
      <c r="AF652" s="16">
        <f t="shared" si="6"/>
        <v>14337.676866783857</v>
      </c>
      <c r="AG652" s="16">
        <f t="shared" si="7"/>
        <v>21862.678184780631</v>
      </c>
      <c r="AH652" s="16">
        <f t="shared" si="8"/>
        <v>44798.567344598036</v>
      </c>
      <c r="AI652" s="16">
        <v>18578.294064848818</v>
      </c>
      <c r="AJ652" s="2"/>
    </row>
    <row r="653" spans="1:3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2">
        <f t="shared" si="9"/>
        <v>52.499999999999005</v>
      </c>
      <c r="X653" s="13">
        <f t="shared" si="0"/>
        <v>5.7055318952079599E-140</v>
      </c>
      <c r="Y653" s="13">
        <f t="shared" si="1"/>
        <v>2.5913379425765989E-31</v>
      </c>
      <c r="Z653" s="13">
        <f t="shared" si="2"/>
        <v>3812.3835033354912</v>
      </c>
      <c r="AA653" s="13">
        <f t="shared" si="3"/>
        <v>86710.21577942009</v>
      </c>
      <c r="AB653" s="13">
        <f t="shared" si="4"/>
        <v>77997.542379308477</v>
      </c>
      <c r="AC653" s="13">
        <f t="shared" si="5"/>
        <v>18824.5204550608</v>
      </c>
      <c r="AD653" s="2"/>
      <c r="AE653" s="13">
        <v>3812.3835033354922</v>
      </c>
      <c r="AF653" s="13">
        <f t="shared" si="6"/>
        <v>12328.529057068403</v>
      </c>
      <c r="AG653" s="13">
        <f t="shared" si="7"/>
        <v>19845.543752499103</v>
      </c>
      <c r="AH653" s="13">
        <f t="shared" si="8"/>
        <v>42952.202690948929</v>
      </c>
      <c r="AI653" s="13">
        <v>18824.520455060825</v>
      </c>
      <c r="AJ653" s="2"/>
    </row>
    <row r="654" spans="1:3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5">
        <f t="shared" si="9"/>
        <v>52.549999999999002</v>
      </c>
      <c r="X654" s="16">
        <f t="shared" si="0"/>
        <v>3.888590714343422E-149</v>
      </c>
      <c r="Y654" s="16">
        <f t="shared" si="1"/>
        <v>1.3240307709362732E-33</v>
      </c>
      <c r="Z654" s="16">
        <f t="shared" si="2"/>
        <v>3086.9638422773028</v>
      </c>
      <c r="AA654" s="16">
        <f t="shared" si="3"/>
        <v>171178.01618162004</v>
      </c>
      <c r="AB654" s="16">
        <f t="shared" si="4"/>
        <v>92453.924146965335</v>
      </c>
      <c r="AC654" s="16">
        <f t="shared" si="5"/>
        <v>18952.988487508155</v>
      </c>
      <c r="AD654" s="2"/>
      <c r="AE654" s="16">
        <v>3086.9638422773028</v>
      </c>
      <c r="AF654" s="16">
        <f t="shared" si="6"/>
        <v>10532.931565491941</v>
      </c>
      <c r="AG654" s="16">
        <f t="shared" si="7"/>
        <v>17899.380235497163</v>
      </c>
      <c r="AH654" s="16">
        <f t="shared" si="8"/>
        <v>40919.67332743411</v>
      </c>
      <c r="AI654" s="16">
        <v>18952.988487508166</v>
      </c>
      <c r="AJ654" s="2"/>
    </row>
    <row r="655" spans="1:3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2">
        <f t="shared" si="9"/>
        <v>52.599999999999</v>
      </c>
      <c r="X655" s="13">
        <f t="shared" si="0"/>
        <v>1.3895692174576916E-158</v>
      </c>
      <c r="Y655" s="13">
        <f t="shared" si="1"/>
        <v>5.7566531865906345E-36</v>
      </c>
      <c r="Z655" s="13">
        <f t="shared" si="2"/>
        <v>2483.4900371494955</v>
      </c>
      <c r="AA655" s="13">
        <f t="shared" si="3"/>
        <v>178811.13220676559</v>
      </c>
      <c r="AB655" s="13">
        <f t="shared" si="4"/>
        <v>93467.7934733476</v>
      </c>
      <c r="AC655" s="13">
        <f t="shared" si="5"/>
        <v>18961.258736561202</v>
      </c>
      <c r="AD655" s="2"/>
      <c r="AE655" s="13">
        <v>2483.4900371494959</v>
      </c>
      <c r="AF655" s="13">
        <f t="shared" si="6"/>
        <v>8941.1377649161768</v>
      </c>
      <c r="AG655" s="13">
        <f t="shared" si="7"/>
        <v>16040.885371695753</v>
      </c>
      <c r="AH655" s="13">
        <f t="shared" si="8"/>
        <v>38735.064033036157</v>
      </c>
      <c r="AI655" s="13">
        <v>18961.258736561194</v>
      </c>
      <c r="AJ655" s="2"/>
    </row>
    <row r="656" spans="1:3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5">
        <f t="shared" si="9"/>
        <v>52.649999999998997</v>
      </c>
      <c r="X656" s="16">
        <f t="shared" si="0"/>
        <v>2.60351442098651E-168</v>
      </c>
      <c r="Y656" s="16">
        <f t="shared" si="1"/>
        <v>2.1298058548566666E-38</v>
      </c>
      <c r="Z656" s="16">
        <f t="shared" si="2"/>
        <v>1985.131222747317</v>
      </c>
      <c r="AA656" s="16">
        <f t="shared" si="3"/>
        <v>98834.816299724829</v>
      </c>
      <c r="AB656" s="16">
        <f t="shared" si="4"/>
        <v>80591.797420196497</v>
      </c>
      <c r="AC656" s="16">
        <f t="shared" si="5"/>
        <v>18849.173783351282</v>
      </c>
      <c r="AD656" s="2"/>
      <c r="AE656" s="16">
        <v>1985.131222747317</v>
      </c>
      <c r="AF656" s="16">
        <f t="shared" si="6"/>
        <v>7541.2238992467928</v>
      </c>
      <c r="AG656" s="16">
        <f t="shared" si="7"/>
        <v>14283.479878479773</v>
      </c>
      <c r="AH656" s="16">
        <f t="shared" si="8"/>
        <v>36433.576111884722</v>
      </c>
      <c r="AI656" s="16">
        <v>18849.173783351256</v>
      </c>
      <c r="AJ656" s="2"/>
    </row>
    <row r="657" spans="1:3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2">
        <f t="shared" si="9"/>
        <v>52.699999999998994</v>
      </c>
      <c r="X657" s="13">
        <f t="shared" si="0"/>
        <v>2.5575942280562733E-178</v>
      </c>
      <c r="Y657" s="13">
        <f t="shared" si="1"/>
        <v>6.705141240302564E-41</v>
      </c>
      <c r="Z657" s="13">
        <f t="shared" si="2"/>
        <v>1576.5652024280441</v>
      </c>
      <c r="AA657" s="13">
        <f t="shared" si="3"/>
        <v>28906.41330132473</v>
      </c>
      <c r="AB657" s="13">
        <f t="shared" si="4"/>
        <v>59266.85800098296</v>
      </c>
      <c r="AC657" s="13">
        <f t="shared" si="5"/>
        <v>18618.863199153657</v>
      </c>
      <c r="AD657" s="2"/>
      <c r="AE657" s="13">
        <v>1576.5652024280441</v>
      </c>
      <c r="AF657" s="13">
        <f t="shared" si="6"/>
        <v>6319.6992134460088</v>
      </c>
      <c r="AG657" s="13">
        <f t="shared" si="7"/>
        <v>12637.322530435957</v>
      </c>
      <c r="AH657" s="13">
        <f t="shared" si="8"/>
        <v>34050.596700255686</v>
      </c>
      <c r="AI657" s="13">
        <v>18618.863199153617</v>
      </c>
      <c r="AJ657" s="2"/>
    </row>
    <row r="658" spans="1:3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5">
        <f t="shared" si="9"/>
        <v>52.749999999998991</v>
      </c>
      <c r="X658" s="16">
        <f t="shared" si="0"/>
        <v>1.3173317265636518E-188</v>
      </c>
      <c r="Y658" s="16">
        <f t="shared" si="1"/>
        <v>1.7962790615959865E-43</v>
      </c>
      <c r="Z658" s="16">
        <f t="shared" si="2"/>
        <v>1244.029192797989</v>
      </c>
      <c r="AA658" s="16">
        <f t="shared" si="3"/>
        <v>4473.498525764634</v>
      </c>
      <c r="AB658" s="16">
        <f t="shared" si="4"/>
        <v>37172.791574224662</v>
      </c>
      <c r="AC658" s="16">
        <f t="shared" si="5"/>
        <v>18274.676252770871</v>
      </c>
      <c r="AD658" s="2"/>
      <c r="AE658" s="16">
        <v>1244.029192797989</v>
      </c>
      <c r="AF658" s="16">
        <f t="shared" si="6"/>
        <v>5262.068610523298</v>
      </c>
      <c r="AG658" s="16">
        <f t="shared" si="7"/>
        <v>11109.421960525717</v>
      </c>
      <c r="AH658" s="16">
        <f t="shared" si="8"/>
        <v>31620.81470141096</v>
      </c>
      <c r="AI658" s="16">
        <v>18274.676252770812</v>
      </c>
      <c r="AJ658" s="2"/>
    </row>
    <row r="659" spans="1:3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2">
        <f t="shared" si="9"/>
        <v>52.799999999998988</v>
      </c>
      <c r="X659" s="13">
        <f t="shared" si="0"/>
        <v>3.5575459036589651E-199</v>
      </c>
      <c r="Y659" s="13">
        <f t="shared" si="1"/>
        <v>4.0948467022321721E-46</v>
      </c>
      <c r="Z659" s="13">
        <f t="shared" si="2"/>
        <v>975.31549815052279</v>
      </c>
      <c r="AA659" s="13">
        <f t="shared" si="3"/>
        <v>366.32725476855916</v>
      </c>
      <c r="AB659" s="13">
        <f t="shared" si="4"/>
        <v>19885.231890413139</v>
      </c>
      <c r="AC659" s="13">
        <f t="shared" si="5"/>
        <v>17823.045312580121</v>
      </c>
      <c r="AD659" s="2"/>
      <c r="AE659" s="13">
        <v>975.31549815052301</v>
      </c>
      <c r="AF659" s="13">
        <f t="shared" si="6"/>
        <v>4353.3354058438017</v>
      </c>
      <c r="AG659" s="13">
        <f t="shared" si="7"/>
        <v>9703.8305862156049</v>
      </c>
      <c r="AH659" s="13">
        <f t="shared" si="8"/>
        <v>29177.413234635038</v>
      </c>
      <c r="AI659" s="13">
        <v>17823.045312580052</v>
      </c>
      <c r="AJ659" s="2"/>
    </row>
    <row r="660" spans="1:3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5">
        <f t="shared" si="9"/>
        <v>52.849999999998985</v>
      </c>
      <c r="X660" s="16">
        <f t="shared" si="0"/>
        <v>5.0372989570976633E-210</v>
      </c>
      <c r="Y660" s="16">
        <f t="shared" si="1"/>
        <v>7.9432723112943439E-49</v>
      </c>
      <c r="Z660" s="16">
        <f t="shared" si="2"/>
        <v>759.72356503822016</v>
      </c>
      <c r="AA660" s="16">
        <f t="shared" si="3"/>
        <v>15.87303618957427</v>
      </c>
      <c r="AB660" s="16">
        <f t="shared" si="4"/>
        <v>9072.5287602532371</v>
      </c>
      <c r="AC660" s="16">
        <f t="shared" si="5"/>
        <v>17272.285936711804</v>
      </c>
      <c r="AD660" s="2"/>
      <c r="AE660" s="16">
        <v>759.72356503822016</v>
      </c>
      <c r="AF660" s="16">
        <f t="shared" si="6"/>
        <v>3578.4361800993092</v>
      </c>
      <c r="AG660" s="16">
        <f t="shared" si="7"/>
        <v>8421.9042494770274</v>
      </c>
      <c r="AH660" s="16">
        <f t="shared" si="8"/>
        <v>26751.363338196104</v>
      </c>
      <c r="AI660" s="16">
        <v>17272.285936711716</v>
      </c>
      <c r="AJ660" s="2"/>
    </row>
    <row r="661" spans="1:3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2">
        <f t="shared" si="9"/>
        <v>52.899999999998983</v>
      </c>
      <c r="X661" s="13">
        <f t="shared" si="0"/>
        <v>3.7397002472128827E-221</v>
      </c>
      <c r="Y661" s="13">
        <f t="shared" si="1"/>
        <v>1.3111706462955516E-51</v>
      </c>
      <c r="Z661" s="13">
        <f t="shared" si="2"/>
        <v>587.97923409159216</v>
      </c>
      <c r="AA661" s="13">
        <f t="shared" si="3"/>
        <v>0.36393148001206505</v>
      </c>
      <c r="AB661" s="13">
        <f t="shared" si="4"/>
        <v>3530.3540180513537</v>
      </c>
      <c r="AC661" s="13">
        <f t="shared" si="5"/>
        <v>16632.342330237025</v>
      </c>
      <c r="AD661" s="2"/>
      <c r="AE661" s="13">
        <v>587.97923409159216</v>
      </c>
      <c r="AF661" s="13">
        <f t="shared" si="6"/>
        <v>2922.603822502324</v>
      </c>
      <c r="AG661" s="13">
        <f t="shared" si="7"/>
        <v>7262.6103403857624</v>
      </c>
      <c r="AH661" s="13">
        <f t="shared" si="8"/>
        <v>24370.837642755661</v>
      </c>
      <c r="AI661" s="13">
        <v>16632.342330236927</v>
      </c>
      <c r="AJ661" s="2"/>
    </row>
    <row r="662" spans="1:3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5">
        <f t="shared" si="9"/>
        <v>52.94999999999898</v>
      </c>
      <c r="X662" s="16">
        <f t="shared" si="0"/>
        <v>1.4556860242448501E-232</v>
      </c>
      <c r="Y662" s="16">
        <f t="shared" si="1"/>
        <v>1.8416917718190351E-54</v>
      </c>
      <c r="Z662" s="16">
        <f t="shared" si="2"/>
        <v>452.13101277658581</v>
      </c>
      <c r="AA662" s="16">
        <f t="shared" si="3"/>
        <v>4.415176636937846E-3</v>
      </c>
      <c r="AB662" s="16">
        <f t="shared" si="4"/>
        <v>1171.6566795156946</v>
      </c>
      <c r="AC662" s="16">
        <f t="shared" si="5"/>
        <v>15914.489050287242</v>
      </c>
      <c r="AD662" s="2"/>
      <c r="AE662" s="16">
        <v>452.13101277658581</v>
      </c>
      <c r="AF662" s="16">
        <f t="shared" si="6"/>
        <v>2371.6584463816034</v>
      </c>
      <c r="AG662" s="16">
        <f t="shared" si="7"/>
        <v>6222.8672755132429</v>
      </c>
      <c r="AH662" s="16">
        <f t="shared" si="8"/>
        <v>22060.75622268609</v>
      </c>
      <c r="AI662" s="16">
        <v>15914.489050287135</v>
      </c>
      <c r="AJ662" s="2"/>
    </row>
    <row r="663" spans="1:3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2">
        <f t="shared" si="9"/>
        <v>52.999999999998977</v>
      </c>
      <c r="X663" s="13">
        <f t="shared" si="0"/>
        <v>2.9709167656050217E-244</v>
      </c>
      <c r="Y663" s="13">
        <f t="shared" si="1"/>
        <v>2.201266583689276E-57</v>
      </c>
      <c r="Z663" s="13">
        <f t="shared" si="2"/>
        <v>345.43196659249259</v>
      </c>
      <c r="AA663" s="13">
        <f t="shared" si="3"/>
        <v>2.8342971789722278E-5</v>
      </c>
      <c r="AB663" s="13">
        <f t="shared" si="4"/>
        <v>331.64594999134704</v>
      </c>
      <c r="AC663" s="13">
        <f t="shared" si="5"/>
        <v>15131.001445565533</v>
      </c>
      <c r="AD663" s="2"/>
      <c r="AE663" s="13">
        <v>345.43196659249259</v>
      </c>
      <c r="AF663" s="13">
        <f t="shared" si="6"/>
        <v>1912.2288470775245</v>
      </c>
      <c r="AG663" s="13">
        <f t="shared" si="7"/>
        <v>5297.8991055847055</v>
      </c>
      <c r="AH663" s="13">
        <f t="shared" si="8"/>
        <v>19842.470230398347</v>
      </c>
      <c r="AI663" s="13">
        <v>15131.001445565416</v>
      </c>
      <c r="AJ663" s="2"/>
    </row>
    <row r="664" spans="1:3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5">
        <f t="shared" si="9"/>
        <v>53.049999999998974</v>
      </c>
      <c r="X664" s="16">
        <f t="shared" si="0"/>
        <v>3.1791067380211421E-256</v>
      </c>
      <c r="Y664" s="16">
        <f t="shared" si="1"/>
        <v>2.2388566999882369E-60</v>
      </c>
      <c r="Z664" s="16">
        <f t="shared" si="2"/>
        <v>262.21448044623071</v>
      </c>
      <c r="AA664" s="16">
        <f t="shared" si="3"/>
        <v>9.6274556847710373E-8</v>
      </c>
      <c r="AB664" s="16">
        <f t="shared" si="4"/>
        <v>80.064728272797637</v>
      </c>
      <c r="AC664" s="16">
        <f t="shared" si="5"/>
        <v>14294.808252461709</v>
      </c>
      <c r="AD664" s="2"/>
      <c r="AE664" s="16">
        <v>262.21448044623071</v>
      </c>
      <c r="AF664" s="16">
        <f t="shared" si="6"/>
        <v>1531.9095062724293</v>
      </c>
      <c r="AG664" s="16">
        <f t="shared" si="7"/>
        <v>4481.5905805552848</v>
      </c>
      <c r="AH664" s="16">
        <f t="shared" si="8"/>
        <v>17733.582591188213</v>
      </c>
      <c r="AI664" s="16">
        <v>14294.808252461587</v>
      </c>
      <c r="AJ664" s="2"/>
    </row>
    <row r="665" spans="1:3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2">
        <f t="shared" si="9"/>
        <v>53.099999999998971</v>
      </c>
      <c r="X665" s="13">
        <f t="shared" si="0"/>
        <v>1.7836580047929734E-268</v>
      </c>
      <c r="Y665" s="13">
        <f t="shared" si="1"/>
        <v>1.9376615279789516E-63</v>
      </c>
      <c r="Z665" s="13">
        <f t="shared" si="2"/>
        <v>197.76377164901319</v>
      </c>
      <c r="AA665" s="13">
        <f t="shared" si="3"/>
        <v>1.7304000306861278E-10</v>
      </c>
      <c r="AB665" s="13">
        <f t="shared" si="4"/>
        <v>16.485418647411933</v>
      </c>
      <c r="AC665" s="13">
        <f t="shared" si="5"/>
        <v>13419.140006438491</v>
      </c>
      <c r="AD665" s="2"/>
      <c r="AE665" s="13">
        <v>197.76377164901319</v>
      </c>
      <c r="AF665" s="13">
        <f t="shared" si="6"/>
        <v>1219.359823795857</v>
      </c>
      <c r="AG665" s="13">
        <f t="shared" si="7"/>
        <v>3766.8300343349256</v>
      </c>
      <c r="AH665" s="13">
        <f t="shared" si="8"/>
        <v>15747.899304253688</v>
      </c>
      <c r="AI665" s="13">
        <v>13419.140006438363</v>
      </c>
      <c r="AJ665" s="2"/>
    </row>
    <row r="666" spans="1:3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5">
        <f t="shared" si="9"/>
        <v>53.149999999998968</v>
      </c>
      <c r="X666" s="16">
        <f t="shared" si="0"/>
        <v>5.2469861481452539E-281</v>
      </c>
      <c r="Y666" s="16">
        <f t="shared" si="1"/>
        <v>1.4270115856955113E-66</v>
      </c>
      <c r="Z666" s="16">
        <f t="shared" si="2"/>
        <v>148.19471621424694</v>
      </c>
      <c r="AA666" s="16">
        <f t="shared" si="3"/>
        <v>1.6456987611115052E-13</v>
      </c>
      <c r="AB666" s="16">
        <f t="shared" si="4"/>
        <v>2.8950157950022501</v>
      </c>
      <c r="AC666" s="16">
        <f t="shared" si="5"/>
        <v>12517.186479291098</v>
      </c>
      <c r="AD666" s="2"/>
      <c r="AE666" s="16">
        <v>148.19471621424691</v>
      </c>
      <c r="AF666" s="16">
        <f t="shared" si="6"/>
        <v>964.35331225392702</v>
      </c>
      <c r="AG666" s="16">
        <f t="shared" si="7"/>
        <v>3145.8297908482159</v>
      </c>
      <c r="AH666" s="16">
        <f t="shared" si="8"/>
        <v>13895.500016030075</v>
      </c>
      <c r="AI666" s="16">
        <v>12517.186479290971</v>
      </c>
      <c r="AJ666" s="2"/>
    </row>
    <row r="667" spans="1:3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2">
        <f t="shared" si="9"/>
        <v>53.199999999998965</v>
      </c>
      <c r="X667" s="13">
        <f t="shared" si="0"/>
        <v>8.0928240986854178E-294</v>
      </c>
      <c r="Y667" s="13">
        <f t="shared" si="1"/>
        <v>8.9428314385183687E-70</v>
      </c>
      <c r="Z667" s="13">
        <f t="shared" si="2"/>
        <v>110.33533584174324</v>
      </c>
      <c r="AA667" s="13">
        <f t="shared" si="3"/>
        <v>8.2817670874692012E-17</v>
      </c>
      <c r="AB667" s="13">
        <f t="shared" si="4"/>
        <v>0.43360482388112226</v>
      </c>
      <c r="AC667" s="13">
        <f t="shared" si="5"/>
        <v>11601.775276598126</v>
      </c>
      <c r="AD667" s="2"/>
      <c r="AE667" s="13">
        <v>110.33533584174324</v>
      </c>
      <c r="AF667" s="13">
        <f t="shared" si="6"/>
        <v>757.78498553474697</v>
      </c>
      <c r="AG667" s="13">
        <f t="shared" si="7"/>
        <v>2610.4162699034846</v>
      </c>
      <c r="AH667" s="13">
        <f t="shared" si="8"/>
        <v>12182.912685973919</v>
      </c>
      <c r="AI667" s="13">
        <v>11601.775276597995</v>
      </c>
      <c r="AJ667" s="2"/>
    </row>
    <row r="668" spans="1:3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5">
        <f t="shared" si="9"/>
        <v>53.249999999998963</v>
      </c>
      <c r="X668" s="16">
        <f t="shared" si="0"/>
        <v>6.54458536566857E-307</v>
      </c>
      <c r="Y668" s="16">
        <f t="shared" si="1"/>
        <v>4.7689256751707829E-73</v>
      </c>
      <c r="Z668" s="16">
        <f t="shared" si="2"/>
        <v>81.619220288522058</v>
      </c>
      <c r="AA668" s="16">
        <f t="shared" si="3"/>
        <v>2.2052839914633381E-20</v>
      </c>
      <c r="AB668" s="16">
        <f t="shared" si="4"/>
        <v>5.5389759978648118E-2</v>
      </c>
      <c r="AC668" s="16">
        <f t="shared" si="5"/>
        <v>10685.082117288279</v>
      </c>
      <c r="AD668" s="2"/>
      <c r="AE668" s="16">
        <v>81.619220288522058</v>
      </c>
      <c r="AF668" s="16">
        <f t="shared" si="6"/>
        <v>591.64519298481196</v>
      </c>
      <c r="AG668" s="16">
        <f t="shared" si="7"/>
        <v>2152.2844342336612</v>
      </c>
      <c r="AH668" s="16">
        <f t="shared" si="8"/>
        <v>10613.374453447615</v>
      </c>
      <c r="AI668" s="16">
        <v>10685.082117288146</v>
      </c>
      <c r="AJ668" s="2"/>
    </row>
    <row r="669" spans="1:3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2">
        <f t="shared" si="9"/>
        <v>53.29999999999896</v>
      </c>
      <c r="X669" s="13">
        <f t="shared" si="0"/>
        <v>0</v>
      </c>
      <c r="Y669" s="13">
        <f t="shared" si="1"/>
        <v>2.1640337320823401E-76</v>
      </c>
      <c r="Z669" s="13">
        <f t="shared" si="2"/>
        <v>59.988248314058914</v>
      </c>
      <c r="AA669" s="13">
        <f t="shared" si="3"/>
        <v>3.107240575587074E-24</v>
      </c>
      <c r="AB669" s="13">
        <f t="shared" si="4"/>
        <v>6.0347192695806287E-3</v>
      </c>
      <c r="AC669" s="13">
        <f t="shared" si="5"/>
        <v>9778.3812886034339</v>
      </c>
      <c r="AD669" s="2"/>
      <c r="AE669" s="13">
        <v>59.988248314058914</v>
      </c>
      <c r="AF669" s="13">
        <f t="shared" si="6"/>
        <v>458.96779104470517</v>
      </c>
      <c r="AG669" s="13">
        <f t="shared" si="7"/>
        <v>1763.2135408252989</v>
      </c>
      <c r="AH669" s="13">
        <f t="shared" si="8"/>
        <v>9187.1592599561172</v>
      </c>
      <c r="AI669" s="13">
        <v>9778.3812886033065</v>
      </c>
      <c r="AJ669" s="2"/>
    </row>
    <row r="670" spans="1:3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5">
        <f t="shared" si="9"/>
        <v>53.349999999998957</v>
      </c>
      <c r="X670" s="16">
        <f t="shared" si="0"/>
        <v>0</v>
      </c>
      <c r="Y670" s="16">
        <f t="shared" si="1"/>
        <v>8.3561352643161085E-80</v>
      </c>
      <c r="Z670" s="16">
        <f t="shared" si="2"/>
        <v>43.806225852373416</v>
      </c>
      <c r="AA670" s="16">
        <f t="shared" si="3"/>
        <v>2.3166161317358476E-28</v>
      </c>
      <c r="AB670" s="16">
        <f t="shared" si="4"/>
        <v>5.6075979855241623E-4</v>
      </c>
      <c r="AC670" s="16">
        <f t="shared" si="5"/>
        <v>8891.8424627910736</v>
      </c>
      <c r="AD670" s="2"/>
      <c r="AE670" s="16">
        <v>43.806225852373416</v>
      </c>
      <c r="AF670" s="16">
        <f t="shared" si="6"/>
        <v>353.75990012972989</v>
      </c>
      <c r="AG670" s="16">
        <f t="shared" si="7"/>
        <v>1435.2432414500788</v>
      </c>
      <c r="AH670" s="16">
        <f t="shared" si="8"/>
        <v>7901.9523347444529</v>
      </c>
      <c r="AI670" s="16">
        <v>8891.8424627909499</v>
      </c>
      <c r="AJ670" s="2"/>
    </row>
    <row r="671" spans="1:3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2">
        <f t="shared" si="9"/>
        <v>53.399999999998954</v>
      </c>
      <c r="X671" s="13">
        <f t="shared" si="0"/>
        <v>0</v>
      </c>
      <c r="Y671" s="13">
        <f t="shared" si="1"/>
        <v>2.7456480087490784E-83</v>
      </c>
      <c r="Z671" s="13">
        <f t="shared" si="2"/>
        <v>31.783477594276118</v>
      </c>
      <c r="AA671" s="13">
        <f t="shared" si="3"/>
        <v>9.1390723438893133E-33</v>
      </c>
      <c r="AB671" s="13">
        <f t="shared" si="4"/>
        <v>4.4441517587070104E-5</v>
      </c>
      <c r="AC671" s="13">
        <f t="shared" si="5"/>
        <v>8034.3776222584347</v>
      </c>
      <c r="AD671" s="2"/>
      <c r="AE671" s="13">
        <v>31.783477594276118</v>
      </c>
      <c r="AF671" s="13">
        <f t="shared" si="6"/>
        <v>270.91965927407671</v>
      </c>
      <c r="AG671" s="13">
        <f t="shared" si="7"/>
        <v>1160.8108504749425</v>
      </c>
      <c r="AH671" s="13">
        <f t="shared" si="8"/>
        <v>6753.2522046541653</v>
      </c>
      <c r="AI671" s="13">
        <v>8034.3776222583147</v>
      </c>
      <c r="AJ671" s="2"/>
    </row>
    <row r="672" spans="1:3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5">
        <f t="shared" si="9"/>
        <v>53.449999999998951</v>
      </c>
      <c r="X672" s="16">
        <f t="shared" si="0"/>
        <v>0</v>
      </c>
      <c r="Y672" s="16">
        <f t="shared" si="1"/>
        <v>7.6768352739176098E-87</v>
      </c>
      <c r="Z672" s="16">
        <f t="shared" si="2"/>
        <v>22.911995131286229</v>
      </c>
      <c r="AA672" s="16">
        <f t="shared" si="3"/>
        <v>1.9077391677546668E-37</v>
      </c>
      <c r="AB672" s="16">
        <f t="shared" si="4"/>
        <v>3.0039527764432258E-6</v>
      </c>
      <c r="AC672" s="16">
        <f t="shared" si="5"/>
        <v>7213.5394107611646</v>
      </c>
      <c r="AD672" s="2"/>
      <c r="AE672" s="16">
        <v>22.911995131286229</v>
      </c>
      <c r="AF672" s="16">
        <f t="shared" si="6"/>
        <v>206.14744830860354</v>
      </c>
      <c r="AG672" s="16">
        <f t="shared" si="7"/>
        <v>932.85202336582654</v>
      </c>
      <c r="AH672" s="16">
        <f t="shared" si="8"/>
        <v>5734.7822863337806</v>
      </c>
      <c r="AI672" s="16">
        <v>7213.53941076105</v>
      </c>
      <c r="AJ672" s="2"/>
    </row>
    <row r="673" spans="1:3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2">
        <f t="shared" si="9"/>
        <v>53.499999999998948</v>
      </c>
      <c r="X673" s="13">
        <f t="shared" si="0"/>
        <v>0</v>
      </c>
      <c r="Y673" s="13">
        <f t="shared" si="1"/>
        <v>1.8264910428604082E-90</v>
      </c>
      <c r="Z673" s="13">
        <f t="shared" si="2"/>
        <v>16.410443617685132</v>
      </c>
      <c r="AA673" s="13">
        <f t="shared" si="3"/>
        <v>2.1071949634385635E-42</v>
      </c>
      <c r="AB673" s="13">
        <f t="shared" si="4"/>
        <v>1.7317672882426529E-7</v>
      </c>
      <c r="AC673" s="13">
        <f t="shared" si="5"/>
        <v>6435.4699406956242</v>
      </c>
      <c r="AD673" s="2"/>
      <c r="AE673" s="13">
        <v>16.410443617685132</v>
      </c>
      <c r="AF673" s="13">
        <f t="shared" si="6"/>
        <v>155.85506867481277</v>
      </c>
      <c r="AG673" s="13">
        <f t="shared" si="7"/>
        <v>744.86815454010184</v>
      </c>
      <c r="AH673" s="13">
        <f t="shared" si="8"/>
        <v>4838.8961755793471</v>
      </c>
      <c r="AI673" s="13">
        <v>6435.4699406955169</v>
      </c>
      <c r="AJ673" s="2"/>
    </row>
    <row r="674" spans="1:3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5">
        <f t="shared" si="9"/>
        <v>53.549999999998946</v>
      </c>
      <c r="X674" s="16">
        <f t="shared" si="0"/>
        <v>0</v>
      </c>
      <c r="Y674" s="16">
        <f t="shared" si="1"/>
        <v>3.6978631508705105E-94</v>
      </c>
      <c r="Z674" s="16">
        <f t="shared" si="2"/>
        <v>11.678139341352939</v>
      </c>
      <c r="AA674" s="16">
        <f t="shared" si="3"/>
        <v>1.2315705210308462E-47</v>
      </c>
      <c r="AB674" s="16">
        <f t="shared" si="4"/>
        <v>8.5148729696376024E-9</v>
      </c>
      <c r="AC674" s="16">
        <f t="shared" si="5"/>
        <v>5704.8970523177677</v>
      </c>
      <c r="AD674" s="2"/>
      <c r="AE674" s="16">
        <v>11.678139341352939</v>
      </c>
      <c r="AF674" s="16">
        <f t="shared" si="6"/>
        <v>117.07641700067342</v>
      </c>
      <c r="AG674" s="16">
        <f t="shared" si="7"/>
        <v>590.96451900743989</v>
      </c>
      <c r="AH674" s="16">
        <f t="shared" si="8"/>
        <v>4056.9632658235837</v>
      </c>
      <c r="AI674" s="16">
        <v>5704.8970523176677</v>
      </c>
      <c r="AJ674" s="2"/>
    </row>
    <row r="675" spans="1:3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2">
        <f t="shared" si="9"/>
        <v>53.599999999998943</v>
      </c>
      <c r="X675" s="13">
        <f t="shared" si="0"/>
        <v>0</v>
      </c>
      <c r="Y675" s="13">
        <f t="shared" si="1"/>
        <v>6.3706256556452872E-98</v>
      </c>
      <c r="Z675" s="13">
        <f t="shared" si="2"/>
        <v>8.2570117558509804</v>
      </c>
      <c r="AA675" s="13">
        <f t="shared" si="3"/>
        <v>3.8087519772932008E-53</v>
      </c>
      <c r="AB675" s="13">
        <f t="shared" si="4"/>
        <v>3.5707465493022571E-10</v>
      </c>
      <c r="AC675" s="13">
        <f t="shared" si="5"/>
        <v>5025.1733260455412</v>
      </c>
      <c r="AD675" s="2"/>
      <c r="AE675" s="13">
        <v>8.2570117558509804</v>
      </c>
      <c r="AF675" s="13">
        <f t="shared" si="6"/>
        <v>87.382293527365292</v>
      </c>
      <c r="AG675" s="13">
        <f t="shared" si="7"/>
        <v>465.86357727793876</v>
      </c>
      <c r="AH675" s="13">
        <f t="shared" si="8"/>
        <v>3379.7241073411697</v>
      </c>
      <c r="AI675" s="13">
        <v>5025.1733260454494</v>
      </c>
      <c r="AJ675" s="2"/>
    </row>
    <row r="676" spans="1:3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5">
        <f t="shared" si="9"/>
        <v>53.64999999999894</v>
      </c>
      <c r="X676" s="16">
        <f t="shared" si="0"/>
        <v>0</v>
      </c>
      <c r="Y676" s="16">
        <f t="shared" si="1"/>
        <v>9.339234940613314E-102</v>
      </c>
      <c r="Z676" s="16">
        <f t="shared" si="2"/>
        <v>5.8005352652971442</v>
      </c>
      <c r="AA676" s="16">
        <f t="shared" si="3"/>
        <v>6.2326816176151306E-59</v>
      </c>
      <c r="AB676" s="16">
        <f t="shared" si="4"/>
        <v>1.2771211219387935E-11</v>
      </c>
      <c r="AC676" s="16">
        <f t="shared" si="5"/>
        <v>4398.3518516234244</v>
      </c>
      <c r="AD676" s="2"/>
      <c r="AE676" s="16">
        <v>5.8005352652971442</v>
      </c>
      <c r="AF676" s="16">
        <f t="shared" si="6"/>
        <v>64.801189919749433</v>
      </c>
      <c r="AG676" s="16">
        <f t="shared" si="7"/>
        <v>364.89797889078449</v>
      </c>
      <c r="AH676" s="16">
        <f t="shared" si="8"/>
        <v>2797.607775675418</v>
      </c>
      <c r="AI676" s="16">
        <v>4398.3518516233398</v>
      </c>
      <c r="AJ676" s="2"/>
    </row>
    <row r="677" spans="1:3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2">
        <f t="shared" si="9"/>
        <v>53.699999999998937</v>
      </c>
      <c r="X677" s="13">
        <f t="shared" si="0"/>
        <v>0</v>
      </c>
      <c r="Y677" s="13">
        <f t="shared" si="1"/>
        <v>1.1650336744377747E-105</v>
      </c>
      <c r="Z677" s="13">
        <f t="shared" si="2"/>
        <v>4.048639972461503</v>
      </c>
      <c r="AA677" s="13">
        <f t="shared" si="3"/>
        <v>5.3967964044945756E-65</v>
      </c>
      <c r="AB677" s="13">
        <f t="shared" si="4"/>
        <v>3.895806345402885E-13</v>
      </c>
      <c r="AC677" s="13">
        <f t="shared" si="5"/>
        <v>3825.2918859629485</v>
      </c>
      <c r="AD677" s="2"/>
      <c r="AE677" s="13">
        <v>4.048639972461503</v>
      </c>
      <c r="AF677" s="13">
        <f t="shared" si="6"/>
        <v>47.747215163833388</v>
      </c>
      <c r="AG677" s="13">
        <f t="shared" si="7"/>
        <v>283.98768598894685</v>
      </c>
      <c r="AH677" s="13">
        <f t="shared" si="8"/>
        <v>2301.0062904384963</v>
      </c>
      <c r="AI677" s="13">
        <v>3825.2918859628712</v>
      </c>
      <c r="AJ677" s="2"/>
    </row>
    <row r="678" spans="1:3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5">
        <f t="shared" si="9"/>
        <v>53.749999999998934</v>
      </c>
      <c r="X678" s="16">
        <f t="shared" si="0"/>
        <v>0</v>
      </c>
      <c r="Y678" s="16">
        <f t="shared" si="1"/>
        <v>1.2366978888710311E-109</v>
      </c>
      <c r="Z678" s="16">
        <f t="shared" si="2"/>
        <v>2.8076706637452347</v>
      </c>
      <c r="AA678" s="16">
        <f t="shared" si="3"/>
        <v>2.4726689122030508E-71</v>
      </c>
      <c r="AB678" s="16">
        <f t="shared" si="4"/>
        <v>1.0135725590563311E-14</v>
      </c>
      <c r="AC678" s="16">
        <f t="shared" si="5"/>
        <v>3305.7870847155896</v>
      </c>
      <c r="AD678" s="2"/>
      <c r="AE678" s="16">
        <v>2.8076706637452347</v>
      </c>
      <c r="AF678" s="16">
        <f t="shared" si="6"/>
        <v>34.955751004221298</v>
      </c>
      <c r="AG678" s="16">
        <f t="shared" si="7"/>
        <v>219.60534715319406</v>
      </c>
      <c r="AH678" s="16">
        <f t="shared" si="8"/>
        <v>1880.5036823484356</v>
      </c>
      <c r="AI678" s="16">
        <v>3305.7870847155195</v>
      </c>
      <c r="AJ678" s="2"/>
    </row>
    <row r="679" spans="1:3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2">
        <f t="shared" si="9"/>
        <v>53.799999999998931</v>
      </c>
      <c r="X679" s="13">
        <f t="shared" si="0"/>
        <v>0</v>
      </c>
      <c r="Y679" s="13">
        <f t="shared" si="1"/>
        <v>1.1170862945642039E-113</v>
      </c>
      <c r="Z679" s="13">
        <f t="shared" si="2"/>
        <v>1.9345461224712228</v>
      </c>
      <c r="AA679" s="13">
        <f t="shared" si="3"/>
        <v>5.994662606439502E-78</v>
      </c>
      <c r="AB679" s="13">
        <f t="shared" si="4"/>
        <v>2.2490781079431478E-16</v>
      </c>
      <c r="AC679" s="13">
        <f t="shared" si="5"/>
        <v>2838.7089456762455</v>
      </c>
      <c r="AD679" s="2"/>
      <c r="AE679" s="13">
        <v>1.9345461224712228</v>
      </c>
      <c r="AF679" s="13">
        <f t="shared" si="6"/>
        <v>25.42697829260479</v>
      </c>
      <c r="AG679" s="13">
        <f t="shared" si="7"/>
        <v>168.7336349709071</v>
      </c>
      <c r="AH679" s="13">
        <f t="shared" si="8"/>
        <v>1527.0595491801446</v>
      </c>
      <c r="AI679" s="13">
        <v>2838.7089456761832</v>
      </c>
      <c r="AJ679" s="2"/>
    </row>
    <row r="680" spans="1:3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5">
        <f t="shared" si="9"/>
        <v>53.849999999998929</v>
      </c>
      <c r="X680" s="16">
        <f t="shared" si="0"/>
        <v>0</v>
      </c>
      <c r="Y680" s="16">
        <f t="shared" si="1"/>
        <v>8.5863342514302466E-118</v>
      </c>
      <c r="Z680" s="16">
        <f t="shared" si="2"/>
        <v>1.3243657205904693</v>
      </c>
      <c r="AA680" s="16">
        <f t="shared" si="3"/>
        <v>7.6901066623158595E-85</v>
      </c>
      <c r="AB680" s="16">
        <f t="shared" si="4"/>
        <v>4.2564392850547719E-18</v>
      </c>
      <c r="AC680" s="16">
        <f t="shared" si="5"/>
        <v>2422.1584089182284</v>
      </c>
      <c r="AD680" s="2"/>
      <c r="AE680" s="16">
        <v>1.3243657205904693</v>
      </c>
      <c r="AF680" s="16">
        <f t="shared" si="6"/>
        <v>18.377075181477473</v>
      </c>
      <c r="AG680" s="16">
        <f t="shared" si="7"/>
        <v>128.81776649314918</v>
      </c>
      <c r="AH680" s="16">
        <f t="shared" si="8"/>
        <v>1232.1488066713584</v>
      </c>
      <c r="AI680" s="16">
        <v>2422.1584089181738</v>
      </c>
      <c r="AJ680" s="2"/>
    </row>
    <row r="681" spans="1:3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2">
        <f t="shared" si="9"/>
        <v>53.899999999998926</v>
      </c>
      <c r="X681" s="13">
        <f t="shared" si="0"/>
        <v>0</v>
      </c>
      <c r="Y681" s="13">
        <f t="shared" si="1"/>
        <v>5.6159964075097582E-122</v>
      </c>
      <c r="Z681" s="13">
        <f t="shared" si="2"/>
        <v>0.9008089496973104</v>
      </c>
      <c r="AA681" s="13">
        <f t="shared" si="3"/>
        <v>5.219979822073472E-92</v>
      </c>
      <c r="AB681" s="13">
        <f t="shared" si="4"/>
        <v>6.8703768289807777E-20</v>
      </c>
      <c r="AC681" s="13">
        <f t="shared" si="5"/>
        <v>2053.6191579438705</v>
      </c>
      <c r="AD681" s="2"/>
      <c r="AE681" s="13">
        <v>0.9008089496973104</v>
      </c>
      <c r="AF681" s="13">
        <f t="shared" si="6"/>
        <v>13.19664568262322</v>
      </c>
      <c r="AG681" s="13">
        <f t="shared" si="7"/>
        <v>97.715895794462952</v>
      </c>
      <c r="AH681" s="13">
        <f t="shared" si="8"/>
        <v>987.86079741797607</v>
      </c>
      <c r="AI681" s="13">
        <v>2053.6191579438205</v>
      </c>
      <c r="AJ681" s="2"/>
    </row>
    <row r="682" spans="1:3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5">
        <f t="shared" si="9"/>
        <v>53.949999999998923</v>
      </c>
      <c r="X682" s="16">
        <f t="shared" si="0"/>
        <v>0</v>
      </c>
      <c r="Y682" s="16">
        <f t="shared" si="1"/>
        <v>3.1256749699884706E-126</v>
      </c>
      <c r="Z682" s="16">
        <f t="shared" si="2"/>
        <v>0.60877018177651065</v>
      </c>
      <c r="AA682" s="16">
        <f t="shared" si="3"/>
        <v>1.874882809440979E-99</v>
      </c>
      <c r="AB682" s="16">
        <f t="shared" si="4"/>
        <v>9.4581649489607038E-22</v>
      </c>
      <c r="AC682" s="16">
        <f t="shared" si="5"/>
        <v>1730.1069876541183</v>
      </c>
      <c r="AD682" s="2"/>
      <c r="AE682" s="16">
        <v>0.60877018177651065</v>
      </c>
      <c r="AF682" s="16">
        <f t="shared" si="6"/>
        <v>9.4157787608400252</v>
      </c>
      <c r="AG682" s="16">
        <f t="shared" si="7"/>
        <v>73.649536998133513</v>
      </c>
      <c r="AH682" s="16">
        <f t="shared" si="8"/>
        <v>786.96196740671098</v>
      </c>
      <c r="AI682" s="16">
        <v>1730.1069876540755</v>
      </c>
      <c r="AJ682" s="2"/>
    </row>
    <row r="683" spans="1:3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2">
        <f t="shared" si="9"/>
        <v>53.99999999999892</v>
      </c>
      <c r="X683" s="13">
        <f t="shared" si="0"/>
        <v>0</v>
      </c>
      <c r="Y683" s="13">
        <f t="shared" si="1"/>
        <v>1.4803307885004614E-130</v>
      </c>
      <c r="Z683" s="13">
        <f t="shared" si="2"/>
        <v>0.40876148697804887</v>
      </c>
      <c r="AA683" s="13">
        <f t="shared" si="3"/>
        <v>3.5632662316582058E-107</v>
      </c>
      <c r="AB683" s="13">
        <f t="shared" si="4"/>
        <v>1.1105175340181308E-23</v>
      </c>
      <c r="AC683" s="13">
        <f t="shared" si="5"/>
        <v>1448.3105746561694</v>
      </c>
      <c r="AD683" s="2"/>
      <c r="AE683" s="13">
        <v>0.40876148697804887</v>
      </c>
      <c r="AF683" s="13">
        <f t="shared" si="6"/>
        <v>6.6750490162068079</v>
      </c>
      <c r="AG683" s="13">
        <f t="shared" si="7"/>
        <v>55.155671289368414</v>
      </c>
      <c r="AH683" s="13">
        <f t="shared" si="8"/>
        <v>622.92697791324849</v>
      </c>
      <c r="AI683" s="13">
        <v>1448.3105746561321</v>
      </c>
      <c r="AJ683" s="2"/>
    </row>
    <row r="684" spans="1:3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5">
        <f t="shared" si="9"/>
        <v>54.049999999998917</v>
      </c>
      <c r="X684" s="16">
        <f t="shared" si="0"/>
        <v>0</v>
      </c>
      <c r="Y684" s="16">
        <f t="shared" si="1"/>
        <v>5.9658412396188708E-135</v>
      </c>
      <c r="Z684" s="16">
        <f t="shared" si="2"/>
        <v>0.27269833553105166</v>
      </c>
      <c r="AA684" s="16">
        <f t="shared" si="3"/>
        <v>3.5833667483850277E-115</v>
      </c>
      <c r="AB684" s="16">
        <f t="shared" si="4"/>
        <v>1.1120803495601469E-25</v>
      </c>
      <c r="AC684" s="16">
        <f t="shared" si="5"/>
        <v>1204.7200311398765</v>
      </c>
      <c r="AD684" s="2"/>
      <c r="AE684" s="16">
        <v>0.27269833553105166</v>
      </c>
      <c r="AF684" s="16">
        <f t="shared" si="6"/>
        <v>4.7017355386497037</v>
      </c>
      <c r="AG684" s="16">
        <f t="shared" si="7"/>
        <v>41.041731875423608</v>
      </c>
      <c r="AH684" s="16">
        <f t="shared" si="8"/>
        <v>489.94342997390908</v>
      </c>
      <c r="AI684" s="16">
        <v>1204.7200311398444</v>
      </c>
      <c r="AJ684" s="2"/>
    </row>
    <row r="685" spans="1:3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2">
        <f t="shared" si="9"/>
        <v>54.099999999998914</v>
      </c>
      <c r="X685" s="13">
        <f t="shared" si="0"/>
        <v>0</v>
      </c>
      <c r="Y685" s="13">
        <f t="shared" si="1"/>
        <v>2.0458913925016958E-139</v>
      </c>
      <c r="Z685" s="13">
        <f t="shared" si="2"/>
        <v>0.1807552509699952</v>
      </c>
      <c r="AA685" s="13">
        <f t="shared" si="3"/>
        <v>1.9067909796213271E-123</v>
      </c>
      <c r="AB685" s="13">
        <f t="shared" si="4"/>
        <v>9.4981521929987328E-28</v>
      </c>
      <c r="AC685" s="13">
        <f t="shared" si="5"/>
        <v>995.74067917896457</v>
      </c>
      <c r="AD685" s="2"/>
      <c r="AE685" s="13">
        <v>0.1807552509699952</v>
      </c>
      <c r="AF685" s="13">
        <f t="shared" si="6"/>
        <v>3.2905421661815821</v>
      </c>
      <c r="AG685" s="13">
        <f t="shared" si="7"/>
        <v>30.344258776502127</v>
      </c>
      <c r="AH685" s="13">
        <f t="shared" si="8"/>
        <v>382.89539160833669</v>
      </c>
      <c r="AI685" s="13">
        <v>995.74067917893717</v>
      </c>
      <c r="AJ685" s="2"/>
    </row>
    <row r="686" spans="1:3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5">
        <f t="shared" si="9"/>
        <v>54.149999999998911</v>
      </c>
      <c r="X686" s="16">
        <f t="shared" si="0"/>
        <v>0</v>
      </c>
      <c r="Y686" s="16">
        <f t="shared" si="1"/>
        <v>5.9702349379692348E-144</v>
      </c>
      <c r="Z686" s="16">
        <f t="shared" si="2"/>
        <v>0.11904064636524805</v>
      </c>
      <c r="AA686" s="16">
        <f t="shared" si="3"/>
        <v>5.368880781146933E-132</v>
      </c>
      <c r="AB686" s="16">
        <f t="shared" si="4"/>
        <v>6.9188560035204564E-30</v>
      </c>
      <c r="AC686" s="16">
        <f t="shared" si="5"/>
        <v>817.79049119936064</v>
      </c>
      <c r="AD686" s="2"/>
      <c r="AE686" s="16">
        <v>0.11904064636524805</v>
      </c>
      <c r="AF686" s="16">
        <f t="shared" si="6"/>
        <v>2.2881381805199341</v>
      </c>
      <c r="AG686" s="16">
        <f t="shared" si="7"/>
        <v>22.291676833850719</v>
      </c>
      <c r="AH686" s="16">
        <f t="shared" si="8"/>
        <v>297.33069305926711</v>
      </c>
      <c r="AI686" s="16">
        <v>817.79049119933734</v>
      </c>
      <c r="AJ686" s="2"/>
    </row>
    <row r="687" spans="1:3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2">
        <f t="shared" si="9"/>
        <v>54.199999999998909</v>
      </c>
      <c r="X687" s="13">
        <f t="shared" si="0"/>
        <v>0</v>
      </c>
      <c r="Y687" s="13">
        <f t="shared" si="1"/>
        <v>1.4825120473534859E-148</v>
      </c>
      <c r="Z687" s="13">
        <f t="shared" si="2"/>
        <v>7.7892483096066334E-2</v>
      </c>
      <c r="AA687" s="13">
        <f t="shared" si="3"/>
        <v>7.9989553776751373E-141</v>
      </c>
      <c r="AB687" s="13">
        <f t="shared" si="4"/>
        <v>4.2985469096744971E-32</v>
      </c>
      <c r="AC687" s="13">
        <f t="shared" si="5"/>
        <v>667.38055943822633</v>
      </c>
      <c r="AD687" s="2"/>
      <c r="AE687" s="13">
        <v>7.7892483096066334E-2</v>
      </c>
      <c r="AF687" s="13">
        <f t="shared" si="6"/>
        <v>1.5808933045105262</v>
      </c>
      <c r="AG687" s="13">
        <f t="shared" si="7"/>
        <v>16.271376484573448</v>
      </c>
      <c r="AH687" s="13">
        <f t="shared" si="8"/>
        <v>229.41655273626867</v>
      </c>
      <c r="AI687" s="13">
        <v>667.38055943820677</v>
      </c>
      <c r="AJ687" s="2"/>
    </row>
    <row r="688" spans="1:3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5">
        <f t="shared" si="9"/>
        <v>54.249999999998906</v>
      </c>
      <c r="X688" s="16">
        <f t="shared" si="0"/>
        <v>0</v>
      </c>
      <c r="Y688" s="16">
        <f t="shared" si="1"/>
        <v>3.1325860102502258E-153</v>
      </c>
      <c r="Z688" s="16">
        <f t="shared" si="2"/>
        <v>5.0639771764750388E-2</v>
      </c>
      <c r="AA688" s="16">
        <f t="shared" si="3"/>
        <v>6.3059660750828063E-150</v>
      </c>
      <c r="AB688" s="16">
        <f t="shared" si="4"/>
        <v>2.2777248474838557E-34</v>
      </c>
      <c r="AC688" s="16">
        <f t="shared" si="5"/>
        <v>541.17875002902088</v>
      </c>
      <c r="AD688" s="2"/>
      <c r="AE688" s="16">
        <v>5.0639771764750388E-2</v>
      </c>
      <c r="AF688" s="16">
        <f t="shared" si="6"/>
        <v>1.0852465076036453</v>
      </c>
      <c r="AG688" s="16">
        <f t="shared" si="7"/>
        <v>11.801064925392193</v>
      </c>
      <c r="AH688" s="16">
        <f t="shared" si="8"/>
        <v>175.88757404076733</v>
      </c>
      <c r="AI688" s="16">
        <v>541.17875002900405</v>
      </c>
      <c r="AJ688" s="2"/>
    </row>
    <row r="689" spans="1:3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2">
        <f t="shared" si="9"/>
        <v>54.299999999998903</v>
      </c>
      <c r="X689" s="13">
        <f t="shared" si="0"/>
        <v>0</v>
      </c>
      <c r="Y689" s="13">
        <f t="shared" si="1"/>
        <v>5.6325588773136516E-158</v>
      </c>
      <c r="Z689" s="13">
        <f t="shared" si="2"/>
        <v>3.271024892163072E-2</v>
      </c>
      <c r="AA689" s="13">
        <f t="shared" si="3"/>
        <v>2.6305031614693462E-159</v>
      </c>
      <c r="AB689" s="13">
        <f t="shared" si="4"/>
        <v>1.0293736786214985E-36</v>
      </c>
      <c r="AC689" s="13">
        <f t="shared" si="5"/>
        <v>436.05734600736514</v>
      </c>
      <c r="AD689" s="2"/>
      <c r="AE689" s="13">
        <v>3.271024892163072E-2</v>
      </c>
      <c r="AF689" s="13">
        <f t="shared" si="6"/>
        <v>0.74021819885362805</v>
      </c>
      <c r="AG689" s="13">
        <f t="shared" si="7"/>
        <v>8.5041998186375078</v>
      </c>
      <c r="AH689" s="13">
        <f t="shared" si="8"/>
        <v>133.98956301896825</v>
      </c>
      <c r="AI689" s="13">
        <v>436.05734600735155</v>
      </c>
      <c r="AJ689" s="2"/>
    </row>
    <row r="690" spans="1:3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5">
        <f t="shared" si="9"/>
        <v>54.3499999999989</v>
      </c>
      <c r="X690" s="16">
        <f t="shared" si="0"/>
        <v>0</v>
      </c>
      <c r="Y690" s="16">
        <f t="shared" si="1"/>
        <v>8.6179989993590572E-163</v>
      </c>
      <c r="Z690" s="16">
        <f t="shared" si="2"/>
        <v>2.0992872932323957E-2</v>
      </c>
      <c r="AA690" s="16">
        <f t="shared" si="3"/>
        <v>5.8062384625333106E-169</v>
      </c>
      <c r="AB690" s="16">
        <f t="shared" si="4"/>
        <v>3.9676839354699255E-39</v>
      </c>
      <c r="AC690" s="16">
        <f t="shared" si="5"/>
        <v>349.12597985551184</v>
      </c>
      <c r="AD690" s="2"/>
      <c r="AE690" s="16">
        <v>2.0992872932323957E-2</v>
      </c>
      <c r="AF690" s="16">
        <f t="shared" si="6"/>
        <v>0.50164518081242782</v>
      </c>
      <c r="AG690" s="16">
        <f t="shared" si="7"/>
        <v>6.0892115540686227</v>
      </c>
      <c r="AH690" s="16">
        <f t="shared" si="8"/>
        <v>101.42200348750205</v>
      </c>
      <c r="AI690" s="16">
        <v>349.1259798555007</v>
      </c>
      <c r="AJ690" s="2"/>
    </row>
    <row r="691" spans="1:3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2">
        <f t="shared" si="9"/>
        <v>54.399999999998897</v>
      </c>
      <c r="X691" s="13">
        <f t="shared" si="0"/>
        <v>0</v>
      </c>
      <c r="Y691" s="13">
        <f t="shared" si="1"/>
        <v>1.1220316349195995E-167</v>
      </c>
      <c r="Z691" s="13">
        <f t="shared" si="2"/>
        <v>1.3386154201403091E-2</v>
      </c>
      <c r="AA691" s="13">
        <f t="shared" si="3"/>
        <v>6.7814060720975484E-179</v>
      </c>
      <c r="AB691" s="13">
        <f t="shared" si="4"/>
        <v>1.3043474386494106E-41</v>
      </c>
      <c r="AC691" s="13">
        <f t="shared" si="5"/>
        <v>277.75150216996826</v>
      </c>
      <c r="AD691" s="2"/>
      <c r="AE691" s="13">
        <v>1.3386154201403091E-2</v>
      </c>
      <c r="AF691" s="13">
        <f t="shared" si="6"/>
        <v>0.33778398512964136</v>
      </c>
      <c r="AG691" s="13">
        <f t="shared" si="7"/>
        <v>4.3321553302945066</v>
      </c>
      <c r="AH691" s="13">
        <f t="shared" si="8"/>
        <v>76.281425911077022</v>
      </c>
      <c r="AI691" s="13">
        <v>277.75150216995911</v>
      </c>
      <c r="AJ691" s="2"/>
    </row>
    <row r="692" spans="1:3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5">
        <f t="shared" si="9"/>
        <v>54.449999999998894</v>
      </c>
      <c r="X692" s="16">
        <f t="shared" si="0"/>
        <v>0</v>
      </c>
      <c r="Y692" s="16">
        <f t="shared" si="1"/>
        <v>1.2430875799878102E-172</v>
      </c>
      <c r="Z692" s="16">
        <f t="shared" si="2"/>
        <v>8.4807778762573446E-3</v>
      </c>
      <c r="AA692" s="16">
        <f t="shared" si="3"/>
        <v>4.1909596104445567E-189</v>
      </c>
      <c r="AB692" s="16">
        <f t="shared" si="4"/>
        <v>3.6571411355668012E-44</v>
      </c>
      <c r="AC692" s="16">
        <f t="shared" si="5"/>
        <v>219.56663883430519</v>
      </c>
      <c r="AD692" s="2"/>
      <c r="AE692" s="16">
        <v>8.4807778762573446E-3</v>
      </c>
      <c r="AF692" s="16">
        <f t="shared" si="6"/>
        <v>0.22598883872144027</v>
      </c>
      <c r="AG692" s="16">
        <f t="shared" si="7"/>
        <v>3.0624029014348189</v>
      </c>
      <c r="AH692" s="16">
        <f t="shared" si="8"/>
        <v>57.007345982853735</v>
      </c>
      <c r="AI692" s="16">
        <v>219.56663883429741</v>
      </c>
      <c r="AJ692" s="2"/>
    </row>
    <row r="693" spans="1:3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2">
        <f t="shared" si="9"/>
        <v>54.499999999998892</v>
      </c>
      <c r="X693" s="13">
        <f t="shared" si="0"/>
        <v>0</v>
      </c>
      <c r="Y693" s="13">
        <f t="shared" si="1"/>
        <v>1.17191554789343E-177</v>
      </c>
      <c r="Z693" s="13">
        <f t="shared" si="2"/>
        <v>5.3384044284991196E-3</v>
      </c>
      <c r="AA693" s="13">
        <f t="shared" si="3"/>
        <v>1.3704905403557722E-199</v>
      </c>
      <c r="AB693" s="13">
        <f t="shared" si="4"/>
        <v>8.7454540556285617E-47</v>
      </c>
      <c r="AC693" s="13">
        <f t="shared" si="5"/>
        <v>172.46937094141953</v>
      </c>
      <c r="AD693" s="2"/>
      <c r="AE693" s="13">
        <v>5.3384044284991196E-3</v>
      </c>
      <c r="AF693" s="13">
        <f t="shared" si="6"/>
        <v>0.15022439042641117</v>
      </c>
      <c r="AG693" s="13">
        <f t="shared" si="7"/>
        <v>2.1509780848281372</v>
      </c>
      <c r="AH693" s="13">
        <f t="shared" si="8"/>
        <v>42.33194715038659</v>
      </c>
      <c r="AI693" s="13">
        <v>172.46937094141356</v>
      </c>
      <c r="AJ693" s="2"/>
    </row>
    <row r="694" spans="1:3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5">
        <f t="shared" si="9"/>
        <v>54.549999999998889</v>
      </c>
      <c r="X694" s="16">
        <f t="shared" si="0"/>
        <v>0</v>
      </c>
      <c r="Y694" s="16">
        <f t="shared" si="1"/>
        <v>9.4013207087744663E-183</v>
      </c>
      <c r="Z694" s="16">
        <f t="shared" si="2"/>
        <v>3.3387444122644576E-3</v>
      </c>
      <c r="AA694" s="16">
        <f t="shared" si="3"/>
        <v>2.3714143916751053E-210</v>
      </c>
      <c r="AB694" s="16">
        <f t="shared" si="4"/>
        <v>1.7836729034013857E-49</v>
      </c>
      <c r="AC694" s="16">
        <f t="shared" si="5"/>
        <v>134.61494975256301</v>
      </c>
      <c r="AD694" s="2"/>
      <c r="AE694" s="16">
        <v>3.3387444122644576E-3</v>
      </c>
      <c r="AF694" s="16">
        <f t="shared" si="6"/>
        <v>9.9220048506770478E-2</v>
      </c>
      <c r="AG694" s="16">
        <f t="shared" si="7"/>
        <v>1.5011531230110093</v>
      </c>
      <c r="AH694" s="16">
        <f t="shared" si="8"/>
        <v>31.234249175471252</v>
      </c>
      <c r="AI694" s="16">
        <v>134.61494975255823</v>
      </c>
      <c r="AJ694" s="2"/>
    </row>
    <row r="695" spans="1:3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2">
        <f t="shared" si="9"/>
        <v>54.599999999998886</v>
      </c>
      <c r="X695" s="13">
        <f t="shared" si="0"/>
        <v>0</v>
      </c>
      <c r="Y695" s="13">
        <f t="shared" si="1"/>
        <v>6.4176995779342259E-188</v>
      </c>
      <c r="Z695" s="13">
        <f t="shared" si="2"/>
        <v>2.0746784448130483E-3</v>
      </c>
      <c r="AA695" s="13">
        <f t="shared" si="3"/>
        <v>2.1712393555256744E-221</v>
      </c>
      <c r="AB695" s="13">
        <f t="shared" si="4"/>
        <v>3.1027035142104641E-52</v>
      </c>
      <c r="AC695" s="13">
        <f t="shared" si="5"/>
        <v>104.40235519197118</v>
      </c>
      <c r="AD695" s="2"/>
      <c r="AE695" s="13">
        <v>2.0746784448130483E-3</v>
      </c>
      <c r="AF695" s="13">
        <f t="shared" si="6"/>
        <v>6.5112436100647486E-2</v>
      </c>
      <c r="AG695" s="13">
        <f t="shared" si="7"/>
        <v>1.0409487620047069</v>
      </c>
      <c r="AH695" s="13">
        <f t="shared" si="8"/>
        <v>22.899146664280426</v>
      </c>
      <c r="AI695" s="13">
        <v>104.40235519196737</v>
      </c>
      <c r="AJ695" s="2"/>
    </row>
    <row r="696" spans="1:3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5">
        <f t="shared" si="9"/>
        <v>54.649999999998883</v>
      </c>
      <c r="X696" s="16">
        <f t="shared" si="0"/>
        <v>0</v>
      </c>
      <c r="Y696" s="16">
        <f t="shared" si="1"/>
        <v>3.727930967339345E-193</v>
      </c>
      <c r="Z696" s="16">
        <f t="shared" si="2"/>
        <v>1.2808973699892506E-3</v>
      </c>
      <c r="AA696" s="16">
        <f t="shared" si="3"/>
        <v>1.0519056690303179E-232</v>
      </c>
      <c r="AB696" s="16">
        <f t="shared" si="4"/>
        <v>4.6031756892628239E-55</v>
      </c>
      <c r="AC696" s="16">
        <f t="shared" si="5"/>
        <v>80.456842876949253</v>
      </c>
      <c r="AD696" s="2"/>
      <c r="AE696" s="16">
        <v>1.2808973699892506E-3</v>
      </c>
      <c r="AF696" s="16">
        <f t="shared" si="6"/>
        <v>4.2455501773048993E-2</v>
      </c>
      <c r="AG696" s="16">
        <f t="shared" si="7"/>
        <v>0.71721450201476722</v>
      </c>
      <c r="AH696" s="16">
        <f t="shared" si="8"/>
        <v>16.681416634779278</v>
      </c>
      <c r="AI696" s="16">
        <v>80.456842876946254</v>
      </c>
      <c r="AJ696" s="2"/>
    </row>
    <row r="697" spans="1:3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2">
        <f t="shared" si="9"/>
        <v>54.69999999999888</v>
      </c>
      <c r="X697" s="13">
        <f t="shared" si="0"/>
        <v>0</v>
      </c>
      <c r="Y697" s="13">
        <f t="shared" si="1"/>
        <v>1.8426985885236052E-198</v>
      </c>
      <c r="Z697" s="13">
        <f t="shared" si="2"/>
        <v>7.8573082556808568E-4</v>
      </c>
      <c r="AA697" s="13">
        <f t="shared" si="3"/>
        <v>2.696588829567856E-244</v>
      </c>
      <c r="AB697" s="13">
        <f t="shared" si="4"/>
        <v>5.82461245823259E-58</v>
      </c>
      <c r="AC697" s="13">
        <f t="shared" si="5"/>
        <v>61.610022334000092</v>
      </c>
      <c r="AD697" s="2"/>
      <c r="AE697" s="13">
        <v>7.8573082556808568E-4</v>
      </c>
      <c r="AF697" s="13">
        <f t="shared" si="6"/>
        <v>2.7504866196206627E-2</v>
      </c>
      <c r="AG697" s="13">
        <f t="shared" si="7"/>
        <v>0.49100297345429639</v>
      </c>
      <c r="AH697" s="13">
        <f t="shared" si="8"/>
        <v>12.074578042916954</v>
      </c>
      <c r="AI697" s="13">
        <v>61.61002233399774</v>
      </c>
      <c r="AJ697" s="2"/>
    </row>
    <row r="698" spans="1:3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5">
        <f t="shared" si="9"/>
        <v>54.749999999998877</v>
      </c>
      <c r="X698" s="16">
        <f t="shared" si="0"/>
        <v>0</v>
      </c>
      <c r="Y698" s="16">
        <f t="shared" si="1"/>
        <v>7.7506603911363425E-204</v>
      </c>
      <c r="Z698" s="16">
        <f t="shared" si="2"/>
        <v>4.7888272169755092E-4</v>
      </c>
      <c r="AA698" s="16">
        <f t="shared" si="3"/>
        <v>3.6578130820850978E-256</v>
      </c>
      <c r="AB698" s="16">
        <f t="shared" si="4"/>
        <v>6.285918258686367E-61</v>
      </c>
      <c r="AC698" s="16">
        <f t="shared" si="5"/>
        <v>46.87868643279716</v>
      </c>
      <c r="AD698" s="2"/>
      <c r="AE698" s="16">
        <v>4.7888272169755092E-4</v>
      </c>
      <c r="AF698" s="16">
        <f t="shared" si="6"/>
        <v>1.7704783469179409E-2</v>
      </c>
      <c r="AG698" s="16">
        <f t="shared" si="7"/>
        <v>0.33399082179924983</v>
      </c>
      <c r="AH698" s="16">
        <f t="shared" si="8"/>
        <v>8.6843316188262261</v>
      </c>
      <c r="AI698" s="16">
        <v>46.878686432795334</v>
      </c>
      <c r="AJ698" s="2"/>
    </row>
    <row r="699" spans="1:3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2">
        <f t="shared" si="9"/>
        <v>54.799999999998875</v>
      </c>
      <c r="X699" s="13">
        <f t="shared" si="0"/>
        <v>0</v>
      </c>
      <c r="Y699" s="13">
        <f t="shared" si="1"/>
        <v>2.7740933793579557E-209</v>
      </c>
      <c r="Z699" s="13">
        <f t="shared" si="2"/>
        <v>2.8998829098202144E-4</v>
      </c>
      <c r="AA699" s="13">
        <f t="shared" si="3"/>
        <v>2.6254099610860347E-268</v>
      </c>
      <c r="AB699" s="13">
        <f t="shared" si="4"/>
        <v>5.7857895689472813E-64</v>
      </c>
      <c r="AC699" s="13">
        <f t="shared" si="5"/>
        <v>35.443384833813589</v>
      </c>
      <c r="AD699" s="2"/>
      <c r="AE699" s="13">
        <v>2.8998829098202144E-4</v>
      </c>
      <c r="AF699" s="13">
        <f t="shared" si="6"/>
        <v>1.132340986444268E-2</v>
      </c>
      <c r="AG699" s="13">
        <f t="shared" si="7"/>
        <v>0.22573572342230214</v>
      </c>
      <c r="AH699" s="13">
        <f t="shared" si="8"/>
        <v>6.206206728923342</v>
      </c>
      <c r="AI699" s="13">
        <v>35.443384833812175</v>
      </c>
      <c r="AJ699" s="2"/>
    </row>
    <row r="700" spans="1:3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5">
        <f t="shared" si="9"/>
        <v>54.849999999998872</v>
      </c>
      <c r="X700" s="16">
        <f t="shared" si="0"/>
        <v>0</v>
      </c>
      <c r="Y700" s="16">
        <f t="shared" si="1"/>
        <v>8.4489240669546956E-215</v>
      </c>
      <c r="Z700" s="16">
        <f t="shared" si="2"/>
        <v>1.7447277787068302E-4</v>
      </c>
      <c r="AA700" s="16">
        <f t="shared" si="3"/>
        <v>9.9710659945908556E-281</v>
      </c>
      <c r="AB700" s="16">
        <f t="shared" si="4"/>
        <v>4.5420169403363923E-67</v>
      </c>
      <c r="AC700" s="16">
        <f t="shared" si="5"/>
        <v>26.627514804796746</v>
      </c>
      <c r="AD700" s="2"/>
      <c r="AE700" s="16">
        <v>1.7447277787068305E-4</v>
      </c>
      <c r="AF700" s="16">
        <f t="shared" si="6"/>
        <v>7.1956388806579397E-3</v>
      </c>
      <c r="AG700" s="16">
        <f t="shared" si="7"/>
        <v>0.15159378764171241</v>
      </c>
      <c r="AH700" s="16">
        <f t="shared" si="8"/>
        <v>4.4069840570096668</v>
      </c>
      <c r="AI700" s="16">
        <v>26.627514804795656</v>
      </c>
      <c r="AJ700" s="2"/>
    </row>
    <row r="701" spans="1:3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2">
        <f t="shared" si="9"/>
        <v>54.899999999998869</v>
      </c>
      <c r="X701" s="13">
        <f t="shared" si="0"/>
        <v>0</v>
      </c>
      <c r="Y701" s="13">
        <f t="shared" si="1"/>
        <v>2.1896752084846902E-220</v>
      </c>
      <c r="Z701" s="13">
        <f t="shared" si="2"/>
        <v>1.0429675767820275E-4</v>
      </c>
      <c r="AA701" s="13">
        <f t="shared" si="3"/>
        <v>2.0038024113156925E-293</v>
      </c>
      <c r="AB701" s="13">
        <f t="shared" si="4"/>
        <v>3.0410746129868099E-70</v>
      </c>
      <c r="AC701" s="13">
        <f t="shared" si="5"/>
        <v>19.877500262504242</v>
      </c>
      <c r="AD701" s="2"/>
      <c r="AE701" s="13">
        <v>1.0429675767820275E-4</v>
      </c>
      <c r="AF701" s="13">
        <f t="shared" si="6"/>
        <v>4.5432539911129614E-3</v>
      </c>
      <c r="AG701" s="13">
        <f t="shared" si="7"/>
        <v>0.10115278992430132</v>
      </c>
      <c r="AH701" s="13">
        <f t="shared" si="8"/>
        <v>3.1094395887166977</v>
      </c>
      <c r="AI701" s="13">
        <v>19.877500262503414</v>
      </c>
      <c r="AJ701" s="2"/>
    </row>
    <row r="702" spans="1:3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5">
        <f t="shared" si="9"/>
        <v>54.949999999998866</v>
      </c>
      <c r="X702" s="16">
        <f t="shared" si="0"/>
        <v>0</v>
      </c>
      <c r="Y702" s="16">
        <f t="shared" si="1"/>
        <v>4.8289861391252221E-226</v>
      </c>
      <c r="Z702" s="16">
        <f t="shared" si="2"/>
        <v>6.1945513560404317E-5</v>
      </c>
      <c r="AA702" s="16">
        <f t="shared" si="3"/>
        <v>2.13077229474331E-306</v>
      </c>
      <c r="AB702" s="16">
        <f t="shared" si="4"/>
        <v>1.736591265439469E-73</v>
      </c>
      <c r="AC702" s="16">
        <f t="shared" si="5"/>
        <v>14.744450416436107</v>
      </c>
      <c r="AD702" s="2"/>
      <c r="AE702" s="16">
        <v>6.1945513560404317E-5</v>
      </c>
      <c r="AF702" s="16">
        <f t="shared" si="6"/>
        <v>2.8501662846894126E-3</v>
      </c>
      <c r="AG702" s="16">
        <f t="shared" si="7"/>
        <v>6.7064034665398314E-2</v>
      </c>
      <c r="AH702" s="16">
        <f t="shared" si="8"/>
        <v>2.1799582215772721</v>
      </c>
      <c r="AI702" s="16">
        <v>14.744450416435466</v>
      </c>
      <c r="AJ702" s="2"/>
    </row>
    <row r="703" spans="1:3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2">
        <f t="shared" si="9"/>
        <v>54.999999999998863</v>
      </c>
      <c r="X703" s="13">
        <f t="shared" si="0"/>
        <v>0</v>
      </c>
      <c r="Y703" s="13">
        <f t="shared" si="1"/>
        <v>9.0621277361598801E-232</v>
      </c>
      <c r="Z703" s="13">
        <f t="shared" si="2"/>
        <v>3.6554834891395943E-5</v>
      </c>
      <c r="AA703" s="13">
        <f t="shared" si="3"/>
        <v>0</v>
      </c>
      <c r="AB703" s="13">
        <f t="shared" si="4"/>
        <v>8.4578574157777703E-77</v>
      </c>
      <c r="AC703" s="13">
        <f t="shared" si="5"/>
        <v>10.867536292702113</v>
      </c>
      <c r="AD703" s="2"/>
      <c r="AE703" s="13">
        <v>3.6554834891395943E-5</v>
      </c>
      <c r="AF703" s="13">
        <f t="shared" si="6"/>
        <v>1.7765560119876506E-3</v>
      </c>
      <c r="AG703" s="13">
        <f t="shared" si="7"/>
        <v>4.4179097527504624E-2</v>
      </c>
      <c r="AH703" s="13">
        <f t="shared" si="8"/>
        <v>1.5185867985874404</v>
      </c>
      <c r="AI703" s="13">
        <v>10.867536292701638</v>
      </c>
      <c r="AJ703" s="2"/>
    </row>
    <row r="704" spans="1:3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5">
        <f t="shared" si="9"/>
        <v>55.04999999999886</v>
      </c>
      <c r="X704" s="16">
        <f t="shared" si="0"/>
        <v>0</v>
      </c>
      <c r="Y704" s="16">
        <f t="shared" si="1"/>
        <v>1.4471127282405591E-237</v>
      </c>
      <c r="Z704" s="16">
        <f t="shared" si="2"/>
        <v>2.1432642208252473E-5</v>
      </c>
      <c r="AA704" s="16">
        <f t="shared" si="3"/>
        <v>0</v>
      </c>
      <c r="AB704" s="16">
        <f t="shared" si="4"/>
        <v>3.5133006587815254E-80</v>
      </c>
      <c r="AC704" s="16">
        <f t="shared" si="5"/>
        <v>7.9591977946333463</v>
      </c>
      <c r="AD704" s="2"/>
      <c r="AE704" s="16">
        <v>2.1432642208252473E-5</v>
      </c>
      <c r="AF704" s="16">
        <f t="shared" si="6"/>
        <v>1.1002544545362985E-3</v>
      </c>
      <c r="AG704" s="16">
        <f t="shared" si="7"/>
        <v>2.8917407354837721E-2</v>
      </c>
      <c r="AH704" s="16">
        <f t="shared" si="8"/>
        <v>1.0511300994996207</v>
      </c>
      <c r="AI704" s="16">
        <v>7.9591977946329928</v>
      </c>
      <c r="AJ704" s="2"/>
    </row>
    <row r="705" spans="1:3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2">
        <f t="shared" si="9"/>
        <v>55.099999999998857</v>
      </c>
      <c r="X705" s="13">
        <f t="shared" si="0"/>
        <v>0</v>
      </c>
      <c r="Y705" s="13">
        <f t="shared" si="1"/>
        <v>1.9664029202948382E-243</v>
      </c>
      <c r="Z705" s="13">
        <f t="shared" si="2"/>
        <v>1.2485401704941048E-5</v>
      </c>
      <c r="AA705" s="13">
        <f t="shared" si="3"/>
        <v>0</v>
      </c>
      <c r="AB705" s="13">
        <f t="shared" si="4"/>
        <v>1.2446936827369161E-83</v>
      </c>
      <c r="AC705" s="13">
        <f t="shared" si="5"/>
        <v>5.7921951315028517</v>
      </c>
      <c r="AD705" s="2"/>
      <c r="AE705" s="13">
        <v>1.2485401704941048E-5</v>
      </c>
      <c r="AF705" s="13">
        <f t="shared" si="6"/>
        <v>6.770377600989314E-4</v>
      </c>
      <c r="AG705" s="13">
        <f t="shared" si="7"/>
        <v>1.880690003478273E-2</v>
      </c>
      <c r="AH705" s="13">
        <f t="shared" si="8"/>
        <v>0.72293412835357806</v>
      </c>
      <c r="AI705" s="13">
        <v>5.7921951315025941</v>
      </c>
      <c r="AJ705" s="2"/>
    </row>
    <row r="706" spans="1:3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5">
        <f t="shared" si="9"/>
        <v>55.149999999998855</v>
      </c>
      <c r="X706" s="16">
        <f t="shared" si="0"/>
        <v>0</v>
      </c>
      <c r="Y706" s="16">
        <f t="shared" si="1"/>
        <v>2.2737390511152335E-249</v>
      </c>
      <c r="Z706" s="16">
        <f t="shared" si="2"/>
        <v>7.2264540296113632E-6</v>
      </c>
      <c r="AA706" s="16">
        <f t="shared" si="3"/>
        <v>0</v>
      </c>
      <c r="AB706" s="16">
        <f t="shared" si="4"/>
        <v>3.7609872758568827E-87</v>
      </c>
      <c r="AC706" s="16">
        <f t="shared" si="5"/>
        <v>4.1884444451148148</v>
      </c>
      <c r="AD706" s="2"/>
      <c r="AE706" s="16">
        <v>7.2264540296113632E-6</v>
      </c>
      <c r="AF706" s="16">
        <f t="shared" si="6"/>
        <v>4.1394073950781188E-4</v>
      </c>
      <c r="AG706" s="16">
        <f t="shared" si="7"/>
        <v>1.2153193980178058E-2</v>
      </c>
      <c r="AH706" s="16">
        <f t="shared" si="8"/>
        <v>0.49404485983940016</v>
      </c>
      <c r="AI706" s="16">
        <v>4.1884444451146221</v>
      </c>
      <c r="AJ706" s="2"/>
    </row>
    <row r="707" spans="1:3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2">
        <f t="shared" si="9"/>
        <v>55.199999999998852</v>
      </c>
      <c r="X707" s="13">
        <f t="shared" si="0"/>
        <v>0</v>
      </c>
      <c r="Y707" s="13">
        <f t="shared" si="1"/>
        <v>2.2372097031109861E-255</v>
      </c>
      <c r="Z707" s="13">
        <f t="shared" si="2"/>
        <v>4.1556971192353753E-6</v>
      </c>
      <c r="AA707" s="13">
        <f t="shared" si="3"/>
        <v>0</v>
      </c>
      <c r="AB707" s="13">
        <f t="shared" si="4"/>
        <v>9.6924474139356921E-91</v>
      </c>
      <c r="AC707" s="13">
        <f t="shared" si="5"/>
        <v>3.0095254686652217</v>
      </c>
      <c r="AD707" s="2"/>
      <c r="AE707" s="13">
        <v>4.1556971192353753E-6</v>
      </c>
      <c r="AF707" s="13">
        <f t="shared" si="6"/>
        <v>2.5146003749507601E-4</v>
      </c>
      <c r="AG707" s="13">
        <f t="shared" si="7"/>
        <v>7.8033124008805958E-3</v>
      </c>
      <c r="AH707" s="13">
        <f t="shared" si="8"/>
        <v>0.33547444690330569</v>
      </c>
      <c r="AI707" s="13">
        <v>3.0095254686650774</v>
      </c>
      <c r="AJ707" s="2"/>
    </row>
    <row r="708" spans="1:3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5">
        <f t="shared" si="9"/>
        <v>55.249999999998849</v>
      </c>
      <c r="X708" s="16">
        <f t="shared" si="0"/>
        <v>0</v>
      </c>
      <c r="Y708" s="16">
        <f t="shared" si="1"/>
        <v>1.8731421255322071E-261</v>
      </c>
      <c r="Z708" s="16">
        <f t="shared" si="2"/>
        <v>2.3744249587508327E-6</v>
      </c>
      <c r="AA708" s="16">
        <f t="shared" si="3"/>
        <v>0</v>
      </c>
      <c r="AB708" s="16">
        <f t="shared" si="4"/>
        <v>2.1303808682291445E-94</v>
      </c>
      <c r="AC708" s="16">
        <f t="shared" si="5"/>
        <v>2.1487157884165651</v>
      </c>
      <c r="AD708" s="2"/>
      <c r="AE708" s="16">
        <v>2.3744249587508327E-6</v>
      </c>
      <c r="AF708" s="16">
        <f t="shared" si="6"/>
        <v>1.5177676969281397E-4</v>
      </c>
      <c r="AG708" s="16">
        <f t="shared" si="7"/>
        <v>4.9783211404863664E-3</v>
      </c>
      <c r="AH708" s="16">
        <f t="shared" si="8"/>
        <v>0.2263486500173448</v>
      </c>
      <c r="AI708" s="16">
        <v>2.148715788416462</v>
      </c>
      <c r="AJ708" s="2"/>
    </row>
    <row r="709" spans="1:3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2">
        <f t="shared" si="9"/>
        <v>55.299999999998846</v>
      </c>
      <c r="X709" s="13">
        <f t="shared" si="0"/>
        <v>0</v>
      </c>
      <c r="Y709" s="13">
        <f t="shared" si="1"/>
        <v>1.3345434889738333E-267</v>
      </c>
      <c r="Z709" s="13">
        <f t="shared" si="2"/>
        <v>1.3479349332867167E-6</v>
      </c>
      <c r="AA709" s="13">
        <f t="shared" si="3"/>
        <v>0</v>
      </c>
      <c r="AB709" s="13">
        <f t="shared" si="4"/>
        <v>3.9936800027662163E-98</v>
      </c>
      <c r="AC709" s="13">
        <f t="shared" si="5"/>
        <v>1.5243883300885668</v>
      </c>
      <c r="AD709" s="2"/>
      <c r="AE709" s="13">
        <v>1.3479349332867167E-6</v>
      </c>
      <c r="AF709" s="13">
        <f t="shared" si="6"/>
        <v>9.1022164631954374E-5</v>
      </c>
      <c r="AG709" s="13">
        <f t="shared" si="7"/>
        <v>3.1557469675477065E-3</v>
      </c>
      <c r="AH709" s="13">
        <f t="shared" si="8"/>
        <v>0.15174758018796608</v>
      </c>
      <c r="AI709" s="13">
        <v>1.5243883300884937</v>
      </c>
      <c r="AJ709" s="2"/>
    </row>
    <row r="710" spans="1:3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5">
        <f t="shared" si="9"/>
        <v>55.349999999998843</v>
      </c>
      <c r="X710" s="16">
        <f t="shared" si="0"/>
        <v>0</v>
      </c>
      <c r="Y710" s="16">
        <f t="shared" si="1"/>
        <v>8.0908228779090091E-274</v>
      </c>
      <c r="Z710" s="16">
        <f t="shared" si="2"/>
        <v>7.602830831414384E-7</v>
      </c>
      <c r="AA710" s="16">
        <f t="shared" si="3"/>
        <v>0</v>
      </c>
      <c r="AB710" s="16">
        <f t="shared" si="4"/>
        <v>6.3853026190396048E-102</v>
      </c>
      <c r="AC710" s="16">
        <f t="shared" si="5"/>
        <v>1.0746027415645436</v>
      </c>
      <c r="AD710" s="2"/>
      <c r="AE710" s="16">
        <v>7.602830831414384E-7</v>
      </c>
      <c r="AF710" s="16">
        <f t="shared" si="6"/>
        <v>5.4236859952848081E-5</v>
      </c>
      <c r="AG710" s="16">
        <f t="shared" si="7"/>
        <v>1.9876357021958381E-3</v>
      </c>
      <c r="AH710" s="16">
        <f t="shared" si="8"/>
        <v>0.10108600725155134</v>
      </c>
      <c r="AI710" s="16">
        <v>1.0746027415644901</v>
      </c>
      <c r="AJ710" s="2"/>
    </row>
    <row r="711" spans="1:3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2">
        <f t="shared" si="9"/>
        <v>55.39999999999884</v>
      </c>
      <c r="X711" s="13">
        <f t="shared" si="0"/>
        <v>0</v>
      </c>
      <c r="Y711" s="13">
        <f t="shared" si="1"/>
        <v>4.1739824631245045E-280</v>
      </c>
      <c r="Z711" s="13">
        <f t="shared" si="2"/>
        <v>4.2606675082033491E-7</v>
      </c>
      <c r="AA711" s="13">
        <f t="shared" si="3"/>
        <v>0</v>
      </c>
      <c r="AB711" s="13">
        <f t="shared" si="4"/>
        <v>8.7072680872914242E-106</v>
      </c>
      <c r="AC711" s="13">
        <f t="shared" si="5"/>
        <v>0.75272434334110594</v>
      </c>
      <c r="AD711" s="2"/>
      <c r="AE711" s="13">
        <v>4.2606675082033491E-7</v>
      </c>
      <c r="AF711" s="13">
        <f t="shared" si="6"/>
        <v>3.211052759693019E-5</v>
      </c>
      <c r="AG711" s="13">
        <f t="shared" si="7"/>
        <v>1.2439036863862445E-3</v>
      </c>
      <c r="AH711" s="13">
        <f t="shared" si="8"/>
        <v>6.6909181018472069E-2</v>
      </c>
      <c r="AI711" s="13">
        <v>0.75272434334106708</v>
      </c>
      <c r="AJ711" s="2"/>
    </row>
    <row r="712" spans="1:3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5">
        <f t="shared" si="9"/>
        <v>55.449999999998838</v>
      </c>
      <c r="X712" s="16">
        <f t="shared" si="0"/>
        <v>0</v>
      </c>
      <c r="Y712" s="16">
        <f t="shared" si="1"/>
        <v>1.8323418864831252E-286</v>
      </c>
      <c r="Z712" s="16">
        <f t="shared" si="2"/>
        <v>2.3723342550838602E-7</v>
      </c>
      <c r="AA712" s="16">
        <f t="shared" si="3"/>
        <v>0</v>
      </c>
      <c r="AB712" s="16">
        <f t="shared" si="4"/>
        <v>1.0126854219133185E-109</v>
      </c>
      <c r="AC712" s="16">
        <f t="shared" si="5"/>
        <v>0.52391359390056902</v>
      </c>
      <c r="AD712" s="2"/>
      <c r="AE712" s="16">
        <v>2.3723342550838602E-7</v>
      </c>
      <c r="AF712" s="16">
        <f t="shared" si="6"/>
        <v>1.8888865287276922E-5</v>
      </c>
      <c r="AG712" s="16">
        <f t="shared" si="7"/>
        <v>7.7348531210334227E-4</v>
      </c>
      <c r="AH712" s="16">
        <f t="shared" si="8"/>
        <v>4.4005381248105789E-2</v>
      </c>
      <c r="AI712" s="16">
        <v>0.52391359390054204</v>
      </c>
      <c r="AJ712" s="2"/>
    </row>
    <row r="713" spans="1:3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2">
        <f t="shared" si="9"/>
        <v>55.499999999998835</v>
      </c>
      <c r="X713" s="13">
        <f t="shared" si="0"/>
        <v>0</v>
      </c>
      <c r="Y713" s="13">
        <f t="shared" si="1"/>
        <v>6.8447936833074179E-293</v>
      </c>
      <c r="Z713" s="13">
        <f t="shared" si="2"/>
        <v>1.3124115203055658E-7</v>
      </c>
      <c r="AA713" s="13">
        <f t="shared" si="3"/>
        <v>0</v>
      </c>
      <c r="AB713" s="13">
        <f t="shared" si="4"/>
        <v>1.0045219030103445E-113</v>
      </c>
      <c r="AC713" s="13">
        <f t="shared" si="5"/>
        <v>0.36234232047565312</v>
      </c>
      <c r="AD713" s="2"/>
      <c r="AE713" s="13">
        <v>1.3124115203055658E-7</v>
      </c>
      <c r="AF713" s="13">
        <f t="shared" si="6"/>
        <v>1.1040019025949174E-5</v>
      </c>
      <c r="AG713" s="13">
        <f t="shared" si="7"/>
        <v>4.7789527644349683E-4</v>
      </c>
      <c r="AH713" s="13">
        <f t="shared" si="8"/>
        <v>2.8757509007178123E-2</v>
      </c>
      <c r="AI713" s="13">
        <v>0.36234232047563453</v>
      </c>
      <c r="AJ713" s="2"/>
    </row>
    <row r="714" spans="1:3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5">
        <f t="shared" si="9"/>
        <v>55.549999999998832</v>
      </c>
      <c r="X714" s="16">
        <f t="shared" si="0"/>
        <v>0</v>
      </c>
      <c r="Y714" s="16">
        <f t="shared" si="1"/>
        <v>2.1757659600442366E-299</v>
      </c>
      <c r="Z714" s="16">
        <f t="shared" si="2"/>
        <v>7.2137337098133423E-8</v>
      </c>
      <c r="AA714" s="16">
        <f t="shared" si="3"/>
        <v>0</v>
      </c>
      <c r="AB714" s="16">
        <f t="shared" si="4"/>
        <v>8.4983864073296271E-118</v>
      </c>
      <c r="AC714" s="16">
        <f t="shared" si="5"/>
        <v>0.24900848373573742</v>
      </c>
      <c r="AD714" s="2"/>
      <c r="AE714" s="16">
        <v>7.2137337098133423E-8</v>
      </c>
      <c r="AF714" s="16">
        <f t="shared" si="6"/>
        <v>6.4111996151886204E-6</v>
      </c>
      <c r="AG714" s="16">
        <f t="shared" si="7"/>
        <v>2.9337881841652759E-4</v>
      </c>
      <c r="AH714" s="16">
        <f t="shared" si="8"/>
        <v>1.8673345973452528E-2</v>
      </c>
      <c r="AI714" s="16">
        <v>0.24900848373572418</v>
      </c>
      <c r="AJ714" s="2"/>
    </row>
    <row r="715" spans="1:3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2">
        <f t="shared" si="9"/>
        <v>55.599999999998829</v>
      </c>
      <c r="X715" s="13">
        <f t="shared" si="0"/>
        <v>0</v>
      </c>
      <c r="Y715" s="13">
        <f t="shared" si="1"/>
        <v>5.8852099007615256E-306</v>
      </c>
      <c r="Z715" s="13">
        <f t="shared" si="2"/>
        <v>3.9395452913055521E-8</v>
      </c>
      <c r="AA715" s="13">
        <f t="shared" si="3"/>
        <v>0</v>
      </c>
      <c r="AB715" s="13">
        <f t="shared" si="4"/>
        <v>6.1320508488917508E-122</v>
      </c>
      <c r="AC715" s="13">
        <f t="shared" si="5"/>
        <v>0.17003757974184883</v>
      </c>
      <c r="AD715" s="2"/>
      <c r="AE715" s="13">
        <v>3.9395452913055521E-8</v>
      </c>
      <c r="AF715" s="13">
        <f t="shared" si="6"/>
        <v>3.6992552670417269E-6</v>
      </c>
      <c r="AG715" s="13">
        <f t="shared" si="7"/>
        <v>1.789534694792578E-4</v>
      </c>
      <c r="AH715" s="13">
        <f t="shared" si="8"/>
        <v>1.2048096175844382E-2</v>
      </c>
      <c r="AI715" s="13">
        <v>0.17003757974183978</v>
      </c>
      <c r="AJ715" s="2"/>
    </row>
    <row r="716" spans="1:3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5">
        <f t="shared" si="9"/>
        <v>55.649999999998826</v>
      </c>
      <c r="X716" s="16">
        <f t="shared" si="0"/>
        <v>0</v>
      </c>
      <c r="Y716" s="16">
        <f t="shared" si="1"/>
        <v>0</v>
      </c>
      <c r="Z716" s="16">
        <f t="shared" si="2"/>
        <v>2.1376077110176431E-8</v>
      </c>
      <c r="AA716" s="16">
        <f t="shared" si="3"/>
        <v>0</v>
      </c>
      <c r="AB716" s="16">
        <f t="shared" si="4"/>
        <v>3.7736987823404505E-126</v>
      </c>
      <c r="AC716" s="16">
        <f t="shared" si="5"/>
        <v>0.11537490969414611</v>
      </c>
      <c r="AD716" s="2"/>
      <c r="AE716" s="16">
        <v>2.1376077110176431E-8</v>
      </c>
      <c r="AF716" s="16">
        <f t="shared" si="6"/>
        <v>2.1207761331270403E-6</v>
      </c>
      <c r="AG716" s="16">
        <f t="shared" si="7"/>
        <v>1.0845931089649472E-4</v>
      </c>
      <c r="AH716" s="16">
        <f t="shared" si="8"/>
        <v>7.7239616772007075E-3</v>
      </c>
      <c r="AI716" s="16">
        <v>0.11537490969413976</v>
      </c>
      <c r="AJ716" s="2"/>
    </row>
    <row r="717" spans="1:3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2">
        <f t="shared" si="9"/>
        <v>55.699999999998823</v>
      </c>
      <c r="X717" s="13">
        <f t="shared" si="0"/>
        <v>0</v>
      </c>
      <c r="Y717" s="13">
        <f t="shared" si="1"/>
        <v>0</v>
      </c>
      <c r="Z717" s="13">
        <f t="shared" si="2"/>
        <v>1.152406862077752E-8</v>
      </c>
      <c r="AA717" s="13">
        <f t="shared" si="3"/>
        <v>0</v>
      </c>
      <c r="AB717" s="13">
        <f t="shared" si="4"/>
        <v>1.980710147094265E-130</v>
      </c>
      <c r="AC717" s="13">
        <f t="shared" si="5"/>
        <v>7.7788164133841958E-2</v>
      </c>
      <c r="AD717" s="2"/>
      <c r="AE717" s="13">
        <v>1.152406862077752E-8</v>
      </c>
      <c r="AF717" s="13">
        <f t="shared" si="6"/>
        <v>1.2080387863352789E-6</v>
      </c>
      <c r="AG717" s="13">
        <f t="shared" si="7"/>
        <v>6.5314395134309378E-5</v>
      </c>
      <c r="AH717" s="13">
        <f t="shared" si="8"/>
        <v>4.9202503134141949E-3</v>
      </c>
      <c r="AI717" s="13">
        <v>7.7788164133837545E-2</v>
      </c>
      <c r="AJ717" s="2"/>
    </row>
    <row r="718" spans="1:3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5">
        <f t="shared" si="9"/>
        <v>55.74999999999882</v>
      </c>
      <c r="X718" s="16">
        <f t="shared" si="0"/>
        <v>0</v>
      </c>
      <c r="Y718" s="16">
        <f t="shared" si="1"/>
        <v>0</v>
      </c>
      <c r="Z718" s="16">
        <f t="shared" si="2"/>
        <v>6.1727627102512193E-9</v>
      </c>
      <c r="AA718" s="16">
        <f t="shared" si="3"/>
        <v>0</v>
      </c>
      <c r="AB718" s="16">
        <f t="shared" si="4"/>
        <v>8.8667983492225053E-135</v>
      </c>
      <c r="AC718" s="16">
        <f t="shared" si="5"/>
        <v>5.2113633947222425E-2</v>
      </c>
      <c r="AD718" s="2"/>
      <c r="AE718" s="16">
        <v>6.1727627102512193E-9</v>
      </c>
      <c r="AF718" s="16">
        <f t="shared" si="6"/>
        <v>6.8371082189150502E-7</v>
      </c>
      <c r="AG718" s="16">
        <f t="shared" si="7"/>
        <v>3.9081059421521537E-5</v>
      </c>
      <c r="AH718" s="16">
        <f t="shared" si="8"/>
        <v>3.1142945640858658E-3</v>
      </c>
      <c r="AI718" s="16">
        <v>5.2113633947219462E-2</v>
      </c>
      <c r="AJ718" s="2"/>
    </row>
    <row r="719" spans="1:3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2">
        <f t="shared" si="9"/>
        <v>55.799999999998818</v>
      </c>
      <c r="X719" s="13">
        <f t="shared" si="0"/>
        <v>0</v>
      </c>
      <c r="Y719" s="13">
        <f t="shared" si="1"/>
        <v>0</v>
      </c>
      <c r="Z719" s="13">
        <f t="shared" si="2"/>
        <v>3.2851049427426127E-9</v>
      </c>
      <c r="AA719" s="13">
        <f t="shared" si="3"/>
        <v>0</v>
      </c>
      <c r="AB719" s="13">
        <f t="shared" si="4"/>
        <v>3.3853606947867525E-139</v>
      </c>
      <c r="AC719" s="13">
        <f t="shared" si="5"/>
        <v>3.4691644132431469E-2</v>
      </c>
      <c r="AD719" s="2"/>
      <c r="AE719" s="13">
        <v>3.2851049427426127E-9</v>
      </c>
      <c r="AF719" s="13">
        <f t="shared" si="6"/>
        <v>3.8447628257296059E-7</v>
      </c>
      <c r="AG719" s="13">
        <f t="shared" si="7"/>
        <v>2.3234808508209175E-5</v>
      </c>
      <c r="AH719" s="13">
        <f t="shared" si="8"/>
        <v>1.9586533534022717E-3</v>
      </c>
      <c r="AI719" s="13">
        <v>3.4691644132429499E-2</v>
      </c>
      <c r="AJ719" s="2"/>
    </row>
    <row r="720" spans="1:3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5">
        <f t="shared" si="9"/>
        <v>55.849999999998815</v>
      </c>
      <c r="X720" s="16">
        <f t="shared" si="0"/>
        <v>0</v>
      </c>
      <c r="Y720" s="16">
        <f t="shared" si="1"/>
        <v>0</v>
      </c>
      <c r="Z720" s="16">
        <f t="shared" si="2"/>
        <v>1.737060046945482E-9</v>
      </c>
      <c r="AA720" s="16">
        <f t="shared" si="3"/>
        <v>0</v>
      </c>
      <c r="AB720" s="16">
        <f t="shared" si="4"/>
        <v>1.1023900227427993E-143</v>
      </c>
      <c r="AC720" s="16">
        <f t="shared" si="5"/>
        <v>2.2947432222254326E-2</v>
      </c>
      <c r="AD720" s="2"/>
      <c r="AE720" s="16">
        <v>1.737060046945482E-9</v>
      </c>
      <c r="AF720" s="16">
        <f t="shared" si="6"/>
        <v>2.1481874711740527E-7</v>
      </c>
      <c r="AG720" s="16">
        <f t="shared" si="7"/>
        <v>1.3725469761711326E-5</v>
      </c>
      <c r="AH720" s="16">
        <f t="shared" si="8"/>
        <v>1.2239984726084615E-3</v>
      </c>
      <c r="AI720" s="16">
        <v>2.294743222225298E-2</v>
      </c>
      <c r="AJ720" s="2"/>
    </row>
    <row r="721" spans="1:3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2">
        <f t="shared" si="9"/>
        <v>55.899999999998812</v>
      </c>
      <c r="X721" s="13">
        <f t="shared" si="0"/>
        <v>0</v>
      </c>
      <c r="Y721" s="13">
        <f t="shared" si="1"/>
        <v>0</v>
      </c>
      <c r="Z721" s="13">
        <f t="shared" si="2"/>
        <v>9.1259132014710697E-10</v>
      </c>
      <c r="AA721" s="13">
        <f t="shared" si="3"/>
        <v>0</v>
      </c>
      <c r="AB721" s="13">
        <f t="shared" si="4"/>
        <v>3.0616659967386897E-148</v>
      </c>
      <c r="AC721" s="13">
        <f t="shared" si="5"/>
        <v>1.5082696679982337E-2</v>
      </c>
      <c r="AD721" s="2"/>
      <c r="AE721" s="13">
        <v>9.1259132014710697E-10</v>
      </c>
      <c r="AF721" s="13">
        <f t="shared" si="6"/>
        <v>1.1925602484005231E-7</v>
      </c>
      <c r="AG721" s="13">
        <f t="shared" si="7"/>
        <v>8.0562083154071677E-6</v>
      </c>
      <c r="AH721" s="13">
        <f t="shared" si="8"/>
        <v>7.6002796793215742E-4</v>
      </c>
      <c r="AI721" s="13">
        <v>1.5082696679981425E-2</v>
      </c>
      <c r="AJ721" s="2"/>
    </row>
    <row r="722" spans="1:3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5">
        <f t="shared" si="9"/>
        <v>55.949999999998809</v>
      </c>
      <c r="X722" s="16">
        <f t="shared" si="0"/>
        <v>0</v>
      </c>
      <c r="Y722" s="16">
        <f t="shared" si="1"/>
        <v>0</v>
      </c>
      <c r="Z722" s="16">
        <f t="shared" si="2"/>
        <v>4.7635831967327819E-10</v>
      </c>
      <c r="AA722" s="16">
        <f t="shared" si="3"/>
        <v>0</v>
      </c>
      <c r="AB722" s="16">
        <f t="shared" si="4"/>
        <v>7.2522465208567311E-153</v>
      </c>
      <c r="AC722" s="16">
        <f t="shared" si="5"/>
        <v>9.8505297544092141E-3</v>
      </c>
      <c r="AD722" s="2"/>
      <c r="AE722" s="16">
        <v>4.7635831967327819E-10</v>
      </c>
      <c r="AF722" s="16">
        <f t="shared" si="6"/>
        <v>6.5780020294390579E-8</v>
      </c>
      <c r="AG722" s="16">
        <f t="shared" si="7"/>
        <v>4.6983948113965441E-6</v>
      </c>
      <c r="AH722" s="16">
        <f t="shared" si="8"/>
        <v>4.6892531065574313E-4</v>
      </c>
      <c r="AI722" s="16">
        <v>9.8505297544085844E-3</v>
      </c>
      <c r="AJ722" s="2"/>
    </row>
    <row r="723" spans="1:3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2">
        <f t="shared" si="9"/>
        <v>55.999999999998806</v>
      </c>
      <c r="X723" s="13">
        <f t="shared" si="0"/>
        <v>0</v>
      </c>
      <c r="Y723" s="13">
        <f t="shared" si="1"/>
        <v>0</v>
      </c>
      <c r="Z723" s="13">
        <f t="shared" si="2"/>
        <v>2.4705127184486951E-10</v>
      </c>
      <c r="AA723" s="13">
        <f t="shared" si="3"/>
        <v>0</v>
      </c>
      <c r="AB723" s="13">
        <f t="shared" si="4"/>
        <v>1.4651413194938515E-157</v>
      </c>
      <c r="AC723" s="13">
        <f t="shared" si="5"/>
        <v>6.3925754925587873E-3</v>
      </c>
      <c r="AD723" s="2"/>
      <c r="AE723" s="13">
        <v>2.4705127184486951E-10</v>
      </c>
      <c r="AF723" s="13">
        <f t="shared" si="6"/>
        <v>3.6050658503910567E-8</v>
      </c>
      <c r="AG723" s="13">
        <f t="shared" si="7"/>
        <v>2.7225989915755799E-6</v>
      </c>
      <c r="AH723" s="13">
        <f t="shared" si="8"/>
        <v>2.8747704913460682E-4</v>
      </c>
      <c r="AI723" s="13">
        <v>6.3925754925584014E-3</v>
      </c>
      <c r="AJ723" s="2"/>
    </row>
    <row r="724" spans="1:3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5">
        <f t="shared" si="9"/>
        <v>56.049999999998803</v>
      </c>
      <c r="X724" s="16">
        <f t="shared" si="0"/>
        <v>0</v>
      </c>
      <c r="Y724" s="16">
        <f t="shared" si="1"/>
        <v>0</v>
      </c>
      <c r="Z724" s="16">
        <f t="shared" si="2"/>
        <v>1.273023298134015E-10</v>
      </c>
      <c r="AA724" s="16">
        <f t="shared" si="3"/>
        <v>0</v>
      </c>
      <c r="AB724" s="16">
        <f t="shared" si="4"/>
        <v>2.5245192400995207E-162</v>
      </c>
      <c r="AC724" s="16">
        <f t="shared" si="5"/>
        <v>4.1221883562828259E-3</v>
      </c>
      <c r="AD724" s="2"/>
      <c r="AE724" s="16">
        <v>1.273023298134015E-10</v>
      </c>
      <c r="AF724" s="16">
        <f t="shared" si="6"/>
        <v>1.9630796700497432E-8</v>
      </c>
      <c r="AG724" s="16">
        <f t="shared" si="7"/>
        <v>1.5675925862086878E-6</v>
      </c>
      <c r="AH724" s="16">
        <f t="shared" si="8"/>
        <v>1.7511690966146216E-4</v>
      </c>
      <c r="AI724" s="16">
        <v>4.1221883562825691E-3</v>
      </c>
      <c r="AJ724" s="2"/>
    </row>
    <row r="725" spans="1:3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2">
        <f t="shared" si="9"/>
        <v>56.099999999998801</v>
      </c>
      <c r="X725" s="13">
        <f t="shared" si="0"/>
        <v>0</v>
      </c>
      <c r="Y725" s="13">
        <f t="shared" si="1"/>
        <v>0</v>
      </c>
      <c r="Z725" s="13">
        <f t="shared" si="2"/>
        <v>6.5175073313991835E-11</v>
      </c>
      <c r="AA725" s="13">
        <f t="shared" si="3"/>
        <v>0</v>
      </c>
      <c r="AB725" s="13">
        <f t="shared" si="4"/>
        <v>3.7099671488770807E-167</v>
      </c>
      <c r="AC725" s="13">
        <f t="shared" si="5"/>
        <v>2.6412863526380061E-3</v>
      </c>
      <c r="AD725" s="2"/>
      <c r="AE725" s="13">
        <v>6.5175073313991835E-11</v>
      </c>
      <c r="AF725" s="13">
        <f t="shared" si="6"/>
        <v>1.0621067613679021E-8</v>
      </c>
      <c r="AG725" s="13">
        <f t="shared" si="7"/>
        <v>8.9680510713369582E-7</v>
      </c>
      <c r="AH725" s="13">
        <f t="shared" si="8"/>
        <v>1.0599329504473174E-4</v>
      </c>
      <c r="AI725" s="13">
        <v>2.6412863526378374E-3</v>
      </c>
      <c r="AJ725" s="2"/>
    </row>
    <row r="726" spans="1:3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5">
        <f t="shared" si="9"/>
        <v>56.149999999998798</v>
      </c>
      <c r="X726" s="16">
        <f t="shared" si="0"/>
        <v>0</v>
      </c>
      <c r="Y726" s="16">
        <f t="shared" si="1"/>
        <v>0</v>
      </c>
      <c r="Z726" s="16">
        <f t="shared" si="2"/>
        <v>3.3152983946414749E-11</v>
      </c>
      <c r="AA726" s="16">
        <f t="shared" si="3"/>
        <v>0</v>
      </c>
      <c r="AB726" s="16">
        <f t="shared" si="4"/>
        <v>4.6500075032957806E-172</v>
      </c>
      <c r="AC726" s="16">
        <f t="shared" si="5"/>
        <v>1.6816624658588376E-3</v>
      </c>
      <c r="AD726" s="2"/>
      <c r="AE726" s="16">
        <v>3.3152983946414749E-11</v>
      </c>
      <c r="AF726" s="16">
        <f t="shared" si="6"/>
        <v>5.7095771580986726E-9</v>
      </c>
      <c r="AG726" s="16">
        <f t="shared" si="7"/>
        <v>5.0977472052240785E-7</v>
      </c>
      <c r="AH726" s="16">
        <f t="shared" si="8"/>
        <v>6.3746171233734883E-5</v>
      </c>
      <c r="AI726" s="16">
        <v>1.6816624658587301E-3</v>
      </c>
      <c r="AJ726" s="2"/>
    </row>
    <row r="727" spans="1:3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2">
        <f t="shared" si="9"/>
        <v>56.199999999998795</v>
      </c>
      <c r="X727" s="13">
        <f t="shared" si="0"/>
        <v>0</v>
      </c>
      <c r="Y727" s="13">
        <f t="shared" si="1"/>
        <v>0</v>
      </c>
      <c r="Z727" s="13">
        <f t="shared" si="2"/>
        <v>1.6755586602982992E-11</v>
      </c>
      <c r="AA727" s="13">
        <f t="shared" si="3"/>
        <v>0</v>
      </c>
      <c r="AB727" s="13">
        <f t="shared" si="4"/>
        <v>4.9708362165283041E-177</v>
      </c>
      <c r="AC727" s="13">
        <f t="shared" si="5"/>
        <v>1.0638927833943889E-3</v>
      </c>
      <c r="AD727" s="2"/>
      <c r="AE727" s="13">
        <v>1.6755586602982992E-11</v>
      </c>
      <c r="AF727" s="13">
        <f t="shared" si="6"/>
        <v>3.0496166049414788E-9</v>
      </c>
      <c r="AG727" s="13">
        <f t="shared" si="7"/>
        <v>2.8792134873422173E-7</v>
      </c>
      <c r="AH727" s="13">
        <f t="shared" si="8"/>
        <v>3.8093880868261873E-5</v>
      </c>
      <c r="AI727" s="13">
        <v>1.0638927833943172E-3</v>
      </c>
      <c r="AJ727" s="2"/>
    </row>
    <row r="728" spans="1:3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5">
        <f t="shared" si="9"/>
        <v>56.249999999998792</v>
      </c>
      <c r="X728" s="16">
        <f t="shared" si="0"/>
        <v>0</v>
      </c>
      <c r="Y728" s="16">
        <f t="shared" si="1"/>
        <v>0</v>
      </c>
      <c r="Z728" s="16">
        <f t="shared" si="2"/>
        <v>8.4138074476847108E-12</v>
      </c>
      <c r="AA728" s="16">
        <f t="shared" si="3"/>
        <v>0</v>
      </c>
      <c r="AB728" s="16">
        <f t="shared" si="4"/>
        <v>4.5320789271397414E-182</v>
      </c>
      <c r="AC728" s="16">
        <f t="shared" si="5"/>
        <v>6.6879433138135574E-4</v>
      </c>
      <c r="AD728" s="2"/>
      <c r="AE728" s="16">
        <v>8.4138074476847108E-12</v>
      </c>
      <c r="AF728" s="16">
        <f t="shared" si="6"/>
        <v>1.6184230892053623E-9</v>
      </c>
      <c r="AG728" s="16">
        <f t="shared" si="7"/>
        <v>1.6157895361758179E-7</v>
      </c>
      <c r="AH728" s="16">
        <f t="shared" si="8"/>
        <v>2.2619434144363605E-5</v>
      </c>
      <c r="AI728" s="16">
        <v>6.6879433138131291E-4</v>
      </c>
      <c r="AJ728" s="2"/>
    </row>
    <row r="729" spans="1:3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2">
        <f t="shared" si="9"/>
        <v>56.299999999998789</v>
      </c>
      <c r="X729" s="13">
        <f t="shared" si="0"/>
        <v>0</v>
      </c>
      <c r="Y729" s="13">
        <f t="shared" si="1"/>
        <v>0</v>
      </c>
      <c r="Z729" s="13">
        <f t="shared" si="2"/>
        <v>4.1977968700370023E-12</v>
      </c>
      <c r="AA729" s="13">
        <f t="shared" si="3"/>
        <v>0</v>
      </c>
      <c r="AB729" s="13">
        <f t="shared" si="4"/>
        <v>3.524176783800017E-187</v>
      </c>
      <c r="AC729" s="13">
        <f t="shared" si="5"/>
        <v>4.1775628485066815E-4</v>
      </c>
      <c r="AD729" s="2"/>
      <c r="AE729" s="13">
        <v>4.1977968700370023E-12</v>
      </c>
      <c r="AF729" s="13">
        <f t="shared" si="6"/>
        <v>8.5338383538277196E-10</v>
      </c>
      <c r="AG729" s="13">
        <f t="shared" si="7"/>
        <v>9.0097152418507291E-8</v>
      </c>
      <c r="AH729" s="13">
        <f t="shared" si="8"/>
        <v>1.3345463319128259E-5</v>
      </c>
      <c r="AI729" s="13">
        <v>4.1775628485063985E-4</v>
      </c>
      <c r="AJ729" s="2"/>
    </row>
    <row r="730" spans="1:3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5">
        <f t="shared" si="9"/>
        <v>56.349999999998786</v>
      </c>
      <c r="X730" s="16">
        <f t="shared" si="0"/>
        <v>0</v>
      </c>
      <c r="Y730" s="16">
        <f t="shared" si="1"/>
        <v>0</v>
      </c>
      <c r="Z730" s="16">
        <f t="shared" si="2"/>
        <v>2.0808759387571699E-12</v>
      </c>
      <c r="AA730" s="16">
        <f t="shared" si="3"/>
        <v>0</v>
      </c>
      <c r="AB730" s="16">
        <f t="shared" si="4"/>
        <v>2.3372766355080294E-192</v>
      </c>
      <c r="AC730" s="16">
        <f t="shared" si="5"/>
        <v>2.5929198326027863E-4</v>
      </c>
      <c r="AD730" s="2"/>
      <c r="AE730" s="16">
        <v>2.0808759387571699E-12</v>
      </c>
      <c r="AF730" s="16">
        <f t="shared" si="6"/>
        <v>4.4709754331660831E-10</v>
      </c>
      <c r="AG730" s="16">
        <f t="shared" si="7"/>
        <v>4.9917484202425706E-8</v>
      </c>
      <c r="AH730" s="16">
        <f t="shared" si="8"/>
        <v>7.8236781885961014E-6</v>
      </c>
      <c r="AI730" s="16">
        <v>2.5929198326026117E-4</v>
      </c>
      <c r="AJ730" s="2"/>
    </row>
    <row r="731" spans="1:3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2">
        <f t="shared" si="9"/>
        <v>56.399999999998784</v>
      </c>
      <c r="X731" s="13">
        <f t="shared" si="0"/>
        <v>0</v>
      </c>
      <c r="Y731" s="13">
        <f t="shared" si="1"/>
        <v>0</v>
      </c>
      <c r="Z731" s="13">
        <f t="shared" si="2"/>
        <v>1.0248655054935872E-12</v>
      </c>
      <c r="AA731" s="13">
        <f t="shared" si="3"/>
        <v>0</v>
      </c>
      <c r="AB731" s="13">
        <f t="shared" si="4"/>
        <v>1.3220709424129446E-197</v>
      </c>
      <c r="AC731" s="13">
        <f t="shared" si="5"/>
        <v>1.5991561596789066E-4</v>
      </c>
      <c r="AD731" s="2"/>
      <c r="AE731" s="13">
        <v>1.0248655054935872E-12</v>
      </c>
      <c r="AF731" s="13">
        <f t="shared" si="6"/>
        <v>2.327371326334093E-10</v>
      </c>
      <c r="AG731" s="13">
        <f t="shared" si="7"/>
        <v>2.7479552987614163E-8</v>
      </c>
      <c r="AH731" s="13">
        <f t="shared" si="8"/>
        <v>4.557363852963447E-6</v>
      </c>
      <c r="AI731" s="13">
        <v>1.599156159678793E-4</v>
      </c>
      <c r="AJ731" s="2"/>
    </row>
    <row r="732" spans="1:3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5">
        <f t="shared" si="9"/>
        <v>56.449999999998781</v>
      </c>
      <c r="X732" s="16">
        <f t="shared" si="0"/>
        <v>0</v>
      </c>
      <c r="Y732" s="16">
        <f t="shared" si="1"/>
        <v>0</v>
      </c>
      <c r="Z732" s="16">
        <f t="shared" si="2"/>
        <v>5.015144863233672E-13</v>
      </c>
      <c r="AA732" s="16">
        <f t="shared" si="3"/>
        <v>0</v>
      </c>
      <c r="AB732" s="16">
        <f t="shared" si="4"/>
        <v>6.3781042419302682E-203</v>
      </c>
      <c r="AC732" s="16">
        <f t="shared" si="5"/>
        <v>9.8000513060718893E-5</v>
      </c>
      <c r="AD732" s="2"/>
      <c r="AE732" s="16">
        <v>5.015144863233672E-13</v>
      </c>
      <c r="AF732" s="16">
        <f t="shared" si="6"/>
        <v>1.2037452875168399E-10</v>
      </c>
      <c r="AG732" s="16">
        <f t="shared" si="7"/>
        <v>1.5030796284085767E-8</v>
      </c>
      <c r="AH732" s="16">
        <f t="shared" si="8"/>
        <v>2.6377998008581652E-6</v>
      </c>
      <c r="AI732" s="16">
        <v>9.8000513060711913E-5</v>
      </c>
      <c r="AJ732" s="2"/>
    </row>
    <row r="733" spans="1:3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2">
        <f t="shared" si="9"/>
        <v>56.499999999998778</v>
      </c>
      <c r="X733" s="13">
        <f t="shared" si="0"/>
        <v>0</v>
      </c>
      <c r="Y733" s="13">
        <f t="shared" si="1"/>
        <v>0</v>
      </c>
      <c r="Z733" s="13">
        <f t="shared" si="2"/>
        <v>2.4383497900583419E-13</v>
      </c>
      <c r="AA733" s="13">
        <f t="shared" si="3"/>
        <v>0</v>
      </c>
      <c r="AB733" s="13">
        <f t="shared" si="4"/>
        <v>2.6243434832305459E-208</v>
      </c>
      <c r="AC733" s="13">
        <f t="shared" si="5"/>
        <v>5.9676248245446073E-5</v>
      </c>
      <c r="AD733" s="2"/>
      <c r="AE733" s="13">
        <v>2.4383497900583419E-13</v>
      </c>
      <c r="AF733" s="13">
        <f t="shared" si="6"/>
        <v>6.185987599561677E-11</v>
      </c>
      <c r="AG733" s="13">
        <f t="shared" si="7"/>
        <v>8.1690144483805895E-9</v>
      </c>
      <c r="AH733" s="13">
        <f t="shared" si="8"/>
        <v>1.5170341649349076E-6</v>
      </c>
      <c r="AI733" s="13">
        <v>5.9676248245441824E-5</v>
      </c>
      <c r="AJ733" s="2"/>
    </row>
    <row r="734" spans="1:3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5">
        <f t="shared" si="9"/>
        <v>56.549999999998775</v>
      </c>
      <c r="X734" s="16">
        <f t="shared" si="0"/>
        <v>0</v>
      </c>
      <c r="Y734" s="16">
        <f t="shared" si="1"/>
        <v>0</v>
      </c>
      <c r="Z734" s="16">
        <f t="shared" si="2"/>
        <v>1.1778892278423578E-13</v>
      </c>
      <c r="AA734" s="16">
        <f t="shared" si="3"/>
        <v>0</v>
      </c>
      <c r="AB734" s="16">
        <f t="shared" si="4"/>
        <v>9.2096250754371835E-214</v>
      </c>
      <c r="AC734" s="16">
        <f t="shared" si="5"/>
        <v>3.6108576099076579E-5</v>
      </c>
      <c r="AD734" s="2"/>
      <c r="AE734" s="16">
        <v>1.1778892278423578E-13</v>
      </c>
      <c r="AF734" s="16">
        <f t="shared" si="6"/>
        <v>3.1585591540754331E-11</v>
      </c>
      <c r="AG734" s="16">
        <f t="shared" si="7"/>
        <v>4.411361921410672E-9</v>
      </c>
      <c r="AH734" s="16">
        <f t="shared" si="8"/>
        <v>8.6691056305576759E-7</v>
      </c>
      <c r="AI734" s="16">
        <v>3.6108576099074011E-5</v>
      </c>
      <c r="AJ734" s="2"/>
    </row>
    <row r="735" spans="1:3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2">
        <f t="shared" si="9"/>
        <v>56.599999999998772</v>
      </c>
      <c r="X735" s="13">
        <f t="shared" si="0"/>
        <v>0</v>
      </c>
      <c r="Y735" s="13">
        <f t="shared" si="1"/>
        <v>0</v>
      </c>
      <c r="Z735" s="13">
        <f t="shared" si="2"/>
        <v>5.6533882477417713E-14</v>
      </c>
      <c r="AA735" s="13">
        <f t="shared" si="3"/>
        <v>0</v>
      </c>
      <c r="AB735" s="13">
        <f t="shared" si="4"/>
        <v>2.7564837395758634E-219</v>
      </c>
      <c r="AC735" s="13">
        <f t="shared" si="5"/>
        <v>2.1709753993879066E-5</v>
      </c>
      <c r="AD735" s="2"/>
      <c r="AE735" s="13">
        <v>5.6533882477417713E-14</v>
      </c>
      <c r="AF735" s="13">
        <f t="shared" si="6"/>
        <v>1.6024131831066626E-11</v>
      </c>
      <c r="AG735" s="13">
        <f t="shared" si="7"/>
        <v>2.3669608048048259E-9</v>
      </c>
      <c r="AH735" s="13">
        <f t="shared" si="8"/>
        <v>4.9224195912880891E-7</v>
      </c>
      <c r="AI735" s="13">
        <v>2.1709753993877443E-5</v>
      </c>
      <c r="AJ735" s="2"/>
    </row>
    <row r="736" spans="1:3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5">
        <f t="shared" si="9"/>
        <v>56.649999999998769</v>
      </c>
      <c r="X736" s="16">
        <f t="shared" si="0"/>
        <v>0</v>
      </c>
      <c r="Y736" s="16">
        <f t="shared" si="1"/>
        <v>0</v>
      </c>
      <c r="Z736" s="16">
        <f t="shared" si="2"/>
        <v>2.6959329825973514E-14</v>
      </c>
      <c r="AA736" s="16">
        <f t="shared" si="3"/>
        <v>0</v>
      </c>
      <c r="AB736" s="16">
        <f t="shared" si="4"/>
        <v>7.0365719056173156E-225</v>
      </c>
      <c r="AC736" s="16">
        <f t="shared" si="5"/>
        <v>1.2969855275887783E-5</v>
      </c>
      <c r="AD736" s="2"/>
      <c r="AE736" s="16">
        <v>2.6959329825973514E-14</v>
      </c>
      <c r="AF736" s="16">
        <f t="shared" si="6"/>
        <v>8.0772872584517525E-12</v>
      </c>
      <c r="AG736" s="16">
        <f t="shared" si="7"/>
        <v>1.2618995722166049E-9</v>
      </c>
      <c r="AH736" s="16">
        <f t="shared" si="8"/>
        <v>2.7772077538517037E-7</v>
      </c>
      <c r="AI736" s="16">
        <v>1.2969855275886862E-5</v>
      </c>
      <c r="AJ736" s="2"/>
    </row>
    <row r="737" spans="1:3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2">
        <f t="shared" si="9"/>
        <v>56.699999999998766</v>
      </c>
      <c r="X737" s="13">
        <f t="shared" si="0"/>
        <v>0</v>
      </c>
      <c r="Y737" s="13">
        <f t="shared" si="1"/>
        <v>0</v>
      </c>
      <c r="Z737" s="13">
        <f t="shared" si="2"/>
        <v>1.2773364070964228E-14</v>
      </c>
      <c r="AA737" s="13">
        <f t="shared" si="3"/>
        <v>0</v>
      </c>
      <c r="AB737" s="13">
        <f t="shared" si="4"/>
        <v>1.5320009536425005E-230</v>
      </c>
      <c r="AC737" s="13">
        <f t="shared" si="5"/>
        <v>7.6992965288097908E-6</v>
      </c>
      <c r="AD737" s="2"/>
      <c r="AE737" s="13">
        <v>1.2773364070964228E-14</v>
      </c>
      <c r="AF737" s="13">
        <f t="shared" si="6"/>
        <v>4.0454056058929337E-12</v>
      </c>
      <c r="AG737" s="13">
        <f t="shared" si="7"/>
        <v>6.6845760764099886E-10</v>
      </c>
      <c r="AH737" s="13">
        <f t="shared" si="8"/>
        <v>1.5569100080176022E-7</v>
      </c>
      <c r="AI737" s="13">
        <v>7.6992965288092166E-6</v>
      </c>
      <c r="AJ737" s="2"/>
    </row>
    <row r="738" spans="1:3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5">
        <f t="shared" si="9"/>
        <v>56.749999999998764</v>
      </c>
      <c r="X738" s="16">
        <f t="shared" si="0"/>
        <v>0</v>
      </c>
      <c r="Y738" s="16">
        <f t="shared" si="1"/>
        <v>0</v>
      </c>
      <c r="Z738" s="16">
        <f t="shared" si="2"/>
        <v>6.0130859007771582E-15</v>
      </c>
      <c r="AA738" s="16">
        <f t="shared" si="3"/>
        <v>0</v>
      </c>
      <c r="AB738" s="16">
        <f t="shared" si="4"/>
        <v>2.8447830510066403E-236</v>
      </c>
      <c r="AC738" s="16">
        <f t="shared" si="5"/>
        <v>4.5415348475077602E-6</v>
      </c>
      <c r="AD738" s="2"/>
      <c r="AE738" s="16">
        <v>6.0130859007771582E-15</v>
      </c>
      <c r="AF738" s="16">
        <f t="shared" si="6"/>
        <v>2.0130943977263632E-12</v>
      </c>
      <c r="AG738" s="16">
        <f t="shared" si="7"/>
        <v>3.5183439865308079E-10</v>
      </c>
      <c r="AH738" s="16">
        <f t="shared" si="8"/>
        <v>8.6724949231446225E-8</v>
      </c>
      <c r="AI738" s="16">
        <v>4.5415348475074053E-6</v>
      </c>
      <c r="AJ738" s="2"/>
    </row>
    <row r="739" spans="1:3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2">
        <f t="shared" si="9"/>
        <v>56.799999999998761</v>
      </c>
      <c r="X739" s="13">
        <f t="shared" si="0"/>
        <v>0</v>
      </c>
      <c r="Y739" s="13">
        <f t="shared" si="1"/>
        <v>0</v>
      </c>
      <c r="Z739" s="13">
        <f t="shared" si="2"/>
        <v>2.8124541033196961E-15</v>
      </c>
      <c r="AA739" s="13">
        <f t="shared" si="3"/>
        <v>0</v>
      </c>
      <c r="AB739" s="13">
        <f t="shared" si="4"/>
        <v>4.5053805362830651E-242</v>
      </c>
      <c r="AC739" s="13">
        <f t="shared" si="5"/>
        <v>2.6618890148007625E-6</v>
      </c>
      <c r="AD739" s="2"/>
      <c r="AE739" s="13">
        <v>2.8124541033196961E-15</v>
      </c>
      <c r="AF739" s="13">
        <f t="shared" si="6"/>
        <v>9.9534063170100573E-13</v>
      </c>
      <c r="AG739" s="13">
        <f t="shared" si="7"/>
        <v>1.8400010717693582E-10</v>
      </c>
      <c r="AH739" s="13">
        <f t="shared" si="8"/>
        <v>4.8000968590460597E-8</v>
      </c>
      <c r="AI739" s="13">
        <v>2.6618890148005639E-6</v>
      </c>
      <c r="AJ739" s="2"/>
    </row>
    <row r="740" spans="1:3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5">
        <f t="shared" si="9"/>
        <v>56.849999999998758</v>
      </c>
      <c r="X740" s="16">
        <f t="shared" si="0"/>
        <v>0</v>
      </c>
      <c r="Y740" s="16">
        <f t="shared" si="1"/>
        <v>0</v>
      </c>
      <c r="Z740" s="16">
        <f t="shared" si="2"/>
        <v>1.3069813734440412E-15</v>
      </c>
      <c r="AA740" s="16">
        <f t="shared" si="3"/>
        <v>0</v>
      </c>
      <c r="AB740" s="16">
        <f t="shared" si="4"/>
        <v>6.0856366084354861E-248</v>
      </c>
      <c r="AC740" s="16">
        <f t="shared" si="5"/>
        <v>1.5502899278948401E-6</v>
      </c>
      <c r="AD740" s="2"/>
      <c r="AE740" s="16">
        <v>1.3069813734440412E-15</v>
      </c>
      <c r="AF740" s="16">
        <f t="shared" si="6"/>
        <v>4.8897296813446139E-13</v>
      </c>
      <c r="AG740" s="16">
        <f t="shared" si="7"/>
        <v>9.561217648919072E-11</v>
      </c>
      <c r="AH740" s="16">
        <f t="shared" si="8"/>
        <v>2.6398627640626414E-8</v>
      </c>
      <c r="AI740" s="16">
        <v>1.550289927894719E-6</v>
      </c>
      <c r="AJ740" s="2"/>
    </row>
    <row r="741" spans="1:3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2">
        <f t="shared" si="9"/>
        <v>56.899999999998755</v>
      </c>
      <c r="X741" s="13">
        <f t="shared" si="0"/>
        <v>0</v>
      </c>
      <c r="Y741" s="13">
        <f t="shared" si="1"/>
        <v>0</v>
      </c>
      <c r="Z741" s="13">
        <f t="shared" si="2"/>
        <v>6.0346108756648663E-16</v>
      </c>
      <c r="AA741" s="13">
        <f t="shared" si="3"/>
        <v>0</v>
      </c>
      <c r="AB741" s="13">
        <f t="shared" si="4"/>
        <v>7.0108837111929329E-254</v>
      </c>
      <c r="AC741" s="13">
        <f t="shared" si="5"/>
        <v>8.9716349762191838E-7</v>
      </c>
      <c r="AD741" s="2"/>
      <c r="AE741" s="13">
        <v>6.0346108756648663E-16</v>
      </c>
      <c r="AF741" s="13">
        <f t="shared" si="6"/>
        <v>2.3867311039630957E-13</v>
      </c>
      <c r="AG741" s="13">
        <f t="shared" si="7"/>
        <v>4.9365516282957972E-11</v>
      </c>
      <c r="AH741" s="13">
        <f t="shared" si="8"/>
        <v>1.4425740057866796E-8</v>
      </c>
      <c r="AI741" s="13">
        <v>8.9716349762185136E-7</v>
      </c>
      <c r="AJ741" s="2"/>
    </row>
    <row r="742" spans="1:3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5">
        <f t="shared" si="9"/>
        <v>56.949999999998752</v>
      </c>
      <c r="X742" s="16">
        <f t="shared" si="0"/>
        <v>0</v>
      </c>
      <c r="Y742" s="16">
        <f t="shared" si="1"/>
        <v>0</v>
      </c>
      <c r="Z742" s="16">
        <f t="shared" si="2"/>
        <v>2.7683759170626666E-16</v>
      </c>
      <c r="AA742" s="16">
        <f t="shared" si="3"/>
        <v>0</v>
      </c>
      <c r="AB742" s="16">
        <f t="shared" si="4"/>
        <v>6.8886119689980528E-260</v>
      </c>
      <c r="AC742" s="16">
        <f t="shared" si="5"/>
        <v>5.1590050585670547E-7</v>
      </c>
      <c r="AD742" s="2"/>
      <c r="AE742" s="16">
        <v>2.7683759170626666E-16</v>
      </c>
      <c r="AF742" s="16">
        <f t="shared" si="6"/>
        <v>1.1575177506709435E-13</v>
      </c>
      <c r="AG742" s="16">
        <f t="shared" si="7"/>
        <v>2.5325003423637855E-11</v>
      </c>
      <c r="AH742" s="16">
        <f t="shared" si="8"/>
        <v>7.8328580638945663E-9</v>
      </c>
      <c r="AI742" s="16">
        <v>5.1590050585666513E-7</v>
      </c>
      <c r="AJ742" s="2"/>
    </row>
    <row r="743" spans="1:3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2">
        <f t="shared" si="9"/>
        <v>56.999999999998749</v>
      </c>
      <c r="X743" s="13">
        <f t="shared" si="0"/>
        <v>0</v>
      </c>
      <c r="Y743" s="13">
        <f t="shared" si="1"/>
        <v>0</v>
      </c>
      <c r="Z743" s="13">
        <f t="shared" si="2"/>
        <v>1.2618181571234552E-16</v>
      </c>
      <c r="AA743" s="13">
        <f t="shared" si="3"/>
        <v>0</v>
      </c>
      <c r="AB743" s="13">
        <f t="shared" si="4"/>
        <v>5.7727518722606009E-266</v>
      </c>
      <c r="AC743" s="13">
        <f t="shared" si="5"/>
        <v>2.9477863295456379E-7</v>
      </c>
      <c r="AD743" s="2"/>
      <c r="AE743" s="13">
        <v>1.2618181571234552E-16</v>
      </c>
      <c r="AF743" s="13">
        <f t="shared" si="6"/>
        <v>5.5777282468946216E-14</v>
      </c>
      <c r="AG743" s="13">
        <f t="shared" si="7"/>
        <v>1.2908943278655268E-11</v>
      </c>
      <c r="AH743" s="13">
        <f t="shared" si="8"/>
        <v>4.2259836681873358E-9</v>
      </c>
      <c r="AI743" s="13">
        <v>2.947786329545397E-7</v>
      </c>
      <c r="AJ743" s="2"/>
    </row>
    <row r="744" spans="1:3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5">
        <f t="shared" si="9"/>
        <v>57.049999999998747</v>
      </c>
      <c r="X744" s="16">
        <f t="shared" si="0"/>
        <v>0</v>
      </c>
      <c r="Y744" s="16">
        <f t="shared" si="1"/>
        <v>0</v>
      </c>
      <c r="Z744" s="16">
        <f t="shared" si="2"/>
        <v>5.7143179454340693E-17</v>
      </c>
      <c r="AA744" s="16">
        <f t="shared" si="3"/>
        <v>0</v>
      </c>
      <c r="AB744" s="16">
        <f t="shared" si="4"/>
        <v>4.1259719414068026E-272</v>
      </c>
      <c r="AC744" s="16">
        <f t="shared" si="5"/>
        <v>1.6736388003260188E-7</v>
      </c>
      <c r="AD744" s="2"/>
      <c r="AE744" s="16">
        <v>5.7143179454340693E-17</v>
      </c>
      <c r="AF744" s="16">
        <f t="shared" si="6"/>
        <v>2.6704999071480651E-14</v>
      </c>
      <c r="AG744" s="16">
        <f t="shared" si="7"/>
        <v>6.5380347230907464E-12</v>
      </c>
      <c r="AH744" s="16">
        <f t="shared" si="8"/>
        <v>2.2654828268959091E-9</v>
      </c>
      <c r="AI744" s="16">
        <v>1.67363880032587E-7</v>
      </c>
      <c r="AJ744" s="2"/>
    </row>
    <row r="745" spans="1:3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2">
        <f t="shared" si="9"/>
        <v>57.099999999998744</v>
      </c>
      <c r="X745" s="13">
        <f t="shared" si="0"/>
        <v>0</v>
      </c>
      <c r="Y745" s="13">
        <f t="shared" si="1"/>
        <v>0</v>
      </c>
      <c r="Z745" s="13">
        <f t="shared" si="2"/>
        <v>2.5711531610945971E-17</v>
      </c>
      <c r="AA745" s="13">
        <f t="shared" si="3"/>
        <v>0</v>
      </c>
      <c r="AB745" s="13">
        <f t="shared" si="4"/>
        <v>2.5151382397469836E-278</v>
      </c>
      <c r="AC745" s="13">
        <f t="shared" si="5"/>
        <v>9.441981806042554E-8</v>
      </c>
      <c r="AD745" s="2"/>
      <c r="AE745" s="13">
        <v>2.5711531610945971E-17</v>
      </c>
      <c r="AF745" s="13">
        <f t="shared" si="6"/>
        <v>1.2703790054563511E-14</v>
      </c>
      <c r="AG745" s="13">
        <f t="shared" si="7"/>
        <v>3.2901757978651789E-12</v>
      </c>
      <c r="AH745" s="13">
        <f t="shared" si="8"/>
        <v>1.2067550841865533E-9</v>
      </c>
      <c r="AI745" s="13">
        <v>9.4419818060417837E-8</v>
      </c>
      <c r="AJ745" s="2"/>
    </row>
    <row r="746" spans="1:3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5">
        <f t="shared" si="9"/>
        <v>57.149999999998741</v>
      </c>
      <c r="X746" s="16">
        <f t="shared" si="0"/>
        <v>0</v>
      </c>
      <c r="Y746" s="16">
        <f t="shared" si="1"/>
        <v>0</v>
      </c>
      <c r="Z746" s="16">
        <f t="shared" si="2"/>
        <v>1.1494429301895818E-17</v>
      </c>
      <c r="AA746" s="16">
        <f t="shared" si="3"/>
        <v>0</v>
      </c>
      <c r="AB746" s="16">
        <f t="shared" si="4"/>
        <v>1.3076444073935889E-284</v>
      </c>
      <c r="AC746" s="16">
        <f t="shared" si="5"/>
        <v>5.2929802229312738E-8</v>
      </c>
      <c r="AD746" s="2"/>
      <c r="AE746" s="16">
        <v>1.1494429301895818E-17</v>
      </c>
      <c r="AF746" s="16">
        <f t="shared" si="6"/>
        <v>6.0045376627529794E-15</v>
      </c>
      <c r="AG746" s="16">
        <f t="shared" si="7"/>
        <v>1.6451531544151259E-12</v>
      </c>
      <c r="AH746" s="16">
        <f t="shared" si="8"/>
        <v>6.3870880424688743E-10</v>
      </c>
      <c r="AI746" s="16">
        <v>5.292980222930841E-8</v>
      </c>
      <c r="AJ746" s="2"/>
    </row>
    <row r="747" spans="1:3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2">
        <f t="shared" si="9"/>
        <v>57.199999999998738</v>
      </c>
      <c r="X747" s="13">
        <f t="shared" si="0"/>
        <v>0</v>
      </c>
      <c r="Y747" s="13">
        <f t="shared" si="1"/>
        <v>0</v>
      </c>
      <c r="Z747" s="13">
        <f t="shared" si="2"/>
        <v>5.1055531008360803E-18</v>
      </c>
      <c r="AA747" s="13">
        <f t="shared" si="3"/>
        <v>0</v>
      </c>
      <c r="AB747" s="13">
        <f t="shared" si="4"/>
        <v>5.7984200287507537E-291</v>
      </c>
      <c r="AC747" s="13">
        <f t="shared" si="5"/>
        <v>2.9483094992281982E-8</v>
      </c>
      <c r="AD747" s="2"/>
      <c r="AE747" s="13">
        <v>5.1055531008360803E-18</v>
      </c>
      <c r="AF747" s="13">
        <f t="shared" si="6"/>
        <v>2.8198847780647939E-15</v>
      </c>
      <c r="AG747" s="13">
        <f t="shared" si="7"/>
        <v>8.1735159800130047E-13</v>
      </c>
      <c r="AH747" s="13">
        <f t="shared" si="8"/>
        <v>3.3590159873633969E-10</v>
      </c>
      <c r="AI747" s="13">
        <v>2.9483094992279467E-8</v>
      </c>
      <c r="AJ747" s="2"/>
    </row>
    <row r="748" spans="1:3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5">
        <f t="shared" si="9"/>
        <v>57.249999999998735</v>
      </c>
      <c r="X748" s="16">
        <f t="shared" si="0"/>
        <v>0</v>
      </c>
      <c r="Y748" s="16">
        <f t="shared" si="1"/>
        <v>0</v>
      </c>
      <c r="Z748" s="16">
        <f t="shared" si="2"/>
        <v>2.253170725787185E-18</v>
      </c>
      <c r="AA748" s="16">
        <f t="shared" si="3"/>
        <v>0</v>
      </c>
      <c r="AB748" s="16">
        <f t="shared" si="4"/>
        <v>2.1929154805303711E-297</v>
      </c>
      <c r="AC748" s="16">
        <f t="shared" si="5"/>
        <v>1.631854977762273E-8</v>
      </c>
      <c r="AD748" s="2"/>
      <c r="AE748" s="16">
        <v>2.253170725787185E-18</v>
      </c>
      <c r="AF748" s="16">
        <f t="shared" si="6"/>
        <v>1.3157963513251754E-15</v>
      </c>
      <c r="AG748" s="16">
        <f t="shared" si="7"/>
        <v>4.0348449276398575E-13</v>
      </c>
      <c r="AH748" s="16">
        <f t="shared" si="8"/>
        <v>1.7552809592473347E-10</v>
      </c>
      <c r="AI748" s="16">
        <v>1.6318549777621337E-8</v>
      </c>
      <c r="AJ748" s="2"/>
    </row>
    <row r="749" spans="1:3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2">
        <f t="shared" si="9"/>
        <v>57.299999999998732</v>
      </c>
      <c r="X749" s="13">
        <f t="shared" si="0"/>
        <v>0</v>
      </c>
      <c r="Y749" s="13">
        <f t="shared" si="1"/>
        <v>0</v>
      </c>
      <c r="Z749" s="13">
        <f t="shared" si="2"/>
        <v>9.8796445803716686E-19</v>
      </c>
      <c r="AA749" s="13">
        <f t="shared" si="3"/>
        <v>0</v>
      </c>
      <c r="AB749" s="13">
        <f t="shared" si="4"/>
        <v>7.073369176160163E-304</v>
      </c>
      <c r="AC749" s="13">
        <f t="shared" si="5"/>
        <v>8.9748198094553276E-9</v>
      </c>
      <c r="AD749" s="2"/>
      <c r="AE749" s="13">
        <v>9.8796445803716686E-19</v>
      </c>
      <c r="AF749" s="13">
        <f t="shared" si="6"/>
        <v>6.1003045476714807E-16</v>
      </c>
      <c r="AG749" s="13">
        <f t="shared" si="7"/>
        <v>1.9790653285358966E-13</v>
      </c>
      <c r="AH749" s="13">
        <f t="shared" si="8"/>
        <v>9.113949447211928E-11</v>
      </c>
      <c r="AI749" s="13">
        <v>8.9748198094545617E-9</v>
      </c>
      <c r="AJ749" s="2"/>
    </row>
    <row r="750" spans="1:3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5">
        <f t="shared" si="9"/>
        <v>57.34999999999873</v>
      </c>
      <c r="X750" s="16">
        <f t="shared" si="0"/>
        <v>0</v>
      </c>
      <c r="Y750" s="16">
        <f t="shared" si="1"/>
        <v>0</v>
      </c>
      <c r="Z750" s="16">
        <f t="shared" si="2"/>
        <v>4.3041208890507291E-19</v>
      </c>
      <c r="AA750" s="16">
        <f t="shared" si="3"/>
        <v>0</v>
      </c>
      <c r="AB750" s="16">
        <f t="shared" si="4"/>
        <v>0</v>
      </c>
      <c r="AC750" s="16">
        <f t="shared" si="5"/>
        <v>4.9046226968561888E-9</v>
      </c>
      <c r="AD750" s="2"/>
      <c r="AE750" s="16">
        <v>4.3041208890507286E-19</v>
      </c>
      <c r="AF750" s="16">
        <f t="shared" si="6"/>
        <v>2.8100877441706411E-16</v>
      </c>
      <c r="AG750" s="16">
        <f t="shared" si="7"/>
        <v>9.6451450503380006E-14</v>
      </c>
      <c r="AH750" s="16">
        <f t="shared" si="8"/>
        <v>4.702101413201462E-11</v>
      </c>
      <c r="AI750" s="16">
        <v>4.9046226968557537E-9</v>
      </c>
      <c r="AJ750" s="2"/>
    </row>
    <row r="751" spans="1:3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2">
        <f t="shared" si="9"/>
        <v>57.399999999998727</v>
      </c>
      <c r="X751" s="13">
        <f t="shared" si="0"/>
        <v>0</v>
      </c>
      <c r="Y751" s="13">
        <f t="shared" si="1"/>
        <v>0</v>
      </c>
      <c r="Z751" s="13">
        <f t="shared" si="2"/>
        <v>1.863045746258769E-19</v>
      </c>
      <c r="AA751" s="13">
        <f t="shared" si="3"/>
        <v>0</v>
      </c>
      <c r="AB751" s="13">
        <f t="shared" si="4"/>
        <v>0</v>
      </c>
      <c r="AC751" s="13">
        <f t="shared" si="5"/>
        <v>2.6633065532350088E-9</v>
      </c>
      <c r="AD751" s="2"/>
      <c r="AE751" s="13">
        <v>1.863045746258769E-19</v>
      </c>
      <c r="AF751" s="13">
        <f t="shared" si="6"/>
        <v>1.2861563590138206E-16</v>
      </c>
      <c r="AG751" s="13">
        <f t="shared" si="7"/>
        <v>4.6706007692692516E-14</v>
      </c>
      <c r="AH751" s="13">
        <f t="shared" si="8"/>
        <v>2.4104757712279311E-11</v>
      </c>
      <c r="AI751" s="13">
        <v>2.6633065532347722E-9</v>
      </c>
      <c r="AJ751" s="2"/>
    </row>
    <row r="752" spans="1:3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5">
        <f t="shared" si="9"/>
        <v>57.449999999998724</v>
      </c>
      <c r="X752" s="16">
        <f t="shared" si="0"/>
        <v>0</v>
      </c>
      <c r="Y752" s="16">
        <f t="shared" si="1"/>
        <v>0</v>
      </c>
      <c r="Z752" s="16">
        <f t="shared" si="2"/>
        <v>8.012323866602485E-20</v>
      </c>
      <c r="AA752" s="16">
        <f t="shared" si="3"/>
        <v>0</v>
      </c>
      <c r="AB752" s="16">
        <f t="shared" si="4"/>
        <v>0</v>
      </c>
      <c r="AC752" s="16">
        <f t="shared" si="5"/>
        <v>1.437051724695615E-9</v>
      </c>
      <c r="AD752" s="2"/>
      <c r="AE752" s="16">
        <v>8.012323866602485E-20</v>
      </c>
      <c r="AF752" s="16">
        <f t="shared" si="6"/>
        <v>5.8488863468715162E-17</v>
      </c>
      <c r="AG752" s="16">
        <f t="shared" si="7"/>
        <v>2.2472535762104844E-14</v>
      </c>
      <c r="AH752" s="16">
        <f t="shared" si="8"/>
        <v>1.2278320122844799E-11</v>
      </c>
      <c r="AI752" s="16">
        <v>1.4370517246954874E-9</v>
      </c>
      <c r="AJ752" s="2"/>
    </row>
    <row r="753" spans="1:3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2">
        <f t="shared" si="9"/>
        <v>57.499999999998721</v>
      </c>
      <c r="X753" s="13">
        <f t="shared" si="0"/>
        <v>0</v>
      </c>
      <c r="Y753" s="13">
        <f t="shared" si="1"/>
        <v>0</v>
      </c>
      <c r="Z753" s="13">
        <f t="shared" si="2"/>
        <v>3.4236502405447867E-20</v>
      </c>
      <c r="AA753" s="13">
        <f t="shared" si="3"/>
        <v>0</v>
      </c>
      <c r="AB753" s="13">
        <f t="shared" si="4"/>
        <v>0</v>
      </c>
      <c r="AC753" s="13">
        <f t="shared" si="5"/>
        <v>7.70476383279295E-10</v>
      </c>
      <c r="AD753" s="2"/>
      <c r="AE753" s="13">
        <v>3.4236502405447867E-20</v>
      </c>
      <c r="AF753" s="13">
        <f t="shared" si="6"/>
        <v>2.6427624055401603E-17</v>
      </c>
      <c r="AG753" s="13">
        <f t="shared" si="7"/>
        <v>1.0743524148991574E-14</v>
      </c>
      <c r="AH753" s="13">
        <f t="shared" si="8"/>
        <v>6.2144190693233652E-12</v>
      </c>
      <c r="AI753" s="13">
        <v>7.7047638327922665E-10</v>
      </c>
      <c r="AJ753" s="2"/>
    </row>
    <row r="754" spans="1:3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5">
        <f t="shared" si="9"/>
        <v>57.549999999998718</v>
      </c>
      <c r="X754" s="16">
        <f t="shared" si="0"/>
        <v>0</v>
      </c>
      <c r="Y754" s="16">
        <f t="shared" si="1"/>
        <v>0</v>
      </c>
      <c r="Z754" s="16">
        <f t="shared" si="2"/>
        <v>1.453503910624014E-20</v>
      </c>
      <c r="AA754" s="16">
        <f t="shared" si="3"/>
        <v>0</v>
      </c>
      <c r="AB754" s="16">
        <f t="shared" si="4"/>
        <v>0</v>
      </c>
      <c r="AC754" s="16">
        <f t="shared" si="5"/>
        <v>4.1047050022413103E-10</v>
      </c>
      <c r="AD754" s="2"/>
      <c r="AE754" s="16">
        <v>1.4535039106240137E-20</v>
      </c>
      <c r="AF754" s="16">
        <f t="shared" si="6"/>
        <v>1.1864476555967495E-17</v>
      </c>
      <c r="AG754" s="16">
        <f t="shared" si="7"/>
        <v>5.1033669756616402E-15</v>
      </c>
      <c r="AH754" s="16">
        <f t="shared" si="8"/>
        <v>3.1252698596223307E-12</v>
      </c>
      <c r="AI754" s="16">
        <v>4.1047050022409448E-10</v>
      </c>
      <c r="AJ754" s="2"/>
    </row>
    <row r="755" spans="1:3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2">
        <f t="shared" si="9"/>
        <v>57.599999999998715</v>
      </c>
      <c r="X755" s="13">
        <f t="shared" si="0"/>
        <v>0</v>
      </c>
      <c r="Y755" s="13">
        <f t="shared" si="1"/>
        <v>0</v>
      </c>
      <c r="Z755" s="13">
        <f t="shared" si="2"/>
        <v>6.1311075836204536E-21</v>
      </c>
      <c r="AA755" s="13">
        <f t="shared" si="3"/>
        <v>0</v>
      </c>
      <c r="AB755" s="13">
        <f t="shared" si="4"/>
        <v>0</v>
      </c>
      <c r="AC755" s="13">
        <f t="shared" si="5"/>
        <v>2.172902594258802E-10</v>
      </c>
      <c r="AD755" s="2"/>
      <c r="AE755" s="13">
        <v>6.1311075836204536E-21</v>
      </c>
      <c r="AF755" s="13">
        <f t="shared" si="6"/>
        <v>5.2923013992065172E-18</v>
      </c>
      <c r="AG755" s="13">
        <f t="shared" si="7"/>
        <v>2.4086970677646774E-15</v>
      </c>
      <c r="AH755" s="13">
        <f t="shared" si="8"/>
        <v>1.5617082816106431E-12</v>
      </c>
      <c r="AI755" s="13">
        <v>2.1729025942586014E-10</v>
      </c>
      <c r="AJ755" s="2"/>
    </row>
    <row r="756" spans="1:3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5">
        <f t="shared" si="9"/>
        <v>57.649999999998712</v>
      </c>
      <c r="X756" s="16">
        <f t="shared" si="0"/>
        <v>0</v>
      </c>
      <c r="Y756" s="16">
        <f t="shared" si="1"/>
        <v>0</v>
      </c>
      <c r="Z756" s="16">
        <f t="shared" si="2"/>
        <v>2.5695530455034003E-21</v>
      </c>
      <c r="AA756" s="16">
        <f t="shared" si="3"/>
        <v>0</v>
      </c>
      <c r="AB756" s="16">
        <f t="shared" si="4"/>
        <v>0</v>
      </c>
      <c r="AC756" s="16">
        <f t="shared" si="5"/>
        <v>1.1429684820628525E-10</v>
      </c>
      <c r="AD756" s="2"/>
      <c r="AE756" s="16">
        <v>2.5695530455034007E-21</v>
      </c>
      <c r="AF756" s="16">
        <f t="shared" si="6"/>
        <v>2.3455574850721316E-18</v>
      </c>
      <c r="AG756" s="16">
        <f t="shared" si="7"/>
        <v>1.1295954110174297E-15</v>
      </c>
      <c r="AH756" s="16">
        <f t="shared" si="8"/>
        <v>7.7542126307685938E-13</v>
      </c>
      <c r="AI756" s="16">
        <v>1.1429684820627469E-10</v>
      </c>
      <c r="AJ756" s="2"/>
    </row>
    <row r="757" spans="1:3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2">
        <f t="shared" si="9"/>
        <v>57.69999999999871</v>
      </c>
      <c r="X757" s="13">
        <f t="shared" si="0"/>
        <v>0</v>
      </c>
      <c r="Y757" s="13">
        <f t="shared" si="1"/>
        <v>0</v>
      </c>
      <c r="Z757" s="13">
        <f t="shared" si="2"/>
        <v>1.0699713696149461E-21</v>
      </c>
      <c r="AA757" s="13">
        <f t="shared" si="3"/>
        <v>0</v>
      </c>
      <c r="AB757" s="13">
        <f t="shared" si="4"/>
        <v>0</v>
      </c>
      <c r="AC757" s="13">
        <f t="shared" si="5"/>
        <v>5.9739824073985561E-11</v>
      </c>
      <c r="AD757" s="2"/>
      <c r="AE757" s="13">
        <v>1.0699713696149461E-21</v>
      </c>
      <c r="AF757" s="13">
        <f t="shared" si="6"/>
        <v>1.0328877277396656E-18</v>
      </c>
      <c r="AG757" s="13">
        <f t="shared" si="7"/>
        <v>5.2635530600886691E-16</v>
      </c>
      <c r="AH757" s="13">
        <f t="shared" si="8"/>
        <v>3.8256118224285262E-13</v>
      </c>
      <c r="AI757" s="13">
        <v>5.9739824073980042E-11</v>
      </c>
      <c r="AJ757" s="2"/>
    </row>
    <row r="758" spans="1:3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5">
        <f t="shared" si="9"/>
        <v>57.749999999998707</v>
      </c>
      <c r="X758" s="16">
        <f t="shared" si="0"/>
        <v>0</v>
      </c>
      <c r="Y758" s="16">
        <f t="shared" si="1"/>
        <v>0</v>
      </c>
      <c r="Z758" s="16">
        <f t="shared" si="2"/>
        <v>4.4267260347833198E-22</v>
      </c>
      <c r="AA758" s="16">
        <f t="shared" si="3"/>
        <v>0</v>
      </c>
      <c r="AB758" s="16">
        <f t="shared" si="4"/>
        <v>0</v>
      </c>
      <c r="AC758" s="16">
        <f t="shared" si="5"/>
        <v>3.1026251773834684E-11</v>
      </c>
      <c r="AD758" s="2"/>
      <c r="AE758" s="16">
        <v>4.4267260347833198E-22</v>
      </c>
      <c r="AF758" s="16">
        <f t="shared" si="6"/>
        <v>4.5192428362394739E-19</v>
      </c>
      <c r="AG758" s="16">
        <f t="shared" si="7"/>
        <v>2.4369714515917223E-16</v>
      </c>
      <c r="AH758" s="16">
        <f t="shared" si="8"/>
        <v>1.8753809437474374E-13</v>
      </c>
      <c r="AI758" s="16">
        <v>3.1026251773831601E-11</v>
      </c>
      <c r="AJ758" s="2"/>
    </row>
    <row r="759" spans="1:3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2">
        <f t="shared" si="9"/>
        <v>57.799999999998704</v>
      </c>
      <c r="X759" s="13">
        <f t="shared" si="0"/>
        <v>0</v>
      </c>
      <c r="Y759" s="13">
        <f t="shared" si="1"/>
        <v>0</v>
      </c>
      <c r="Z759" s="13">
        <f t="shared" si="2"/>
        <v>1.8196549834521709E-22</v>
      </c>
      <c r="AA759" s="13">
        <f t="shared" si="3"/>
        <v>0</v>
      </c>
      <c r="AB759" s="13">
        <f t="shared" si="4"/>
        <v>0</v>
      </c>
      <c r="AC759" s="13">
        <f t="shared" si="5"/>
        <v>1.6011439323927374E-11</v>
      </c>
      <c r="AD759" s="2"/>
      <c r="AE759" s="13">
        <v>1.8196549834521709E-22</v>
      </c>
      <c r="AF759" s="13">
        <f t="shared" si="6"/>
        <v>1.9646435364737902E-19</v>
      </c>
      <c r="AG759" s="13">
        <f t="shared" si="7"/>
        <v>1.1210816094386379E-16</v>
      </c>
      <c r="AH759" s="13">
        <f t="shared" si="8"/>
        <v>9.1348937265489792E-14</v>
      </c>
      <c r="AI759" s="13">
        <v>1.6011439323925894E-11</v>
      </c>
      <c r="AJ759" s="2"/>
    </row>
    <row r="760" spans="1:3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5">
        <f t="shared" si="9"/>
        <v>57.849999999998701</v>
      </c>
      <c r="X760" s="16">
        <f t="shared" si="0"/>
        <v>0</v>
      </c>
      <c r="Y760" s="16">
        <f t="shared" si="1"/>
        <v>0</v>
      </c>
      <c r="Z760" s="16">
        <f t="shared" si="2"/>
        <v>7.4317548646887988E-23</v>
      </c>
      <c r="AA760" s="16">
        <f t="shared" si="3"/>
        <v>0</v>
      </c>
      <c r="AB760" s="16">
        <f t="shared" si="4"/>
        <v>0</v>
      </c>
      <c r="AC760" s="16">
        <f t="shared" si="5"/>
        <v>8.2104530847414013E-12</v>
      </c>
      <c r="AD760" s="2"/>
      <c r="AE760" s="16">
        <v>7.4317548646887988E-23</v>
      </c>
      <c r="AF760" s="16">
        <f t="shared" si="6"/>
        <v>8.4860849296564613E-20</v>
      </c>
      <c r="AG760" s="16">
        <f t="shared" si="7"/>
        <v>5.124356849821463E-17</v>
      </c>
      <c r="AH760" s="16">
        <f t="shared" si="8"/>
        <v>4.4212279048633769E-14</v>
      </c>
      <c r="AI760" s="16">
        <v>8.2104530847406436E-12</v>
      </c>
      <c r="AJ760" s="2"/>
    </row>
    <row r="761" spans="1:3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2">
        <f t="shared" si="9"/>
        <v>57.899999999998698</v>
      </c>
      <c r="X761" s="13">
        <f t="shared" si="0"/>
        <v>0</v>
      </c>
      <c r="Y761" s="13">
        <f t="shared" si="1"/>
        <v>0</v>
      </c>
      <c r="Z761" s="13">
        <f t="shared" si="2"/>
        <v>3.0157103014462988E-23</v>
      </c>
      <c r="AA761" s="13">
        <f t="shared" si="3"/>
        <v>0</v>
      </c>
      <c r="AB761" s="13">
        <f t="shared" si="4"/>
        <v>0</v>
      </c>
      <c r="AC761" s="13">
        <f t="shared" si="5"/>
        <v>4.1834979661657193E-12</v>
      </c>
      <c r="AD761" s="2"/>
      <c r="AE761" s="13">
        <v>3.0157103014462988E-23</v>
      </c>
      <c r="AF761" s="13">
        <f t="shared" si="6"/>
        <v>3.6419712128583032E-20</v>
      </c>
      <c r="AG761" s="13">
        <f t="shared" si="7"/>
        <v>2.3273240269673098E-17</v>
      </c>
      <c r="AH761" s="13">
        <f t="shared" si="8"/>
        <v>2.1262175980024955E-14</v>
      </c>
      <c r="AI761" s="13">
        <v>4.1834979661653332E-12</v>
      </c>
      <c r="AJ761" s="2"/>
    </row>
    <row r="762" spans="1:3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5">
        <f t="shared" si="9"/>
        <v>57.949999999998695</v>
      </c>
      <c r="X762" s="16">
        <f t="shared" si="0"/>
        <v>0</v>
      </c>
      <c r="Y762" s="16">
        <f t="shared" si="1"/>
        <v>0</v>
      </c>
      <c r="Z762" s="16">
        <f t="shared" si="2"/>
        <v>1.2158605891195798E-23</v>
      </c>
      <c r="AA762" s="16">
        <f t="shared" si="3"/>
        <v>0</v>
      </c>
      <c r="AB762" s="16">
        <f t="shared" si="4"/>
        <v>0</v>
      </c>
      <c r="AC762" s="16">
        <f t="shared" si="5"/>
        <v>2.118105992678888E-12</v>
      </c>
      <c r="AD762" s="2"/>
      <c r="AE762" s="16">
        <v>1.2158605891195798E-23</v>
      </c>
      <c r="AF762" s="16">
        <f t="shared" si="6"/>
        <v>1.5529989714294614E-20</v>
      </c>
      <c r="AG762" s="16">
        <f t="shared" si="7"/>
        <v>1.0502427475092266E-17</v>
      </c>
      <c r="AH762" s="16">
        <f t="shared" si="8"/>
        <v>1.0160098466777046E-14</v>
      </c>
      <c r="AI762" s="16">
        <v>2.1181059926786925E-12</v>
      </c>
      <c r="AJ762" s="2"/>
    </row>
    <row r="763" spans="1:3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2">
        <f t="shared" si="9"/>
        <v>57.999999999998693</v>
      </c>
      <c r="X763" s="13">
        <f t="shared" si="0"/>
        <v>0</v>
      </c>
      <c r="Y763" s="13">
        <f t="shared" si="1"/>
        <v>0</v>
      </c>
      <c r="Z763" s="13">
        <f t="shared" si="2"/>
        <v>4.8705035246071397E-24</v>
      </c>
      <c r="AA763" s="13">
        <f t="shared" si="3"/>
        <v>0</v>
      </c>
      <c r="AB763" s="13">
        <f t="shared" si="4"/>
        <v>0</v>
      </c>
      <c r="AC763" s="13">
        <f t="shared" si="5"/>
        <v>1.0655933563626513E-12</v>
      </c>
      <c r="AD763" s="2"/>
      <c r="AE763" s="13">
        <v>4.8705035246071397E-24</v>
      </c>
      <c r="AF763" s="13">
        <f t="shared" si="6"/>
        <v>6.5797796853711725E-21</v>
      </c>
      <c r="AG763" s="13">
        <f t="shared" si="7"/>
        <v>4.7090996386913569E-18</v>
      </c>
      <c r="AH763" s="13">
        <f t="shared" si="8"/>
        <v>4.8240691913221487E-15</v>
      </c>
      <c r="AI763" s="13">
        <v>1.0655933563625527E-12</v>
      </c>
      <c r="AJ763" s="2"/>
    </row>
    <row r="764" spans="1:3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5">
        <f t="shared" si="9"/>
        <v>58.04999999999869</v>
      </c>
      <c r="X764" s="16">
        <f t="shared" si="0"/>
        <v>0</v>
      </c>
      <c r="Y764" s="16">
        <f t="shared" si="1"/>
        <v>0</v>
      </c>
      <c r="Z764" s="16">
        <f t="shared" si="2"/>
        <v>1.9384734671554424E-24</v>
      </c>
      <c r="AA764" s="16">
        <f t="shared" si="3"/>
        <v>0</v>
      </c>
      <c r="AB764" s="16">
        <f t="shared" si="4"/>
        <v>0</v>
      </c>
      <c r="AC764" s="16">
        <f t="shared" si="5"/>
        <v>5.3268566258401138E-13</v>
      </c>
      <c r="AD764" s="2"/>
      <c r="AE764" s="16">
        <v>1.9384734671554424E-24</v>
      </c>
      <c r="AF764" s="16">
        <f t="shared" si="6"/>
        <v>2.7698551666975944E-21</v>
      </c>
      <c r="AG764" s="16">
        <f t="shared" si="7"/>
        <v>2.0979803615179493E-18</v>
      </c>
      <c r="AH764" s="16">
        <f t="shared" si="8"/>
        <v>2.2759071605680639E-15</v>
      </c>
      <c r="AI764" s="16">
        <v>5.3268566258395837E-13</v>
      </c>
      <c r="AJ764" s="2"/>
    </row>
    <row r="765" spans="1:3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2">
        <f t="shared" si="9"/>
        <v>58.099999999998687</v>
      </c>
      <c r="X765" s="13">
        <f t="shared" si="0"/>
        <v>0</v>
      </c>
      <c r="Y765" s="13">
        <f t="shared" si="1"/>
        <v>0</v>
      </c>
      <c r="Z765" s="13">
        <f t="shared" si="2"/>
        <v>7.665522778767842E-25</v>
      </c>
      <c r="AA765" s="13">
        <f t="shared" si="3"/>
        <v>0</v>
      </c>
      <c r="AB765" s="13">
        <f t="shared" si="4"/>
        <v>0</v>
      </c>
      <c r="AC765" s="13">
        <f t="shared" si="5"/>
        <v>2.6459778225221528E-13</v>
      </c>
      <c r="AD765" s="2"/>
      <c r="AE765" s="13">
        <v>7.665522778767842E-25</v>
      </c>
      <c r="AF765" s="13">
        <f t="shared" si="6"/>
        <v>1.1585326937388039E-21</v>
      </c>
      <c r="AG765" s="13">
        <f t="shared" si="7"/>
        <v>9.2871039787195908E-19</v>
      </c>
      <c r="AH765" s="13">
        <f t="shared" si="8"/>
        <v>1.0668932290115059E-15</v>
      </c>
      <c r="AI765" s="13">
        <v>2.6459778225218897E-13</v>
      </c>
      <c r="AJ765" s="2"/>
    </row>
    <row r="766" spans="1:3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5">
        <f t="shared" si="9"/>
        <v>58.149999999998684</v>
      </c>
      <c r="X766" s="16">
        <f t="shared" si="0"/>
        <v>0</v>
      </c>
      <c r="Y766" s="16">
        <f t="shared" si="1"/>
        <v>0</v>
      </c>
      <c r="Z766" s="16">
        <f t="shared" si="2"/>
        <v>3.011754823727303E-25</v>
      </c>
      <c r="AA766" s="16">
        <f t="shared" si="3"/>
        <v>0</v>
      </c>
      <c r="AB766" s="16">
        <f t="shared" si="4"/>
        <v>0</v>
      </c>
      <c r="AC766" s="16">
        <f t="shared" si="5"/>
        <v>1.3059816663050381E-13</v>
      </c>
      <c r="AD766" s="2"/>
      <c r="AE766" s="16">
        <v>3.011754823727303E-25</v>
      </c>
      <c r="AF766" s="16">
        <f t="shared" si="6"/>
        <v>4.8146536620713557E-22</v>
      </c>
      <c r="AG766" s="16">
        <f t="shared" si="7"/>
        <v>4.0848352738052284E-19</v>
      </c>
      <c r="AH766" s="16">
        <f t="shared" si="8"/>
        <v>4.9695009537298103E-16</v>
      </c>
      <c r="AI766" s="16">
        <v>1.3059816663049084E-13</v>
      </c>
      <c r="AJ766" s="2"/>
    </row>
    <row r="767" spans="1:3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2">
        <f t="shared" si="9"/>
        <v>58.199999999998681</v>
      </c>
      <c r="X767" s="13">
        <f t="shared" si="0"/>
        <v>0</v>
      </c>
      <c r="Y767" s="13">
        <f t="shared" si="1"/>
        <v>0</v>
      </c>
      <c r="Z767" s="13">
        <f t="shared" si="2"/>
        <v>1.1756914752066224E-25</v>
      </c>
      <c r="AA767" s="13">
        <f t="shared" si="3"/>
        <v>0</v>
      </c>
      <c r="AB767" s="13">
        <f t="shared" si="4"/>
        <v>0</v>
      </c>
      <c r="AC767" s="13">
        <f t="shared" si="5"/>
        <v>6.4050665884875604E-14</v>
      </c>
      <c r="AD767" s="2"/>
      <c r="AE767" s="13">
        <v>1.1756914752066224E-25</v>
      </c>
      <c r="AF767" s="13">
        <f t="shared" si="6"/>
        <v>1.9880501451705091E-22</v>
      </c>
      <c r="AG767" s="13">
        <f t="shared" si="7"/>
        <v>1.7851887362408561E-19</v>
      </c>
      <c r="AH767" s="13">
        <f t="shared" si="8"/>
        <v>2.3000114622624575E-16</v>
      </c>
      <c r="AI767" s="13">
        <v>6.405066588486923E-14</v>
      </c>
      <c r="AJ767" s="2"/>
    </row>
    <row r="768" spans="1:3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5">
        <f t="shared" si="9"/>
        <v>58.249999999998678</v>
      </c>
      <c r="X768" s="16">
        <f t="shared" si="0"/>
        <v>0</v>
      </c>
      <c r="Y768" s="16">
        <f t="shared" si="1"/>
        <v>0</v>
      </c>
      <c r="Z768" s="16">
        <f t="shared" si="2"/>
        <v>4.5599810968039495E-26</v>
      </c>
      <c r="AA768" s="16">
        <f t="shared" si="3"/>
        <v>0</v>
      </c>
      <c r="AB768" s="16">
        <f t="shared" si="4"/>
        <v>0</v>
      </c>
      <c r="AC768" s="16">
        <f t="shared" si="5"/>
        <v>3.1213747036218479E-14</v>
      </c>
      <c r="AD768" s="2"/>
      <c r="AE768" s="16">
        <v>4.5599810968039495E-26</v>
      </c>
      <c r="AF768" s="16">
        <f t="shared" si="6"/>
        <v>8.1563366290079454E-23</v>
      </c>
      <c r="AG768" s="16">
        <f t="shared" si="7"/>
        <v>7.7519163675353854E-20</v>
      </c>
      <c r="AH768" s="16">
        <f t="shared" si="8"/>
        <v>1.0577246488659835E-16</v>
      </c>
      <c r="AI768" s="16">
        <v>3.1213747036215154E-14</v>
      </c>
      <c r="AJ768" s="2"/>
    </row>
    <row r="769" spans="1:3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2">
        <f t="shared" si="9"/>
        <v>58.299999999998676</v>
      </c>
      <c r="X769" s="13">
        <f t="shared" si="0"/>
        <v>0</v>
      </c>
      <c r="Y769" s="13">
        <f t="shared" si="1"/>
        <v>0</v>
      </c>
      <c r="Z769" s="13">
        <f t="shared" si="2"/>
        <v>1.7572301007547512E-26</v>
      </c>
      <c r="AA769" s="13">
        <f t="shared" si="3"/>
        <v>0</v>
      </c>
      <c r="AB769" s="13">
        <f t="shared" si="4"/>
        <v>0</v>
      </c>
      <c r="AC769" s="13">
        <f t="shared" si="5"/>
        <v>1.5114850367370244E-14</v>
      </c>
      <c r="AD769" s="2"/>
      <c r="AE769" s="13">
        <v>1.7572301007547512E-26</v>
      </c>
      <c r="AF769" s="13">
        <f t="shared" si="6"/>
        <v>3.3248225661678578E-23</v>
      </c>
      <c r="AG769" s="13">
        <f t="shared" si="7"/>
        <v>3.3446399256968065E-20</v>
      </c>
      <c r="AH769" s="13">
        <f t="shared" si="8"/>
        <v>4.8332655023873905E-17</v>
      </c>
      <c r="AI769" s="13">
        <v>1.5114850367368739E-14</v>
      </c>
      <c r="AJ769" s="2"/>
    </row>
    <row r="770" spans="1:3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5">
        <f t="shared" si="9"/>
        <v>58.349999999998673</v>
      </c>
      <c r="X770" s="16">
        <f t="shared" si="0"/>
        <v>0</v>
      </c>
      <c r="Y770" s="16">
        <f t="shared" si="1"/>
        <v>0</v>
      </c>
      <c r="Z770" s="16">
        <f t="shared" si="2"/>
        <v>6.7280644673236802E-27</v>
      </c>
      <c r="AA770" s="16">
        <f t="shared" si="3"/>
        <v>0</v>
      </c>
      <c r="AB770" s="16">
        <f t="shared" si="4"/>
        <v>0</v>
      </c>
      <c r="AC770" s="16">
        <f t="shared" si="5"/>
        <v>7.2727303616232668E-15</v>
      </c>
      <c r="AD770" s="2"/>
      <c r="AE770" s="16">
        <v>6.7280644673236802E-27</v>
      </c>
      <c r="AF770" s="16">
        <f t="shared" si="6"/>
        <v>1.3466270374994159E-23</v>
      </c>
      <c r="AG770" s="16">
        <f t="shared" si="7"/>
        <v>1.4338542609875368E-20</v>
      </c>
      <c r="AH770" s="16">
        <f t="shared" si="8"/>
        <v>2.1944924081721761E-17</v>
      </c>
      <c r="AI770" s="16">
        <v>7.2727303616225426E-15</v>
      </c>
      <c r="AJ770" s="2"/>
    </row>
    <row r="771" spans="1:3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2">
        <f t="shared" si="9"/>
        <v>58.39999999999867</v>
      </c>
      <c r="X771" s="13">
        <f t="shared" si="0"/>
        <v>0</v>
      </c>
      <c r="Y771" s="13">
        <f t="shared" si="1"/>
        <v>0</v>
      </c>
      <c r="Z771" s="13">
        <f t="shared" si="2"/>
        <v>2.5594554397615626E-27</v>
      </c>
      <c r="AA771" s="13">
        <f t="shared" si="3"/>
        <v>0</v>
      </c>
      <c r="AB771" s="13">
        <f t="shared" si="4"/>
        <v>0</v>
      </c>
      <c r="AC771" s="13">
        <f t="shared" si="5"/>
        <v>3.4771770845319506E-15</v>
      </c>
      <c r="AD771" s="2"/>
      <c r="AE771" s="13">
        <v>2.5594554397615626E-27</v>
      </c>
      <c r="AF771" s="13">
        <f t="shared" si="6"/>
        <v>5.4191567224502595E-24</v>
      </c>
      <c r="AG771" s="13">
        <f t="shared" si="7"/>
        <v>6.1076761783631543E-21</v>
      </c>
      <c r="AH771" s="13">
        <f t="shared" si="8"/>
        <v>9.900403968924211E-18</v>
      </c>
      <c r="AI771" s="13">
        <v>3.4771770845315799E-15</v>
      </c>
      <c r="AJ771" s="2"/>
    </row>
    <row r="772" spans="1:3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5">
        <f t="shared" si="9"/>
        <v>58.449999999998667</v>
      </c>
      <c r="X772" s="16">
        <f t="shared" si="0"/>
        <v>0</v>
      </c>
      <c r="Y772" s="16">
        <f t="shared" si="1"/>
        <v>0</v>
      </c>
      <c r="Z772" s="16">
        <f t="shared" si="2"/>
        <v>9.6738849948855943E-28</v>
      </c>
      <c r="AA772" s="16">
        <f t="shared" si="3"/>
        <v>0</v>
      </c>
      <c r="AB772" s="16">
        <f t="shared" si="4"/>
        <v>0</v>
      </c>
      <c r="AC772" s="16">
        <f t="shared" si="5"/>
        <v>1.6519306829694358E-15</v>
      </c>
      <c r="AD772" s="2"/>
      <c r="AE772" s="16">
        <v>9.6738849948855943E-28</v>
      </c>
      <c r="AF772" s="16">
        <f t="shared" si="6"/>
        <v>2.1668139190632298E-24</v>
      </c>
      <c r="AG772" s="16">
        <f t="shared" si="7"/>
        <v>2.5850107032074852E-21</v>
      </c>
      <c r="AH772" s="16">
        <f t="shared" si="8"/>
        <v>4.4381006902215399E-18</v>
      </c>
      <c r="AI772" s="16">
        <v>1.6519306829692597E-15</v>
      </c>
      <c r="AJ772" s="2"/>
    </row>
    <row r="773" spans="1:3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2">
        <f t="shared" si="9"/>
        <v>58.499999999998664</v>
      </c>
      <c r="X773" s="13">
        <f t="shared" si="0"/>
        <v>0</v>
      </c>
      <c r="Y773" s="13">
        <f t="shared" si="1"/>
        <v>0</v>
      </c>
      <c r="Z773" s="13">
        <f t="shared" si="2"/>
        <v>3.6328727494442163E-28</v>
      </c>
      <c r="AA773" s="13">
        <f t="shared" si="3"/>
        <v>0</v>
      </c>
      <c r="AB773" s="13">
        <f t="shared" si="4"/>
        <v>0</v>
      </c>
      <c r="AC773" s="13">
        <f t="shared" si="5"/>
        <v>7.7981667801120556E-16</v>
      </c>
      <c r="AD773" s="2"/>
      <c r="AE773" s="13">
        <v>3.6328727494442163E-28</v>
      </c>
      <c r="AF773" s="13">
        <f t="shared" si="6"/>
        <v>8.6082931271748607E-25</v>
      </c>
      <c r="AG773" s="13">
        <f t="shared" si="7"/>
        <v>1.0870863397432142E-21</v>
      </c>
      <c r="AH773" s="13">
        <f t="shared" si="8"/>
        <v>1.9768184664920387E-18</v>
      </c>
      <c r="AI773" s="13">
        <v>7.7981667801112253E-16</v>
      </c>
      <c r="AJ773" s="2"/>
    </row>
    <row r="774" spans="1:3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5">
        <f t="shared" si="9"/>
        <v>58.549999999998661</v>
      </c>
      <c r="X774" s="16">
        <f t="shared" si="0"/>
        <v>0</v>
      </c>
      <c r="Y774" s="16">
        <f t="shared" si="1"/>
        <v>0</v>
      </c>
      <c r="Z774" s="16">
        <f t="shared" si="2"/>
        <v>1.3554870417865537E-28</v>
      </c>
      <c r="AA774" s="16">
        <f t="shared" si="3"/>
        <v>0</v>
      </c>
      <c r="AB774" s="16">
        <f t="shared" si="4"/>
        <v>0</v>
      </c>
      <c r="AC774" s="16">
        <f t="shared" si="5"/>
        <v>3.6578753938543769E-16</v>
      </c>
      <c r="AD774" s="2"/>
      <c r="AE774" s="16">
        <v>1.3554870417865537E-28</v>
      </c>
      <c r="AF774" s="16">
        <f t="shared" si="6"/>
        <v>3.3979579645954833E-25</v>
      </c>
      <c r="AG774" s="16">
        <f t="shared" si="7"/>
        <v>4.5423550938941909E-22</v>
      </c>
      <c r="AH774" s="16">
        <f t="shared" si="8"/>
        <v>8.7490687721298689E-19</v>
      </c>
      <c r="AI774" s="16">
        <v>3.6578753938539874E-16</v>
      </c>
      <c r="AJ774" s="2"/>
    </row>
    <row r="775" spans="1:3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2">
        <f t="shared" si="9"/>
        <v>58.599999999998658</v>
      </c>
      <c r="X775" s="13">
        <f t="shared" si="0"/>
        <v>0</v>
      </c>
      <c r="Y775" s="13">
        <f t="shared" si="1"/>
        <v>0</v>
      </c>
      <c r="Z775" s="13">
        <f t="shared" si="2"/>
        <v>5.0250047078761498E-29</v>
      </c>
      <c r="AA775" s="13">
        <f t="shared" si="3"/>
        <v>0</v>
      </c>
      <c r="AB775" s="13">
        <f t="shared" si="4"/>
        <v>0</v>
      </c>
      <c r="AC775" s="13">
        <f t="shared" si="5"/>
        <v>1.7049081362382028E-16</v>
      </c>
      <c r="AD775" s="2"/>
      <c r="AE775" s="13">
        <v>5.0250047078761498E-29</v>
      </c>
      <c r="AF775" s="13">
        <f t="shared" si="6"/>
        <v>1.3326757083418192E-25</v>
      </c>
      <c r="AG775" s="13">
        <f t="shared" si="7"/>
        <v>1.8858774842281745E-22</v>
      </c>
      <c r="AH775" s="13">
        <f t="shared" si="8"/>
        <v>3.8475322958603903E-19</v>
      </c>
      <c r="AI775" s="13">
        <v>1.7049081362380209E-16</v>
      </c>
      <c r="AJ775" s="2"/>
    </row>
    <row r="776" spans="1:3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5">
        <f t="shared" si="9"/>
        <v>58.649999999998656</v>
      </c>
      <c r="X776" s="16">
        <f t="shared" si="0"/>
        <v>0</v>
      </c>
      <c r="Y776" s="16">
        <f t="shared" si="1"/>
        <v>0</v>
      </c>
      <c r="Z776" s="16">
        <f t="shared" si="2"/>
        <v>1.8508596786147436E-29</v>
      </c>
      <c r="AA776" s="16">
        <f t="shared" si="3"/>
        <v>0</v>
      </c>
      <c r="AB776" s="16">
        <f t="shared" si="4"/>
        <v>0</v>
      </c>
      <c r="AC776" s="16">
        <f t="shared" si="5"/>
        <v>7.8960292416320238E-17</v>
      </c>
      <c r="AD776" s="2"/>
      <c r="AE776" s="16">
        <v>1.8508596786147436E-29</v>
      </c>
      <c r="AF776" s="16">
        <f t="shared" si="6"/>
        <v>5.1932171879046069E-26</v>
      </c>
      <c r="AG776" s="16">
        <f t="shared" si="7"/>
        <v>7.7796707919247803E-23</v>
      </c>
      <c r="AH776" s="16">
        <f t="shared" si="8"/>
        <v>1.6812338297094096E-19</v>
      </c>
      <c r="AI776" s="16">
        <v>7.8960292416311807E-17</v>
      </c>
      <c r="AJ776" s="2"/>
    </row>
    <row r="777" spans="1:3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2">
        <f t="shared" si="9"/>
        <v>58.699999999998653</v>
      </c>
      <c r="X777" s="13">
        <f t="shared" si="0"/>
        <v>0</v>
      </c>
      <c r="Y777" s="13">
        <f t="shared" si="1"/>
        <v>0</v>
      </c>
      <c r="Z777" s="13">
        <f t="shared" si="2"/>
        <v>6.7733954892091362E-30</v>
      </c>
      <c r="AA777" s="13">
        <f t="shared" si="3"/>
        <v>0</v>
      </c>
      <c r="AB777" s="13">
        <f t="shared" si="4"/>
        <v>0</v>
      </c>
      <c r="AC777" s="13">
        <f t="shared" si="5"/>
        <v>3.6337262069422112E-17</v>
      </c>
      <c r="AD777" s="2"/>
      <c r="AE777" s="13">
        <v>6.7733954892091348E-30</v>
      </c>
      <c r="AF777" s="13">
        <f t="shared" si="6"/>
        <v>2.0107311899702446E-26</v>
      </c>
      <c r="AG777" s="13">
        <f t="shared" si="7"/>
        <v>3.1887782134199522E-23</v>
      </c>
      <c r="AH777" s="13">
        <f t="shared" si="8"/>
        <v>7.2996051564088077E-20</v>
      </c>
      <c r="AI777" s="13">
        <v>3.6337262069417989E-17</v>
      </c>
      <c r="AJ777" s="2"/>
    </row>
    <row r="778" spans="1:3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5">
        <f t="shared" si="9"/>
        <v>58.74999999999865</v>
      </c>
      <c r="X778" s="16">
        <f t="shared" si="0"/>
        <v>0</v>
      </c>
      <c r="Y778" s="16">
        <f t="shared" si="1"/>
        <v>0</v>
      </c>
      <c r="Z778" s="16">
        <f t="shared" si="2"/>
        <v>2.4628348625808637E-30</v>
      </c>
      <c r="AA778" s="16">
        <f t="shared" si="3"/>
        <v>0</v>
      </c>
      <c r="AB778" s="16">
        <f t="shared" si="4"/>
        <v>0</v>
      </c>
      <c r="AC778" s="16">
        <f t="shared" si="5"/>
        <v>1.6616185908503179E-17</v>
      </c>
      <c r="AD778" s="2"/>
      <c r="AE778" s="16">
        <v>2.4628348625808637E-30</v>
      </c>
      <c r="AF778" s="16">
        <f t="shared" si="6"/>
        <v>7.7352983330673913E-27</v>
      </c>
      <c r="AG778" s="16">
        <f t="shared" si="7"/>
        <v>1.2986818145919021E-23</v>
      </c>
      <c r="AH778" s="16">
        <f t="shared" si="8"/>
        <v>3.1491693868861146E-20</v>
      </c>
      <c r="AI778" s="16">
        <v>1.6616185908501293E-17</v>
      </c>
      <c r="AJ778" s="2"/>
    </row>
    <row r="779" spans="1:3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2">
        <f t="shared" si="9"/>
        <v>58.799999999998647</v>
      </c>
      <c r="X779" s="13">
        <f t="shared" si="0"/>
        <v>0</v>
      </c>
      <c r="Y779" s="13">
        <f t="shared" si="1"/>
        <v>0</v>
      </c>
      <c r="Z779" s="13">
        <f t="shared" si="2"/>
        <v>8.89733759616569E-31</v>
      </c>
      <c r="AA779" s="13">
        <f t="shared" si="3"/>
        <v>0</v>
      </c>
      <c r="AB779" s="13">
        <f t="shared" si="4"/>
        <v>0</v>
      </c>
      <c r="AC779" s="13">
        <f t="shared" si="5"/>
        <v>7.5499864561367009E-18</v>
      </c>
      <c r="AD779" s="2"/>
      <c r="AE779" s="13">
        <v>8.8973375961656883E-31</v>
      </c>
      <c r="AF779" s="13">
        <f t="shared" si="6"/>
        <v>2.9566890044808448E-27</v>
      </c>
      <c r="AG779" s="13">
        <f t="shared" si="7"/>
        <v>5.2552884042495285E-24</v>
      </c>
      <c r="AH779" s="13">
        <f t="shared" si="8"/>
        <v>1.3499512191086182E-20</v>
      </c>
      <c r="AI779" s="13">
        <v>7.5499864561358427E-18</v>
      </c>
      <c r="AJ779" s="2"/>
    </row>
    <row r="780" spans="1:3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5">
        <f t="shared" si="9"/>
        <v>58.849999999998644</v>
      </c>
      <c r="X780" s="16">
        <f t="shared" si="0"/>
        <v>0</v>
      </c>
      <c r="Y780" s="16">
        <f t="shared" si="1"/>
        <v>0</v>
      </c>
      <c r="Z780" s="16">
        <f t="shared" si="2"/>
        <v>3.1936018044580246E-31</v>
      </c>
      <c r="AA780" s="16">
        <f t="shared" si="3"/>
        <v>0</v>
      </c>
      <c r="AB780" s="16">
        <f t="shared" si="4"/>
        <v>0</v>
      </c>
      <c r="AC780" s="16">
        <f t="shared" si="5"/>
        <v>3.4087620870931667E-18</v>
      </c>
      <c r="AD780" s="2"/>
      <c r="AE780" s="16">
        <v>3.1936018044580246E-31</v>
      </c>
      <c r="AF780" s="16">
        <f t="shared" si="6"/>
        <v>1.1228965537528092E-27</v>
      </c>
      <c r="AG780" s="16">
        <f t="shared" si="7"/>
        <v>2.1130301821615757E-24</v>
      </c>
      <c r="AH780" s="16">
        <f t="shared" si="8"/>
        <v>5.7499693872823689E-21</v>
      </c>
      <c r="AI780" s="16">
        <v>3.4087620870927792E-18</v>
      </c>
      <c r="AJ780" s="2"/>
    </row>
    <row r="781" spans="1:3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2">
        <f t="shared" si="9"/>
        <v>58.899999999998641</v>
      </c>
      <c r="X781" s="13">
        <f t="shared" si="0"/>
        <v>0</v>
      </c>
      <c r="Y781" s="13">
        <f t="shared" si="1"/>
        <v>0</v>
      </c>
      <c r="Z781" s="13">
        <f t="shared" si="2"/>
        <v>1.1389309082674531E-31</v>
      </c>
      <c r="AA781" s="13">
        <f t="shared" si="3"/>
        <v>0</v>
      </c>
      <c r="AB781" s="13">
        <f t="shared" si="4"/>
        <v>0</v>
      </c>
      <c r="AC781" s="13">
        <f t="shared" si="5"/>
        <v>1.5292655235008043E-18</v>
      </c>
      <c r="AD781" s="2"/>
      <c r="AE781" s="13">
        <v>1.1389309082674531E-31</v>
      </c>
      <c r="AF781" s="13">
        <f t="shared" si="6"/>
        <v>4.2372040265930149E-28</v>
      </c>
      <c r="AG781" s="13">
        <f t="shared" si="7"/>
        <v>8.4417054932041827E-25</v>
      </c>
      <c r="AH781" s="13">
        <f t="shared" si="8"/>
        <v>2.4335394575871905E-21</v>
      </c>
      <c r="AI781" s="13">
        <v>1.5292655235006087E-18</v>
      </c>
      <c r="AJ781" s="2"/>
    </row>
    <row r="782" spans="1:3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5">
        <f t="shared" si="9"/>
        <v>58.949999999998639</v>
      </c>
      <c r="X782" s="16">
        <f t="shared" si="0"/>
        <v>0</v>
      </c>
      <c r="Y782" s="16">
        <f t="shared" si="1"/>
        <v>0</v>
      </c>
      <c r="Z782" s="16">
        <f t="shared" si="2"/>
        <v>4.0356167088293752E-32</v>
      </c>
      <c r="AA782" s="16">
        <f t="shared" si="3"/>
        <v>0</v>
      </c>
      <c r="AB782" s="16">
        <f t="shared" si="4"/>
        <v>0</v>
      </c>
      <c r="AC782" s="16">
        <f t="shared" si="5"/>
        <v>6.8171804974318455E-19</v>
      </c>
      <c r="AD782" s="2"/>
      <c r="AE782" s="16">
        <v>4.0356167088293752E-32</v>
      </c>
      <c r="AF782" s="16">
        <f t="shared" si="6"/>
        <v>1.5886364699047299E-28</v>
      </c>
      <c r="AG782" s="16">
        <f t="shared" si="7"/>
        <v>3.350966171171781E-25</v>
      </c>
      <c r="AH782" s="16">
        <f t="shared" si="8"/>
        <v>1.0233793626971399E-21</v>
      </c>
      <c r="AI782" s="16">
        <v>6.8171804974310222E-19</v>
      </c>
      <c r="AJ782" s="2"/>
    </row>
    <row r="783" spans="1:3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2">
        <f t="shared" si="9"/>
        <v>58.999999999998636</v>
      </c>
      <c r="X783" s="13">
        <f t="shared" si="0"/>
        <v>0</v>
      </c>
      <c r="Y783" s="13">
        <f t="shared" si="1"/>
        <v>0</v>
      </c>
      <c r="Z783" s="13">
        <f t="shared" si="2"/>
        <v>1.4207522828412934E-32</v>
      </c>
      <c r="AA783" s="13">
        <f t="shared" si="3"/>
        <v>0</v>
      </c>
      <c r="AB783" s="13">
        <f t="shared" si="4"/>
        <v>0</v>
      </c>
      <c r="AC783" s="13">
        <f t="shared" si="5"/>
        <v>3.0196901095259674E-19</v>
      </c>
      <c r="AD783" s="2"/>
      <c r="AE783" s="13">
        <v>1.4207522828412934E-32</v>
      </c>
      <c r="AF783" s="13">
        <f t="shared" si="6"/>
        <v>5.9180033263815631E-29</v>
      </c>
      <c r="AG783" s="13">
        <f t="shared" si="7"/>
        <v>1.3216767209864707E-25</v>
      </c>
      <c r="AH783" s="13">
        <f t="shared" si="8"/>
        <v>4.2762227531108517E-22</v>
      </c>
      <c r="AI783" s="13">
        <v>3.0196901095256241E-19</v>
      </c>
      <c r="AJ783" s="2"/>
    </row>
    <row r="784" spans="1:3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5">
        <f t="shared" si="9"/>
        <v>59.049999999998633</v>
      </c>
      <c r="X784" s="16">
        <f t="shared" si="0"/>
        <v>0</v>
      </c>
      <c r="Y784" s="16">
        <f t="shared" si="1"/>
        <v>0</v>
      </c>
      <c r="Z784" s="16">
        <f t="shared" si="2"/>
        <v>4.9696148535709556E-33</v>
      </c>
      <c r="AA784" s="16">
        <f t="shared" si="3"/>
        <v>0</v>
      </c>
      <c r="AB784" s="16">
        <f t="shared" si="4"/>
        <v>0</v>
      </c>
      <c r="AC784" s="16">
        <f t="shared" si="5"/>
        <v>1.3290938504148808E-19</v>
      </c>
      <c r="AD784" s="2"/>
      <c r="AE784" s="16">
        <v>4.9696148535709556E-33</v>
      </c>
      <c r="AF784" s="16">
        <f t="shared" si="6"/>
        <v>2.1904402249230964E-29</v>
      </c>
      <c r="AG784" s="16">
        <f t="shared" si="7"/>
        <v>5.1795948257404194E-26</v>
      </c>
      <c r="AH784" s="16">
        <f t="shared" si="8"/>
        <v>1.7754538494585538E-22</v>
      </c>
      <c r="AI784" s="16">
        <v>1.3290938504147299E-19</v>
      </c>
      <c r="AJ784" s="2"/>
    </row>
    <row r="785" spans="1:3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2">
        <f t="shared" si="9"/>
        <v>59.09999999999863</v>
      </c>
      <c r="X785" s="13">
        <f t="shared" si="0"/>
        <v>0</v>
      </c>
      <c r="Y785" s="13">
        <f t="shared" si="1"/>
        <v>0</v>
      </c>
      <c r="Z785" s="13">
        <f t="shared" si="2"/>
        <v>1.7271220157764957E-33</v>
      </c>
      <c r="AA785" s="13">
        <f t="shared" si="3"/>
        <v>0</v>
      </c>
      <c r="AB785" s="13">
        <f t="shared" si="4"/>
        <v>0</v>
      </c>
      <c r="AC785" s="13">
        <f t="shared" si="5"/>
        <v>5.8127896741822284E-20</v>
      </c>
      <c r="AD785" s="2"/>
      <c r="AE785" s="13">
        <v>1.7271220157764957E-33</v>
      </c>
      <c r="AF785" s="13">
        <f t="shared" si="6"/>
        <v>8.0555116869758553E-30</v>
      </c>
      <c r="AG785" s="13">
        <f t="shared" si="7"/>
        <v>2.0168875558856561E-26</v>
      </c>
      <c r="AH785" s="13">
        <f t="shared" si="8"/>
        <v>7.3245990862213817E-23</v>
      </c>
      <c r="AI785" s="13">
        <v>5.8127896741815254E-20</v>
      </c>
      <c r="AJ785" s="2"/>
    </row>
    <row r="786" spans="1:3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5">
        <f t="shared" si="9"/>
        <v>59.149999999998627</v>
      </c>
      <c r="X786" s="16">
        <f t="shared" si="0"/>
        <v>0</v>
      </c>
      <c r="Y786" s="16">
        <f t="shared" si="1"/>
        <v>0</v>
      </c>
      <c r="Z786" s="16">
        <f t="shared" si="2"/>
        <v>5.9637472159308219E-34</v>
      </c>
      <c r="AA786" s="16">
        <f t="shared" si="3"/>
        <v>0</v>
      </c>
      <c r="AB786" s="16">
        <f t="shared" si="4"/>
        <v>0</v>
      </c>
      <c r="AC786" s="16">
        <f t="shared" si="5"/>
        <v>2.5260925494606453E-20</v>
      </c>
      <c r="AD786" s="2"/>
      <c r="AE786" s="16">
        <v>5.9637472159308227E-34</v>
      </c>
      <c r="AF786" s="16">
        <f t="shared" si="6"/>
        <v>2.9434752103146667E-30</v>
      </c>
      <c r="AG786" s="16">
        <f t="shared" si="7"/>
        <v>7.8033832106779513E-27</v>
      </c>
      <c r="AH786" s="16">
        <f t="shared" si="8"/>
        <v>3.0025049476951054E-23</v>
      </c>
      <c r="AI786" s="16">
        <v>2.5260925494603404E-20</v>
      </c>
      <c r="AJ786" s="2"/>
    </row>
    <row r="787" spans="1:3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2">
        <f t="shared" si="9"/>
        <v>59.199999999998624</v>
      </c>
      <c r="X787" s="13">
        <f t="shared" si="0"/>
        <v>0</v>
      </c>
      <c r="Y787" s="13">
        <f t="shared" si="1"/>
        <v>0</v>
      </c>
      <c r="Z787" s="13">
        <f t="shared" si="2"/>
        <v>2.046026959856979E-34</v>
      </c>
      <c r="AA787" s="13">
        <f t="shared" si="3"/>
        <v>0</v>
      </c>
      <c r="AB787" s="13">
        <f t="shared" si="4"/>
        <v>0</v>
      </c>
      <c r="AC787" s="13">
        <f t="shared" si="5"/>
        <v>1.0908112170650065E-20</v>
      </c>
      <c r="AD787" s="2"/>
      <c r="AE787" s="13">
        <v>2.046026959856979E-34</v>
      </c>
      <c r="AF787" s="13">
        <f t="shared" si="6"/>
        <v>1.068644260827052E-30</v>
      </c>
      <c r="AG787" s="13">
        <f t="shared" si="7"/>
        <v>2.9998499610544981E-27</v>
      </c>
      <c r="AH787" s="13">
        <f t="shared" si="8"/>
        <v>1.2229508625716997E-23</v>
      </c>
      <c r="AI787" s="13">
        <v>1.0908112170648748E-20</v>
      </c>
      <c r="AJ787" s="2"/>
    </row>
    <row r="788" spans="1:3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5">
        <f t="shared" si="9"/>
        <v>59.249999999998622</v>
      </c>
      <c r="X788" s="16">
        <f t="shared" si="0"/>
        <v>0</v>
      </c>
      <c r="Y788" s="16">
        <f t="shared" si="1"/>
        <v>0</v>
      </c>
      <c r="Z788" s="16">
        <f t="shared" si="2"/>
        <v>6.9742802637254908E-35</v>
      </c>
      <c r="AA788" s="16">
        <f t="shared" si="3"/>
        <v>0</v>
      </c>
      <c r="AB788" s="16">
        <f t="shared" si="4"/>
        <v>0</v>
      </c>
      <c r="AC788" s="16">
        <f t="shared" si="5"/>
        <v>4.6804285624581405E-21</v>
      </c>
      <c r="AD788" s="2"/>
      <c r="AE788" s="16">
        <v>6.9742802637254908E-35</v>
      </c>
      <c r="AF788" s="16">
        <f t="shared" si="6"/>
        <v>3.8548852742466215E-31</v>
      </c>
      <c r="AG788" s="16">
        <f t="shared" si="7"/>
        <v>1.1458597993576267E-27</v>
      </c>
      <c r="AH788" s="16">
        <f t="shared" si="8"/>
        <v>4.9494812841106504E-24</v>
      </c>
      <c r="AI788" s="16">
        <v>4.6804285624575747E-21</v>
      </c>
      <c r="AJ788" s="2"/>
    </row>
    <row r="789" spans="1:3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2">
        <f t="shared" si="9"/>
        <v>59.299999999998619</v>
      </c>
      <c r="X789" s="13">
        <f t="shared" si="0"/>
        <v>0</v>
      </c>
      <c r="Y789" s="13">
        <f t="shared" si="1"/>
        <v>0</v>
      </c>
      <c r="Z789" s="13">
        <f t="shared" si="2"/>
        <v>2.3620188429382297E-35</v>
      </c>
      <c r="AA789" s="13">
        <f t="shared" si="3"/>
        <v>0</v>
      </c>
      <c r="AB789" s="13">
        <f t="shared" si="4"/>
        <v>0</v>
      </c>
      <c r="AC789" s="13">
        <f t="shared" si="5"/>
        <v>1.9955257449419076E-21</v>
      </c>
      <c r="AD789" s="2"/>
      <c r="AE789" s="13">
        <v>2.3620188429382297E-35</v>
      </c>
      <c r="AF789" s="13">
        <f t="shared" si="6"/>
        <v>1.3816412211191126E-31</v>
      </c>
      <c r="AG789" s="13">
        <f t="shared" si="7"/>
        <v>4.3488936061607611E-28</v>
      </c>
      <c r="AH789" s="13">
        <f t="shared" si="8"/>
        <v>1.990378939560625E-24</v>
      </c>
      <c r="AI789" s="13">
        <v>1.9955257449416668E-21</v>
      </c>
      <c r="AJ789" s="2"/>
    </row>
    <row r="790" spans="1:3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5">
        <f t="shared" si="9"/>
        <v>59.349999999998616</v>
      </c>
      <c r="X790" s="16">
        <f t="shared" si="0"/>
        <v>0</v>
      </c>
      <c r="Y790" s="16">
        <f t="shared" si="1"/>
        <v>0</v>
      </c>
      <c r="Z790" s="16">
        <f t="shared" si="2"/>
        <v>7.9480984626359558E-36</v>
      </c>
      <c r="AA790" s="16">
        <f t="shared" si="3"/>
        <v>0</v>
      </c>
      <c r="AB790" s="16">
        <f t="shared" si="4"/>
        <v>0</v>
      </c>
      <c r="AC790" s="16">
        <f t="shared" si="5"/>
        <v>8.4540485527352519E-22</v>
      </c>
      <c r="AD790" s="2"/>
      <c r="AE790" s="16">
        <v>7.9480984626359558E-36</v>
      </c>
      <c r="AF790" s="16">
        <f t="shared" si="6"/>
        <v>4.9202212338188392E-32</v>
      </c>
      <c r="AG790" s="16">
        <f t="shared" si="7"/>
        <v>1.6399908809526508E-28</v>
      </c>
      <c r="AH790" s="16">
        <f t="shared" si="8"/>
        <v>7.9531148073170101E-25</v>
      </c>
      <c r="AI790" s="16">
        <v>8.4540485527342306E-22</v>
      </c>
      <c r="AJ790" s="2"/>
    </row>
    <row r="791" spans="1:3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2">
        <f t="shared" si="9"/>
        <v>59.399999999998613</v>
      </c>
      <c r="X791" s="13">
        <f t="shared" si="0"/>
        <v>0</v>
      </c>
      <c r="Y791" s="13">
        <f t="shared" si="1"/>
        <v>0</v>
      </c>
      <c r="Z791" s="13">
        <f t="shared" si="2"/>
        <v>2.6572905181401682E-36</v>
      </c>
      <c r="AA791" s="13">
        <f t="shared" si="3"/>
        <v>0</v>
      </c>
      <c r="AB791" s="13">
        <f t="shared" si="4"/>
        <v>0</v>
      </c>
      <c r="AC791" s="13">
        <f t="shared" si="5"/>
        <v>3.5588348004397345E-22</v>
      </c>
      <c r="AD791" s="2"/>
      <c r="AE791" s="13">
        <v>2.6572905181401682E-36</v>
      </c>
      <c r="AF791" s="13">
        <f t="shared" si="6"/>
        <v>1.7409227659621105E-32</v>
      </c>
      <c r="AG791" s="13">
        <f t="shared" si="7"/>
        <v>6.1449652864484555E-29</v>
      </c>
      <c r="AH791" s="13">
        <f t="shared" si="8"/>
        <v>3.1576510775534006E-25</v>
      </c>
      <c r="AI791" s="13">
        <v>3.5588348004393043E-22</v>
      </c>
      <c r="AJ791" s="2"/>
    </row>
    <row r="792" spans="1:3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5">
        <f t="shared" si="9"/>
        <v>59.44999999999861</v>
      </c>
      <c r="X792" s="16">
        <f t="shared" si="0"/>
        <v>0</v>
      </c>
      <c r="Y792" s="16">
        <f t="shared" si="1"/>
        <v>0</v>
      </c>
      <c r="Z792" s="16">
        <f t="shared" si="2"/>
        <v>8.8269518110436174E-37</v>
      </c>
      <c r="AA792" s="16">
        <f t="shared" si="3"/>
        <v>0</v>
      </c>
      <c r="AB792" s="16">
        <f t="shared" si="4"/>
        <v>0</v>
      </c>
      <c r="AC792" s="16">
        <f t="shared" si="5"/>
        <v>1.488629455533933E-22</v>
      </c>
      <c r="AD792" s="2"/>
      <c r="AE792" s="16">
        <v>8.8269518110436174E-37</v>
      </c>
      <c r="AF792" s="16">
        <f t="shared" si="6"/>
        <v>6.1204013582379212E-33</v>
      </c>
      <c r="AG792" s="16">
        <f t="shared" si="7"/>
        <v>2.2877722348587078E-29</v>
      </c>
      <c r="AH792" s="16">
        <f t="shared" si="8"/>
        <v>1.245708500322639E-25</v>
      </c>
      <c r="AI792" s="16">
        <v>1.4886294555337529E-22</v>
      </c>
      <c r="AJ792" s="2"/>
    </row>
    <row r="793" spans="1:3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2">
        <f t="shared" si="9"/>
        <v>59.499999999998607</v>
      </c>
      <c r="X793" s="13">
        <f t="shared" si="0"/>
        <v>0</v>
      </c>
      <c r="Y793" s="13">
        <f t="shared" si="1"/>
        <v>0</v>
      </c>
      <c r="Z793" s="13">
        <f t="shared" si="2"/>
        <v>2.9132542719492065E-37</v>
      </c>
      <c r="AA793" s="13">
        <f t="shared" si="3"/>
        <v>0</v>
      </c>
      <c r="AB793" s="13">
        <f t="shared" si="4"/>
        <v>0</v>
      </c>
      <c r="AC793" s="13">
        <f t="shared" si="5"/>
        <v>6.1872986047013295E-23</v>
      </c>
      <c r="AD793" s="2"/>
      <c r="AE793" s="13">
        <v>2.9132542719492065E-37</v>
      </c>
      <c r="AF793" s="13">
        <f t="shared" si="6"/>
        <v>2.1378923131994622E-33</v>
      </c>
      <c r="AG793" s="13">
        <f t="shared" si="7"/>
        <v>8.4629443772862677E-30</v>
      </c>
      <c r="AH793" s="13">
        <f t="shared" si="8"/>
        <v>4.8830831555269688E-26</v>
      </c>
      <c r="AI793" s="13">
        <v>6.1872986047005372E-23</v>
      </c>
      <c r="AJ793" s="2"/>
    </row>
    <row r="794" spans="1:3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5">
        <f t="shared" si="9"/>
        <v>59.549999999998604</v>
      </c>
      <c r="X794" s="16">
        <f t="shared" si="0"/>
        <v>0</v>
      </c>
      <c r="Y794" s="16">
        <f t="shared" si="1"/>
        <v>0</v>
      </c>
      <c r="Z794" s="16">
        <f t="shared" si="2"/>
        <v>9.5530477122473432E-38</v>
      </c>
      <c r="AA794" s="16">
        <f t="shared" si="3"/>
        <v>0</v>
      </c>
      <c r="AB794" s="16">
        <f t="shared" si="4"/>
        <v>0</v>
      </c>
      <c r="AC794" s="16">
        <f t="shared" si="5"/>
        <v>2.5553549392491815E-23</v>
      </c>
      <c r="AD794" s="2"/>
      <c r="AE794" s="16">
        <v>9.5530477122473432E-38</v>
      </c>
      <c r="AF794" s="16">
        <f t="shared" si="6"/>
        <v>7.4198866926566948E-34</v>
      </c>
      <c r="AG794" s="16">
        <f t="shared" si="7"/>
        <v>3.1106098181740099E-30</v>
      </c>
      <c r="AH794" s="16">
        <f t="shared" si="8"/>
        <v>1.901941763430007E-26</v>
      </c>
      <c r="AI794" s="16">
        <v>2.5553549392488547E-23</v>
      </c>
      <c r="AJ794" s="2"/>
    </row>
    <row r="795" spans="1:3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2">
        <f t="shared" si="9"/>
        <v>59.599999999998602</v>
      </c>
      <c r="X795" s="13">
        <f t="shared" si="0"/>
        <v>0</v>
      </c>
      <c r="Y795" s="13">
        <f t="shared" si="1"/>
        <v>0</v>
      </c>
      <c r="Z795" s="13">
        <f t="shared" si="2"/>
        <v>3.1124430967610875E-38</v>
      </c>
      <c r="AA795" s="13">
        <f t="shared" si="3"/>
        <v>0</v>
      </c>
      <c r="AB795" s="13">
        <f t="shared" si="4"/>
        <v>0</v>
      </c>
      <c r="AC795" s="13">
        <f t="shared" si="5"/>
        <v>1.0486657330671593E-23</v>
      </c>
      <c r="AD795" s="2"/>
      <c r="AE795" s="13">
        <v>3.1124430967610875E-38</v>
      </c>
      <c r="AF795" s="13">
        <f t="shared" si="6"/>
        <v>2.5586698136592927E-34</v>
      </c>
      <c r="AG795" s="13">
        <f t="shared" si="7"/>
        <v>1.1360172887813685E-30</v>
      </c>
      <c r="AH795" s="13">
        <f t="shared" si="8"/>
        <v>7.36081177506395E-27</v>
      </c>
      <c r="AI795" s="13">
        <v>1.0486657330670251E-23</v>
      </c>
      <c r="AJ795" s="2"/>
    </row>
    <row r="796" spans="1:3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5">
        <f t="shared" si="9"/>
        <v>59.649999999998599</v>
      </c>
      <c r="X796" s="16">
        <f t="shared" si="0"/>
        <v>0</v>
      </c>
      <c r="Y796" s="16">
        <f t="shared" si="1"/>
        <v>0</v>
      </c>
      <c r="Z796" s="16">
        <f t="shared" si="2"/>
        <v>1.0075272755376071E-38</v>
      </c>
      <c r="AA796" s="16">
        <f t="shared" si="3"/>
        <v>0</v>
      </c>
      <c r="AB796" s="16">
        <f t="shared" si="4"/>
        <v>0</v>
      </c>
      <c r="AC796" s="16">
        <f t="shared" si="5"/>
        <v>4.2762059162065835E-24</v>
      </c>
      <c r="AD796" s="2"/>
      <c r="AE796" s="16">
        <v>1.0075272755376071E-38</v>
      </c>
      <c r="AF796" s="16">
        <f t="shared" si="6"/>
        <v>8.7667120556645644E-35</v>
      </c>
      <c r="AG796" s="16">
        <f t="shared" si="7"/>
        <v>4.1223009430607821E-31</v>
      </c>
      <c r="AH796" s="16">
        <f t="shared" si="8"/>
        <v>2.8306072367302074E-27</v>
      </c>
      <c r="AI796" s="16">
        <v>4.2762059162060362E-24</v>
      </c>
      <c r="AJ796" s="2"/>
    </row>
    <row r="797" spans="1:3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2">
        <f t="shared" si="9"/>
        <v>59.699999999998596</v>
      </c>
      <c r="X797" s="13">
        <f t="shared" si="0"/>
        <v>0</v>
      </c>
      <c r="Y797" s="13">
        <f t="shared" si="1"/>
        <v>0</v>
      </c>
      <c r="Z797" s="13">
        <f t="shared" si="2"/>
        <v>3.2404708757624178E-39</v>
      </c>
      <c r="AA797" s="13">
        <f t="shared" si="3"/>
        <v>0</v>
      </c>
      <c r="AB797" s="13">
        <f t="shared" si="4"/>
        <v>0</v>
      </c>
      <c r="AC797" s="13">
        <f t="shared" si="5"/>
        <v>1.7326699027234746E-24</v>
      </c>
      <c r="AD797" s="2"/>
      <c r="AE797" s="13">
        <v>3.2404708757624178E-39</v>
      </c>
      <c r="AF797" s="13">
        <f t="shared" si="6"/>
        <v>2.984453136395213E-35</v>
      </c>
      <c r="AG797" s="13">
        <f t="shared" si="7"/>
        <v>1.4863113593331496E-31</v>
      </c>
      <c r="AH797" s="13">
        <f t="shared" si="8"/>
        <v>1.0815806665262405E-27</v>
      </c>
      <c r="AI797" s="13">
        <v>1.7326699027232284E-24</v>
      </c>
      <c r="AJ797" s="2"/>
    </row>
    <row r="798" spans="1:3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5">
        <f t="shared" si="9"/>
        <v>59.749999999998593</v>
      </c>
      <c r="X798" s="16">
        <f t="shared" si="0"/>
        <v>0</v>
      </c>
      <c r="Y798" s="16">
        <f t="shared" si="1"/>
        <v>0</v>
      </c>
      <c r="Z798" s="16">
        <f t="shared" si="2"/>
        <v>1.0355125136049509E-39</v>
      </c>
      <c r="AA798" s="16">
        <f t="shared" si="3"/>
        <v>0</v>
      </c>
      <c r="AB798" s="16">
        <f t="shared" si="4"/>
        <v>0</v>
      </c>
      <c r="AC798" s="16">
        <f t="shared" si="5"/>
        <v>6.976036456180964E-25</v>
      </c>
      <c r="AD798" s="2"/>
      <c r="AE798" s="16">
        <v>1.0355125136049509E-39</v>
      </c>
      <c r="AF798" s="16">
        <f t="shared" si="6"/>
        <v>1.009481373170716E-35</v>
      </c>
      <c r="AG798" s="16">
        <f t="shared" si="7"/>
        <v>5.3247013062159333E-32</v>
      </c>
      <c r="AH798" s="16">
        <f t="shared" si="8"/>
        <v>4.1064224084480694E-28</v>
      </c>
      <c r="AI798" s="16">
        <v>6.9760364561799731E-25</v>
      </c>
      <c r="AJ798" s="2"/>
    </row>
    <row r="799" spans="1:3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2">
        <f t="shared" si="9"/>
        <v>59.79999999999859</v>
      </c>
      <c r="X799" s="13">
        <f t="shared" si="0"/>
        <v>0</v>
      </c>
      <c r="Y799" s="13">
        <f t="shared" si="1"/>
        <v>0</v>
      </c>
      <c r="Z799" s="13">
        <f t="shared" si="2"/>
        <v>3.2877478236762851E-40</v>
      </c>
      <c r="AA799" s="13">
        <f t="shared" si="3"/>
        <v>0</v>
      </c>
      <c r="AB799" s="13">
        <f t="shared" si="4"/>
        <v>0</v>
      </c>
      <c r="AC799" s="13">
        <f t="shared" si="5"/>
        <v>2.7908554290191554E-25</v>
      </c>
      <c r="AD799" s="2"/>
      <c r="AE799" s="13">
        <v>3.2877478236762851E-40</v>
      </c>
      <c r="AF799" s="13">
        <f t="shared" si="6"/>
        <v>3.392636893139872E-36</v>
      </c>
      <c r="AG799" s="13">
        <f t="shared" si="7"/>
        <v>1.8953789576213359E-32</v>
      </c>
      <c r="AH799" s="13">
        <f t="shared" si="8"/>
        <v>1.549150920729745E-28</v>
      </c>
      <c r="AI799" s="13">
        <v>2.7908554290188381E-25</v>
      </c>
      <c r="AJ799" s="2"/>
    </row>
    <row r="800" spans="1:3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5">
        <f t="shared" si="9"/>
        <v>59.849999999998587</v>
      </c>
      <c r="X800" s="16">
        <f t="shared" si="0"/>
        <v>0</v>
      </c>
      <c r="Y800" s="16">
        <f t="shared" si="1"/>
        <v>0</v>
      </c>
      <c r="Z800" s="16">
        <f t="shared" si="2"/>
        <v>1.0371404315025719E-40</v>
      </c>
      <c r="AA800" s="16">
        <f t="shared" si="3"/>
        <v>0</v>
      </c>
      <c r="AB800" s="16">
        <f t="shared" si="4"/>
        <v>0</v>
      </c>
      <c r="AC800" s="16">
        <f t="shared" si="5"/>
        <v>1.109434397078058E-25</v>
      </c>
      <c r="AD800" s="2"/>
      <c r="AE800" s="16">
        <v>1.0371404315025719E-40</v>
      </c>
      <c r="AF800" s="16">
        <f t="shared" si="6"/>
        <v>1.1328749551899764E-36</v>
      </c>
      <c r="AG800" s="16">
        <f t="shared" si="7"/>
        <v>6.703663550099657E-33</v>
      </c>
      <c r="AH800" s="16">
        <f t="shared" si="8"/>
        <v>5.8069654282679922E-29</v>
      </c>
      <c r="AI800" s="16">
        <v>1.1094343970778844E-25</v>
      </c>
      <c r="AJ800" s="2"/>
    </row>
    <row r="801" spans="1:3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2">
        <f t="shared" si="9"/>
        <v>59.899999999998585</v>
      </c>
      <c r="X801" s="13">
        <f t="shared" si="0"/>
        <v>0</v>
      </c>
      <c r="Y801" s="13">
        <f t="shared" si="1"/>
        <v>0</v>
      </c>
      <c r="Z801" s="13">
        <f t="shared" si="2"/>
        <v>3.250667502117561E-41</v>
      </c>
      <c r="AA801" s="13">
        <f t="shared" si="3"/>
        <v>0</v>
      </c>
      <c r="AB801" s="13">
        <f t="shared" si="4"/>
        <v>0</v>
      </c>
      <c r="AC801" s="13">
        <f t="shared" si="5"/>
        <v>4.3822949251787598E-26</v>
      </c>
      <c r="AD801" s="2"/>
      <c r="AE801" s="13">
        <v>3.250667502117561E-41</v>
      </c>
      <c r="AF801" s="13">
        <f t="shared" si="6"/>
        <v>3.7586518092303262E-37</v>
      </c>
      <c r="AG801" s="13">
        <f t="shared" si="7"/>
        <v>2.3558287330812182E-33</v>
      </c>
      <c r="AH801" s="13">
        <f t="shared" si="8"/>
        <v>2.1628686919512933E-29</v>
      </c>
      <c r="AI801" s="13">
        <v>4.3822949251781996E-26</v>
      </c>
      <c r="AJ801" s="2"/>
    </row>
    <row r="802" spans="1:3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5">
        <f t="shared" si="9"/>
        <v>59.949999999998582</v>
      </c>
      <c r="X802" s="16">
        <f t="shared" si="0"/>
        <v>0</v>
      </c>
      <c r="Y802" s="16">
        <f t="shared" si="1"/>
        <v>0</v>
      </c>
      <c r="Z802" s="16">
        <f t="shared" si="2"/>
        <v>1.0122865174872295E-41</v>
      </c>
      <c r="AA802" s="16">
        <f t="shared" si="3"/>
        <v>0</v>
      </c>
      <c r="AB802" s="16">
        <f t="shared" si="4"/>
        <v>0</v>
      </c>
      <c r="AC802" s="16">
        <f t="shared" si="5"/>
        <v>1.7200349260817749E-26</v>
      </c>
      <c r="AD802" s="2"/>
      <c r="AE802" s="16">
        <v>1.0122865174872295E-41</v>
      </c>
      <c r="AF802" s="16">
        <f t="shared" si="6"/>
        <v>1.2390468854481282E-37</v>
      </c>
      <c r="AG802" s="16">
        <f t="shared" si="7"/>
        <v>8.2260353187826268E-34</v>
      </c>
      <c r="AH802" s="16">
        <f t="shared" si="8"/>
        <v>8.0045416836110005E-30</v>
      </c>
      <c r="AI802" s="16">
        <v>1.7200349260815792E-26</v>
      </c>
      <c r="AJ802" s="2"/>
    </row>
    <row r="803" spans="1:3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2">
        <f t="shared" si="9"/>
        <v>59.999999999998579</v>
      </c>
      <c r="X803" s="13">
        <f t="shared" si="0"/>
        <v>0</v>
      </c>
      <c r="Y803" s="13">
        <f t="shared" si="1"/>
        <v>0</v>
      </c>
      <c r="Z803" s="13">
        <f t="shared" si="2"/>
        <v>3.1320614499099993E-42</v>
      </c>
      <c r="AA803" s="13">
        <f t="shared" si="3"/>
        <v>0</v>
      </c>
      <c r="AB803" s="13">
        <f t="shared" si="4"/>
        <v>0</v>
      </c>
      <c r="AC803" s="13">
        <f t="shared" si="5"/>
        <v>6.7082403966912649E-27</v>
      </c>
      <c r="AD803" s="2"/>
      <c r="AE803" s="13">
        <v>3.1320614499099999E-42</v>
      </c>
      <c r="AF803" s="13">
        <f t="shared" si="6"/>
        <v>4.0583444946640421E-38</v>
      </c>
      <c r="AG803" s="13">
        <f t="shared" si="7"/>
        <v>2.8539921597088391E-34</v>
      </c>
      <c r="AH803" s="13">
        <f t="shared" si="8"/>
        <v>2.943528123908802E-30</v>
      </c>
      <c r="AI803" s="13">
        <v>6.7082403966902159E-27</v>
      </c>
      <c r="AJ803" s="2"/>
    </row>
    <row r="804" spans="1:3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6"/>
      <c r="X804" s="16"/>
      <c r="Y804" s="16"/>
      <c r="Z804" s="16"/>
      <c r="AA804" s="16"/>
      <c r="AB804" s="16"/>
      <c r="AC804" s="16"/>
      <c r="AD804" s="2"/>
      <c r="AE804" s="16"/>
      <c r="AF804" s="16"/>
      <c r="AG804" s="16"/>
      <c r="AH804" s="16"/>
      <c r="AI804" s="16"/>
      <c r="AJ804" s="2"/>
    </row>
  </sheetData>
  <mergeCells count="30">
    <mergeCell ref="AE1:AI1"/>
    <mergeCell ref="A2:C2"/>
    <mergeCell ref="B11:D11"/>
    <mergeCell ref="E11:H11"/>
    <mergeCell ref="L11:U11"/>
    <mergeCell ref="I11:K11"/>
    <mergeCell ref="A31:A32"/>
    <mergeCell ref="A41:A42"/>
    <mergeCell ref="X1:Z1"/>
    <mergeCell ref="W1:W2"/>
    <mergeCell ref="AA1:AC1"/>
    <mergeCell ref="L21:U21"/>
    <mergeCell ref="I21:K21"/>
    <mergeCell ref="A11:A17"/>
    <mergeCell ref="A21:A27"/>
    <mergeCell ref="B21:D21"/>
    <mergeCell ref="E21:H21"/>
    <mergeCell ref="L41:O41"/>
    <mergeCell ref="I41:K41"/>
    <mergeCell ref="B41:D41"/>
    <mergeCell ref="E41:H41"/>
    <mergeCell ref="B31:D31"/>
    <mergeCell ref="E31:H31"/>
    <mergeCell ref="I31:K31"/>
    <mergeCell ref="L31:O31"/>
    <mergeCell ref="A51:A52"/>
    <mergeCell ref="B51:D51"/>
    <mergeCell ref="E51:H51"/>
    <mergeCell ref="I51:K51"/>
    <mergeCell ref="L51:O51"/>
  </mergeCells>
  <pageMargins left="0.511811024" right="0.511811024" top="0.78740157499999996" bottom="0.78740157499999996" header="0.31496062000000002" footer="0.31496062000000002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E34" workbookViewId="0">
      <selection activeCell="Y49" sqref="Y49"/>
    </sheetView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Fatores de forma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</cp:lastModifiedBy>
  <dcterms:modified xsi:type="dcterms:W3CDTF">2026-04-21T14:07:18Z</dcterms:modified>
</cp:coreProperties>
</file>