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atores de forma" sheetId="1" r:id="rId5"/>
  </sheets>
  <definedNames/>
  <calcPr/>
</workbook>
</file>

<file path=xl/sharedStrings.xml><?xml version="1.0" encoding="utf-8"?>
<sst xmlns="http://schemas.openxmlformats.org/spreadsheetml/2006/main" count="164" uniqueCount="68">
  <si>
    <t>2Theta</t>
  </si>
  <si>
    <t>BaTiO4</t>
  </si>
  <si>
    <t>CaTiO4</t>
  </si>
  <si>
    <t>(Ba1−xCax)TiO3 (10nm)</t>
  </si>
  <si>
    <t>Constantes</t>
  </si>
  <si>
    <t>Elemento</t>
  </si>
  <si>
    <t>a1</t>
  </si>
  <si>
    <t>b1</t>
  </si>
  <si>
    <t>a2</t>
  </si>
  <si>
    <t>b2</t>
  </si>
  <si>
    <t>a3</t>
  </si>
  <si>
    <t>b3</t>
  </si>
  <si>
    <t>a4</t>
  </si>
  <si>
    <t>b4</t>
  </si>
  <si>
    <t>c</t>
  </si>
  <si>
    <t>H_h(100nm)</t>
  </si>
  <si>
    <t>H_h(50nm)</t>
  </si>
  <si>
    <t>H_h(10nm)</t>
  </si>
  <si>
    <t>x = 0</t>
  </si>
  <si>
    <t>x = 0,25</t>
  </si>
  <si>
    <t>x = 0,5</t>
  </si>
  <si>
    <t>x = 0,75</t>
  </si>
  <si>
    <t>x = 1</t>
  </si>
  <si>
    <t>Parametro de rede (BaTiO4)</t>
  </si>
  <si>
    <t>A</t>
  </si>
  <si>
    <t>Ba2+</t>
  </si>
  <si>
    <t>Parametro de rede (CaTiO4)</t>
  </si>
  <si>
    <t>Ti4+</t>
  </si>
  <si>
    <t>Kα do cobre</t>
  </si>
  <si>
    <t>O2-</t>
  </si>
  <si>
    <t>Tamanho do cristal t de 100 nm</t>
  </si>
  <si>
    <t>Ca2+</t>
  </si>
  <si>
    <t>Tamanho do cristal t de 50 nm</t>
  </si>
  <si>
    <t>Tamanho do cristal t de 10 nm</t>
  </si>
  <si>
    <t>Bário</t>
  </si>
  <si>
    <t>Planos</t>
  </si>
  <si>
    <t>Cálculos de Ângulo e Geometria</t>
  </si>
  <si>
    <t>Fatores de forma</t>
  </si>
  <si>
    <t>Intensidade e Perfil do Pico</t>
  </si>
  <si>
    <t>h</t>
  </si>
  <si>
    <t xml:space="preserve"> k</t>
  </si>
  <si>
    <t xml:space="preserve"> l</t>
  </si>
  <si>
    <t>D-hkl</t>
  </si>
  <si>
    <t>Seno(theta)</t>
  </si>
  <si>
    <t>Theta (rad)</t>
  </si>
  <si>
    <t>2Theta (graus)</t>
  </si>
  <si>
    <t>Ff-Bário</t>
  </si>
  <si>
    <t>Ff - Titânio</t>
  </si>
  <si>
    <t>Ff- Oxigênio</t>
  </si>
  <si>
    <t>Multiplicidade (p)</t>
  </si>
  <si>
    <t xml:space="preserve"> F_h</t>
  </si>
  <si>
    <t xml:space="preserve"> Fator Lorentz-Polarização</t>
  </si>
  <si>
    <t xml:space="preserve"> I_h</t>
  </si>
  <si>
    <t>B_h (100nm)</t>
  </si>
  <si>
    <t>H_h (100nm)</t>
  </si>
  <si>
    <t>B_h (50nm)</t>
  </si>
  <si>
    <t>H_h (50nm)</t>
  </si>
  <si>
    <t>B_h (10nm)</t>
  </si>
  <si>
    <t>H_h (10nm)</t>
  </si>
  <si>
    <t>Calcio</t>
  </si>
  <si>
    <t>Ff-Calcio</t>
  </si>
  <si>
    <t xml:space="preserve">perovskitas mistas </t>
  </si>
  <si>
    <t>Ff-Mistura</t>
  </si>
  <si>
    <t xml:space="preserve">
$Ba_{0,75}Ca_{0,25}TiO_3$
</t>
  </si>
  <si>
    <t>pARAMETRO DE REDE</t>
  </si>
  <si>
    <t>X</t>
  </si>
  <si>
    <t xml:space="preserve">
$Ba_{0,50}Ca_{0,50}TiO_3$
</t>
  </si>
  <si>
    <t xml:space="preserve">
$Ba_{0,25}Ca_{0,75}TiO_3$
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</si>
</sst>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00"/>
  </numFmts>
  <fonts count="14">
    <font>
      <sz val="10.0"/>
      <color rgb="FF000000"/>
      <name val="Arial"/>
      <scheme val="minor"/>
    </font>
    <font>
      <color theme="1"/>
      <name val="Arial"/>
      <scheme val="minor"/>
    </font>
    <font>
      <b/>
      <sz val="12.0"/>
      <color rgb="FF000000"/>
      <name val="Arial"/>
    </font>
    <font>
      <b/>
      <i/>
      <sz val="12.0"/>
      <color rgb="FF000000"/>
      <name val="Arial"/>
    </font>
    <font>
      <b/>
      <color theme="1"/>
      <name val="Arial"/>
      <scheme val="minor"/>
    </font>
    <font/>
    <font>
      <sz val="12.0"/>
      <color rgb="FF000000"/>
      <name val="Arial"/>
    </font>
    <font>
      <sz val="12.0"/>
      <color theme="1"/>
      <name val="Arial"/>
      <scheme val="minor"/>
    </font>
    <font>
      <b/>
      <sz val="12.0"/>
      <color theme="1"/>
      <name val="Arial"/>
    </font>
    <font>
      <b/>
      <sz val="12.0"/>
      <color theme="1"/>
      <name val="Arial"/>
      <scheme val="minor"/>
    </font>
    <font>
      <sz val="12.0"/>
      <color theme="1"/>
      <name val="Arial"/>
    </font>
    <font>
      <sz val="10.0"/>
      <color theme="1"/>
      <name val="Arial"/>
      <scheme val="minor"/>
    </font>
    <font>
      <sz val="12.0"/>
      <color rgb="FF1F1F1F"/>
      <name val="&quot;Google Sans Text&quot;"/>
    </font>
    <font>
      <b/>
      <sz val="12.0"/>
      <color rgb="FF1F1F1F"/>
      <name val="&quot;Google Sans Text&quot;"/>
    </font>
  </fonts>
  <fills count="6">
    <fill>
      <patternFill patternType="none"/>
    </fill>
    <fill>
      <patternFill patternType="lightGray"/>
    </fill>
    <fill>
      <patternFill patternType="solid">
        <fgColor rgb="FFBDBDBD"/>
        <bgColor rgb="FFBDBDBD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8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horizontal="center" readingOrder="0" vertical="center"/>
    </xf>
    <xf borderId="0" fillId="0" fontId="1" numFmtId="164" xfId="0" applyFont="1" applyNumberFormat="1"/>
    <xf borderId="0" fillId="0" fontId="2" numFmtId="164" xfId="0" applyAlignment="1" applyFont="1" applyNumberFormat="1">
      <alignment readingOrder="0" vertical="bottom"/>
    </xf>
    <xf borderId="0" fillId="0" fontId="3" numFmtId="164" xfId="0" applyAlignment="1" applyFont="1" applyNumberFormat="1">
      <alignment readingOrder="0" vertical="bottom"/>
    </xf>
    <xf borderId="0" fillId="2" fontId="4" numFmtId="164" xfId="0" applyAlignment="1" applyFill="1" applyFont="1" applyNumberFormat="1">
      <alignment horizontal="center" readingOrder="0" vertical="center"/>
    </xf>
    <xf borderId="0" fillId="0" fontId="1" numFmtId="164" xfId="0" applyAlignment="1" applyFont="1" applyNumberFormat="1">
      <alignment readingOrder="0"/>
    </xf>
    <xf borderId="0" fillId="0" fontId="1" numFmtId="164" xfId="0" applyAlignment="1" applyFont="1" applyNumberFormat="1">
      <alignment horizontal="center" readingOrder="0"/>
    </xf>
    <xf borderId="1" fillId="2" fontId="2" numFmtId="164" xfId="0" applyAlignment="1" applyBorder="1" applyFont="1" applyNumberFormat="1">
      <alignment horizontal="center" readingOrder="0" vertical="center"/>
    </xf>
    <xf borderId="2" fillId="2" fontId="5" numFmtId="0" xfId="0" applyBorder="1" applyFont="1"/>
    <xf borderId="3" fillId="2" fontId="5" numFmtId="0" xfId="0" applyBorder="1" applyFont="1"/>
    <xf borderId="4" fillId="0" fontId="2" numFmtId="164" xfId="0" applyAlignment="1" applyBorder="1" applyFont="1" applyNumberFormat="1">
      <alignment horizontal="center" readingOrder="0" vertical="center"/>
    </xf>
    <xf borderId="4" fillId="0" fontId="3" numFmtId="164" xfId="0" applyAlignment="1" applyBorder="1" applyFont="1" applyNumberFormat="1">
      <alignment horizontal="center" readingOrder="0" vertical="center"/>
    </xf>
    <xf borderId="0" fillId="3" fontId="4" numFmtId="164" xfId="0" applyAlignment="1" applyFill="1" applyFont="1" applyNumberFormat="1">
      <alignment horizontal="center" readingOrder="0" vertical="center"/>
    </xf>
    <xf borderId="0" fillId="3" fontId="1" numFmtId="164" xfId="0" applyAlignment="1" applyFont="1" applyNumberFormat="1">
      <alignment horizontal="center" readingOrder="0" vertical="center"/>
    </xf>
    <xf borderId="4" fillId="0" fontId="6" numFmtId="164" xfId="0" applyAlignment="1" applyBorder="1" applyFont="1" applyNumberFormat="1">
      <alignment readingOrder="0" vertical="bottom"/>
    </xf>
    <xf borderId="0" fillId="4" fontId="1" numFmtId="164" xfId="0" applyAlignment="1" applyFill="1" applyFont="1" applyNumberFormat="1">
      <alignment readingOrder="0" vertical="center"/>
    </xf>
    <xf borderId="0" fillId="4" fontId="1" numFmtId="164" xfId="0" applyAlignment="1" applyFont="1" applyNumberFormat="1">
      <alignment vertical="center"/>
    </xf>
    <xf borderId="0" fillId="4" fontId="1" numFmtId="164" xfId="0" applyAlignment="1" applyFont="1" applyNumberFormat="1">
      <alignment horizontal="center" readingOrder="0" vertical="center"/>
    </xf>
    <xf borderId="0" fillId="3" fontId="1" numFmtId="164" xfId="0" applyAlignment="1" applyFont="1" applyNumberFormat="1">
      <alignment readingOrder="0" vertical="center"/>
    </xf>
    <xf borderId="0" fillId="3" fontId="1" numFmtId="164" xfId="0" applyAlignment="1" applyFont="1" applyNumberFormat="1">
      <alignment vertical="center"/>
    </xf>
    <xf borderId="4" fillId="0" fontId="2" numFmtId="164" xfId="0" applyAlignment="1" applyBorder="1" applyFont="1" applyNumberFormat="1">
      <alignment readingOrder="0"/>
    </xf>
    <xf borderId="5" fillId="0" fontId="7" numFmtId="164" xfId="0" applyAlignment="1" applyBorder="1" applyFont="1" applyNumberFormat="1">
      <alignment horizontal="center" readingOrder="0" vertical="center"/>
    </xf>
    <xf borderId="1" fillId="0" fontId="7" numFmtId="164" xfId="0" applyAlignment="1" applyBorder="1" applyFont="1" applyNumberFormat="1">
      <alignment horizontal="center" readingOrder="0"/>
    </xf>
    <xf borderId="2" fillId="0" fontId="5" numFmtId="0" xfId="0" applyBorder="1" applyFont="1"/>
    <xf borderId="3" fillId="0" fontId="5" numFmtId="0" xfId="0" applyBorder="1" applyFont="1"/>
    <xf borderId="1" fillId="5" fontId="7" numFmtId="164" xfId="0" applyAlignment="1" applyBorder="1" applyFill="1" applyFont="1" applyNumberFormat="1">
      <alignment horizontal="center" readingOrder="0" vertical="center"/>
    </xf>
    <xf borderId="6" fillId="0" fontId="5" numFmtId="0" xfId="0" applyBorder="1" applyFont="1"/>
    <xf borderId="4" fillId="2" fontId="8" numFmtId="164" xfId="0" applyAlignment="1" applyBorder="1" applyFont="1" applyNumberFormat="1">
      <alignment horizontal="center"/>
    </xf>
    <xf borderId="4" fillId="0" fontId="9" numFmtId="164" xfId="0" applyAlignment="1" applyBorder="1" applyFont="1" applyNumberFormat="1">
      <alignment readingOrder="0"/>
    </xf>
    <xf borderId="4" fillId="3" fontId="10" numFmtId="164" xfId="0" applyAlignment="1" applyBorder="1" applyFont="1" applyNumberFormat="1">
      <alignment horizontal="center"/>
    </xf>
    <xf borderId="4" fillId="0" fontId="7" numFmtId="164" xfId="0" applyBorder="1" applyFont="1" applyNumberFormat="1"/>
    <xf borderId="4" fillId="3" fontId="10" numFmtId="164" xfId="0" applyAlignment="1" applyBorder="1" applyFont="1" applyNumberFormat="1">
      <alignment horizontal="center" readingOrder="0"/>
    </xf>
    <xf borderId="4" fillId="4" fontId="10" numFmtId="164" xfId="0" applyAlignment="1" applyBorder="1" applyFont="1" applyNumberFormat="1">
      <alignment horizontal="center"/>
    </xf>
    <xf borderId="4" fillId="4" fontId="10" numFmtId="164" xfId="0" applyAlignment="1" applyBorder="1" applyFont="1" applyNumberFormat="1">
      <alignment horizontal="center" readingOrder="0"/>
    </xf>
    <xf borderId="7" fillId="0" fontId="5" numFmtId="0" xfId="0" applyBorder="1" applyFont="1"/>
    <xf borderId="5" fillId="0" fontId="7" numFmtId="164" xfId="0" applyAlignment="1" applyBorder="1" applyFont="1" applyNumberFormat="1">
      <alignment horizontal="center" readingOrder="0"/>
    </xf>
    <xf borderId="4" fillId="5" fontId="7" numFmtId="164" xfId="0" applyAlignment="1" applyBorder="1" applyFont="1" applyNumberFormat="1">
      <alignment horizontal="center" readingOrder="0" vertical="center"/>
    </xf>
    <xf borderId="4" fillId="0" fontId="11" numFmtId="164" xfId="0" applyAlignment="1" applyBorder="1" applyFont="1" applyNumberFormat="1">
      <alignment horizontal="center" readingOrder="0" vertical="center"/>
    </xf>
    <xf borderId="4" fillId="0" fontId="7" numFmtId="164" xfId="0" applyAlignment="1" applyBorder="1" applyFont="1" applyNumberFormat="1">
      <alignment horizontal="center" readingOrder="0"/>
    </xf>
    <xf borderId="4" fillId="0" fontId="12" numFmtId="164" xfId="0" applyAlignment="1" applyBorder="1" applyFont="1" applyNumberFormat="1">
      <alignment horizontal="center" readingOrder="0"/>
    </xf>
    <xf borderId="4" fillId="0" fontId="7" numFmtId="164" xfId="0" applyAlignment="1" applyBorder="1" applyFont="1" applyNumberFormat="1">
      <alignment horizontal="center" readingOrder="0" vertical="center"/>
    </xf>
    <xf borderId="4" fillId="0" fontId="13" numFmtId="164" xfId="0" applyAlignment="1" applyBorder="1" applyFont="1" applyNumberFormat="1">
      <alignment horizontal="center"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6">
    <tableStyle count="3" pivot="0" name="Fatores de forma-style">
      <tableStyleElement dxfId="1" type="headerRow"/>
      <tableStyleElement dxfId="2" type="firstRowStripe"/>
      <tableStyleElement dxfId="3" type="secondRowStripe"/>
    </tableStyle>
    <tableStyle count="3" pivot="0" name="Fatores de forma-style 2">
      <tableStyleElement dxfId="1" type="headerRow"/>
      <tableStyleElement dxfId="2" type="firstRowStripe"/>
      <tableStyleElement dxfId="3" type="secondRowStripe"/>
    </tableStyle>
    <tableStyle count="3" pivot="0" name="Fatores de forma-style 3">
      <tableStyleElement dxfId="1" type="headerRow"/>
      <tableStyleElement dxfId="2" type="firstRowStripe"/>
      <tableStyleElement dxfId="3" type="secondRowStripe"/>
    </tableStyle>
    <tableStyle count="3" pivot="0" name="Fatores de forma-style 4">
      <tableStyleElement dxfId="1" type="headerRow"/>
      <tableStyleElement dxfId="2" type="firstRowStripe"/>
      <tableStyleElement dxfId="3" type="secondRowStripe"/>
    </tableStyle>
    <tableStyle count="3" pivot="0" name="Fatores de forma-style 5">
      <tableStyleElement dxfId="1" type="headerRow"/>
      <tableStyleElement dxfId="2" type="firstRowStripe"/>
      <tableStyleElement dxfId="3" type="secondRowStripe"/>
    </tableStyle>
    <tableStyle count="3" pivot="0" name="Fatores de forma-style 6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E2:N6" displayName="Table_1" name="Table_1" id="1">
  <tableColumns count="10">
    <tableColumn name="Elemento" id="1"/>
    <tableColumn name="a1" id="2"/>
    <tableColumn name="b1" id="3"/>
    <tableColumn name="a2" id="4"/>
    <tableColumn name="b2" id="5"/>
    <tableColumn name="a3" id="6"/>
    <tableColumn name="b3" id="7"/>
    <tableColumn name="a4" id="8"/>
    <tableColumn name="b4" id="9"/>
    <tableColumn name="c" id="10"/>
  </tableColumns>
  <tableStyleInfo name="Fatores de forma-style" showColumnStripes="0" showFirstColumn="1" showLastColumn="1" showRowStripes="1"/>
</table>
</file>

<file path=xl/tables/table2.xml><?xml version="1.0" encoding="utf-8"?>
<table xmlns="http://schemas.openxmlformats.org/spreadsheetml/2006/main" ref="B12:U17" displayName="Table_2" name="Table_2" id="2">
  <tableColumns count="20">
    <tableColumn name="h" id="1"/>
    <tableColumn name=" k" id="2"/>
    <tableColumn name=" l" id="3"/>
    <tableColumn name="D-hkl" id="4"/>
    <tableColumn name="Seno(theta)" id="5"/>
    <tableColumn name="Theta (rad)" id="6"/>
    <tableColumn name="2Theta (graus)" id="7"/>
    <tableColumn name="Ff-Bário" id="8"/>
    <tableColumn name="Ff - Titânio" id="9"/>
    <tableColumn name="Ff- Oxigênio" id="10"/>
    <tableColumn name="Multiplicidade (p)" id="11"/>
    <tableColumn name=" F_h" id="12"/>
    <tableColumn name=" Fator Lorentz-Polarização" id="13"/>
    <tableColumn name=" I_h" id="14"/>
    <tableColumn name="B_h (100nm)" id="15"/>
    <tableColumn name="H_h (100nm)" id="16"/>
    <tableColumn name="B_h (50nm)" id="17"/>
    <tableColumn name="H_h (50nm)" id="18"/>
    <tableColumn name="B_h (10nm)" id="19"/>
    <tableColumn name="H_h (10nm)" id="20"/>
  </tableColumns>
  <tableStyleInfo name="Fatores de forma-style 2" showColumnStripes="0" showFirstColumn="1" showLastColumn="1" showRowStripes="1"/>
</table>
</file>

<file path=xl/tables/table3.xml><?xml version="1.0" encoding="utf-8"?>
<table xmlns="http://schemas.openxmlformats.org/spreadsheetml/2006/main" ref="B22:U27" displayName="Table_3" name="Table_3" id="3">
  <tableColumns count="20">
    <tableColumn name="h" id="1"/>
    <tableColumn name=" k" id="2"/>
    <tableColumn name=" l" id="3"/>
    <tableColumn name="D-hkl" id="4"/>
    <tableColumn name="Seno(theta)" id="5"/>
    <tableColumn name="Theta (rad)" id="6"/>
    <tableColumn name="2Theta (graus)" id="7"/>
    <tableColumn name="Ff-Calcio" id="8"/>
    <tableColumn name="Ff - Titânio" id="9"/>
    <tableColumn name="Ff- Oxigênio" id="10"/>
    <tableColumn name="Multiplicidade (p)" id="11"/>
    <tableColumn name=" F_h" id="12"/>
    <tableColumn name=" Fator Lorentz-Polarização" id="13"/>
    <tableColumn name=" I_h" id="14"/>
    <tableColumn name="B_h (100nm)" id="15"/>
    <tableColumn name="H_h (100nm)" id="16"/>
    <tableColumn name="B_h (50nm)" id="17"/>
    <tableColumn name="H_h (50nm)" id="18"/>
    <tableColumn name="B_h (10nm)" id="19"/>
    <tableColumn name="H_h (10nm)" id="20"/>
  </tableColumns>
  <tableStyleInfo name="Fatores de forma-style 3" showColumnStripes="0" showFirstColumn="1" showLastColumn="1" showRowStripes="1"/>
</table>
</file>

<file path=xl/tables/table4.xml><?xml version="1.0" encoding="utf-8"?>
<table xmlns="http://schemas.openxmlformats.org/spreadsheetml/2006/main" headerRowCount="0" ref="B32:U37" displayName="Table_4" name="Table_4" id="4">
  <tableColumns count="2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</tableColumns>
  <tableStyleInfo name="Fatores de forma-style 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5.xml><?xml version="1.0" encoding="utf-8"?>
<table xmlns="http://schemas.openxmlformats.org/spreadsheetml/2006/main" headerRowCount="0" ref="B42:U47" displayName="Table_5" name="Table_5" id="5">
  <tableColumns count="2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</tableColumns>
  <tableStyleInfo name="Fatores de forma-style 5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6.xml><?xml version="1.0" encoding="utf-8"?>
<table xmlns="http://schemas.openxmlformats.org/spreadsheetml/2006/main" headerRowCount="0" ref="B52:U57" displayName="Table_6" name="Table_6" id="6">
  <tableColumns count="2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</tableColumns>
  <tableStyleInfo name="Fatores de forma-style 6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11" Type="http://schemas.openxmlformats.org/officeDocument/2006/relationships/table" Target="../tables/table4.xml"/><Relationship Id="rId10" Type="http://schemas.openxmlformats.org/officeDocument/2006/relationships/table" Target="../tables/table3.xml"/><Relationship Id="rId13" Type="http://schemas.openxmlformats.org/officeDocument/2006/relationships/table" Target="../tables/table6.xml"/><Relationship Id="rId12" Type="http://schemas.openxmlformats.org/officeDocument/2006/relationships/table" Target="../tables/table5.xml"/><Relationship Id="rId9" Type="http://schemas.openxmlformats.org/officeDocument/2006/relationships/table" Target="../tables/table2.xml"/><Relationship Id="rId8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13"/>
    <col customWidth="1" min="2" max="2" width="8.25"/>
    <col customWidth="1" min="3" max="3" width="9.38"/>
    <col customWidth="1" min="4" max="4" width="8.25"/>
    <col customWidth="1" min="5" max="5" width="12.63"/>
    <col customWidth="1" min="6" max="6" width="13.75"/>
    <col customWidth="1" min="7" max="8" width="14.75"/>
    <col customWidth="1" min="9" max="9" width="16.25"/>
    <col customWidth="1" min="10" max="10" width="12.63"/>
    <col customWidth="1" min="11" max="12" width="17.5"/>
    <col customWidth="1" min="13" max="13" width="26.13"/>
    <col customWidth="1" min="14" max="14" width="25.38"/>
    <col customWidth="1" min="15" max="15" width="16.0"/>
    <col customWidth="1" min="16" max="17" width="13.0"/>
    <col customWidth="1" min="18" max="18" width="15.63"/>
    <col customWidth="1" min="19" max="19" width="13.38"/>
    <col customWidth="1" min="20" max="20" width="15.63"/>
    <col customWidth="1" min="21" max="21" width="16.63"/>
    <col customWidth="1" min="23" max="23" width="8.0"/>
    <col customWidth="1" min="24" max="24" width="11.75"/>
    <col customWidth="1" min="25" max="26" width="10.75"/>
    <col customWidth="1" min="27" max="27" width="10.25"/>
    <col customWidth="1" min="28" max="29" width="9.75"/>
  </cols>
  <sheetData>
    <row r="1">
      <c r="A1" s="1"/>
      <c r="B1" s="1"/>
      <c r="C1" s="1"/>
      <c r="D1" s="2"/>
      <c r="E1" s="3"/>
      <c r="F1" s="4"/>
      <c r="G1" s="4"/>
      <c r="H1" s="4"/>
      <c r="I1" s="4"/>
      <c r="J1" s="4"/>
      <c r="K1" s="4"/>
      <c r="L1" s="4"/>
      <c r="M1" s="4"/>
      <c r="N1" s="4"/>
      <c r="O1" s="2"/>
      <c r="P1" s="2"/>
      <c r="Q1" s="2"/>
      <c r="R1" s="2"/>
      <c r="S1" s="2"/>
      <c r="T1" s="2"/>
      <c r="U1" s="2"/>
      <c r="V1" s="2"/>
      <c r="W1" s="5" t="s">
        <v>0</v>
      </c>
      <c r="X1" s="5" t="s">
        <v>1</v>
      </c>
      <c r="AA1" s="5" t="s">
        <v>2</v>
      </c>
      <c r="AD1" s="6"/>
      <c r="AE1" s="5" t="s">
        <v>3</v>
      </c>
      <c r="AJ1" s="7"/>
    </row>
    <row r="2">
      <c r="A2" s="8" t="s">
        <v>4</v>
      </c>
      <c r="B2" s="9"/>
      <c r="C2" s="10"/>
      <c r="D2" s="2"/>
      <c r="E2" s="11" t="s">
        <v>5</v>
      </c>
      <c r="F2" s="12" t="s">
        <v>6</v>
      </c>
      <c r="G2" s="12" t="s">
        <v>7</v>
      </c>
      <c r="H2" s="12" t="s">
        <v>8</v>
      </c>
      <c r="I2" s="12" t="s">
        <v>9</v>
      </c>
      <c r="J2" s="12" t="s">
        <v>10</v>
      </c>
      <c r="K2" s="12" t="s">
        <v>11</v>
      </c>
      <c r="L2" s="12" t="s">
        <v>12</v>
      </c>
      <c r="M2" s="12" t="s">
        <v>13</v>
      </c>
      <c r="N2" s="12" t="s">
        <v>14</v>
      </c>
      <c r="O2" s="2"/>
      <c r="P2" s="2"/>
      <c r="Q2" s="2"/>
      <c r="R2" s="2"/>
      <c r="S2" s="2"/>
      <c r="T2" s="2"/>
      <c r="U2" s="2"/>
      <c r="V2" s="2"/>
      <c r="X2" s="13" t="s">
        <v>15</v>
      </c>
      <c r="Y2" s="13" t="s">
        <v>16</v>
      </c>
      <c r="Z2" s="13" t="s">
        <v>17</v>
      </c>
      <c r="AA2" s="13" t="s">
        <v>15</v>
      </c>
      <c r="AB2" s="13" t="s">
        <v>16</v>
      </c>
      <c r="AC2" s="13" t="s">
        <v>17</v>
      </c>
      <c r="AD2" s="6"/>
      <c r="AE2" s="13" t="s">
        <v>18</v>
      </c>
      <c r="AF2" s="13" t="s">
        <v>19</v>
      </c>
      <c r="AG2" s="13" t="s">
        <v>20</v>
      </c>
      <c r="AH2" s="13" t="s">
        <v>21</v>
      </c>
      <c r="AI2" s="13" t="s">
        <v>22</v>
      </c>
      <c r="AJ2" s="6"/>
    </row>
    <row r="3">
      <c r="A3" s="14" t="s">
        <v>23</v>
      </c>
      <c r="B3" s="14">
        <v>4.01</v>
      </c>
      <c r="C3" s="14" t="s">
        <v>24</v>
      </c>
      <c r="D3" s="2"/>
      <c r="E3" s="15" t="s">
        <v>25</v>
      </c>
      <c r="F3" s="15">
        <v>20.1807</v>
      </c>
      <c r="G3" s="15">
        <v>3.21367</v>
      </c>
      <c r="H3" s="15">
        <v>19.1136</v>
      </c>
      <c r="I3" s="15">
        <v>0.28331</v>
      </c>
      <c r="J3" s="15">
        <v>10.9054</v>
      </c>
      <c r="K3" s="15">
        <v>20.0558</v>
      </c>
      <c r="L3" s="15">
        <v>0.77634</v>
      </c>
      <c r="M3" s="15">
        <v>51.746</v>
      </c>
      <c r="N3" s="15">
        <v>3.02902</v>
      </c>
      <c r="O3" s="2"/>
      <c r="P3" s="2"/>
      <c r="Q3" s="2"/>
      <c r="R3" s="2"/>
      <c r="S3" s="2"/>
      <c r="T3" s="2"/>
      <c r="U3" s="2"/>
      <c r="V3" s="2"/>
      <c r="W3" s="16">
        <v>20.0</v>
      </c>
      <c r="X3" s="17">
        <f t="shared" ref="X3:X803" si="1">($Q$13*EXP(-1 * ((W3-$H$13)/$P$13)^2)) + ($Q$14*EXP(-1 * ((W3-$H$14)/$P$14)^2)) + ($Q$15*EXP(-1 * ((W3-$H$15)/$P$15)^2)) + ($Q$16*EXP(-1 * ((W3-$H$16)/$P$16)^2)) + ($Q$17*EXP(-1 * ((W3-$H$17)/$P$17)^2))</f>
        <v>0</v>
      </c>
      <c r="Y3" s="17">
        <f t="shared" ref="Y3:Y803" si="2">($S$13*EXP(-1 * ((W3-$H$13)/$R$13)^2)) + ($S$14*EXP(-1 * ((W3-$H$14)/$R$14)^2)) + ($S$15*EXP(-1 * ((W3-$H$15)/$R$15)^2)) + ($S$16*EXP(-1 * ((W3-$H$16)/$R$16)^2)) + ($S$17*EXP(-1 * ((W3-$H$17)/$R$17)^2))</f>
        <v>0</v>
      </c>
      <c r="Z3" s="17">
        <f t="shared" ref="Z3:Z803" si="3">($U$13*EXP(-1 * ((W3-$H$13)/$T$13)^2)) + ($U$14*EXP(-1 * ((W3-$H$14)/$T$14)^2)) + ($U$15*EXP(-1 * ((W3-$H$15)/$T$15)^2)) + ($U$16*EXP(-1 * ((W3-$H$16)/$T$16)^2)) + ($U$17*EXP(-1 * ((W3-$H$17)/$T$17)^2))</f>
        <v>196.2091629</v>
      </c>
      <c r="AA3" s="17">
        <f t="shared" ref="AA3:AA803" si="4">($Q$23*EXP(-1 * ((W3-$H$23)/$P$23)^2)) + ($Q$24*EXP(-1 * ((W3-$H$24)/$P$24)^2)) + ($Q$25*EXP(-1 * ((W3-$H$25)/$P$25)^2)) + ($Q$26*EXP(-1 * ((W3-$H$26)/$P$26)^2)) + ($Q$27*EXP(-1 * ((W3-$H$27)/$P$27)^2))</f>
        <v>0</v>
      </c>
      <c r="AB3" s="17">
        <f t="shared" ref="AB3:AB803" si="5">($S$23*EXP(-1 * ((W3-$H$23)/$R$23)^2)) + ($S$24*EXP(-1 * ((W3-$H$24)/$R$24)^2)) + ($S$25*EXP(-1 * ((W3-$H$25)/$R$25)^2)) + ($S$26*EXP(-1 * ((W3-$H$26)/$R$26)^2)) + ($S$27*EXP(-1 * ((W3-$H$27)/$R$27)^2))</f>
        <v>0</v>
      </c>
      <c r="AC3" s="17">
        <f t="shared" ref="AC3:AC803" si="6">($U$23*EXP(-1 * ((W3-$H$23)/$T$23)^2)) + ($U$24*EXP(-1 * ((W3-$H$24)/$T$24)^2)) + ($U$25*EXP(-1 * ((W3-$H$25)/$T$25)^2)) + ($U$26*EXP(-1 * ((W3-$H$26)/$T$26)^2)) + ($U$27*EXP(-1 * ((W3-$H$27)/$T$27)^2))</f>
        <v>0.07311706283</v>
      </c>
      <c r="AD3" s="2"/>
      <c r="AE3" s="17">
        <v>196.2091629099068</v>
      </c>
      <c r="AF3" s="17">
        <f t="shared" ref="AF3:AF803" si="7">($U$33*EXP(-1 * ((W3-$H$33)/$T$33)^2)) + ($U$34*EXP(-1 * ((W3-$H$34)/$T$34)^2)) + ($U$35*EXP(-1 * ((W3-$H$35)/$T$35)^2)) + ($U$36*EXP(-1 * ((W3-$H$36)/$T$36)^2)) + ($U$37*EXP(-1 * ((W3-$H$37)/$T$37)^2))</f>
        <v>40.95649965</v>
      </c>
      <c r="AG3" s="17">
        <f t="shared" ref="AG3:AG803" si="8">($U$43*EXP(-1 * ((W3-$H$43)/$T$43)^2)) + ($U$44*EXP(-1 * ((W3-$H$44)/$T$44)^2)) + ($U$45*EXP(-1 * ((W3-$H$45)/$T$45)^2)) + ($U$46*EXP(-1 * ((W3-$H$46)/$T$46)^2)) + ($U$47*EXP(-1 * ((W3-$H$47)/$T$47)^2))</f>
        <v>5.11080488</v>
      </c>
      <c r="AH3" s="17">
        <f t="shared" ref="AH3:AH803" si="9">($U$53*EXP(-1 * ((W3-$H$53)/$T$53)^2)) + ($U$54*EXP(-1 * ((W3-$H$54)/$T$54)^2)) + ($U$55*EXP(-1 * ((W3-$H$55)/$T$55)^2)) + ($U$56*EXP(-1 * ((W3-$H$56)/$T$56)^2)) + ($U$57*EXP(-1 * ((W3-$H$57)/$T$57)^2))</f>
        <v>1.630783077</v>
      </c>
      <c r="AI3" s="17">
        <v>0.07311706282847671</v>
      </c>
      <c r="AJ3" s="2"/>
    </row>
    <row r="4">
      <c r="A4" s="18" t="s">
        <v>26</v>
      </c>
      <c r="B4" s="18">
        <v>3.89</v>
      </c>
      <c r="C4" s="18" t="s">
        <v>24</v>
      </c>
      <c r="D4" s="2"/>
      <c r="E4" s="15" t="s">
        <v>27</v>
      </c>
      <c r="F4" s="15">
        <v>19.5114</v>
      </c>
      <c r="G4" s="15">
        <v>0.178847</v>
      </c>
      <c r="H4" s="15">
        <v>8.23473</v>
      </c>
      <c r="I4" s="15">
        <v>6.67018</v>
      </c>
      <c r="J4" s="15">
        <v>2.01341</v>
      </c>
      <c r="K4" s="15">
        <v>-0.29263</v>
      </c>
      <c r="L4" s="15">
        <v>1.5208</v>
      </c>
      <c r="M4" s="15">
        <v>12.9464</v>
      </c>
      <c r="N4" s="15">
        <v>-13.28</v>
      </c>
      <c r="O4" s="2"/>
      <c r="P4" s="2"/>
      <c r="Q4" s="2"/>
      <c r="R4" s="2"/>
      <c r="S4" s="2"/>
      <c r="T4" s="2"/>
      <c r="U4" s="2"/>
      <c r="V4" s="2"/>
      <c r="W4" s="19">
        <f t="shared" ref="W4:W803" si="10">W3+0.05</f>
        <v>20.05</v>
      </c>
      <c r="X4" s="20">
        <f t="shared" si="1"/>
        <v>0</v>
      </c>
      <c r="Y4" s="20">
        <f t="shared" si="2"/>
        <v>0</v>
      </c>
      <c r="Z4" s="20">
        <f t="shared" si="3"/>
        <v>271.5624626</v>
      </c>
      <c r="AA4" s="20">
        <f t="shared" si="4"/>
        <v>0</v>
      </c>
      <c r="AB4" s="20">
        <f t="shared" si="5"/>
        <v>0</v>
      </c>
      <c r="AC4" s="20">
        <f t="shared" si="6"/>
        <v>0.1123550289</v>
      </c>
      <c r="AD4" s="2"/>
      <c r="AE4" s="20">
        <v>271.5624625611186</v>
      </c>
      <c r="AF4" s="20">
        <f t="shared" si="7"/>
        <v>58.15520903</v>
      </c>
      <c r="AG4" s="20">
        <f t="shared" si="8"/>
        <v>7.447809754</v>
      </c>
      <c r="AH4" s="20">
        <f t="shared" si="9"/>
        <v>2.439890608</v>
      </c>
      <c r="AI4" s="20">
        <v>0.11235502887116698</v>
      </c>
      <c r="AJ4" s="2"/>
    </row>
    <row r="5">
      <c r="A5" s="14" t="s">
        <v>28</v>
      </c>
      <c r="B5" s="14">
        <v>1.541</v>
      </c>
      <c r="C5" s="14" t="s">
        <v>24</v>
      </c>
      <c r="D5" s="2"/>
      <c r="E5" s="21" t="s">
        <v>29</v>
      </c>
      <c r="F5" s="21">
        <v>3.7504</v>
      </c>
      <c r="G5" s="21">
        <v>16.5151</v>
      </c>
      <c r="H5" s="21">
        <v>2.84294</v>
      </c>
      <c r="I5" s="21">
        <v>6.59203</v>
      </c>
      <c r="J5" s="21">
        <v>1.54298</v>
      </c>
      <c r="K5" s="21">
        <v>0.319201</v>
      </c>
      <c r="L5" s="21">
        <v>1.162091</v>
      </c>
      <c r="M5" s="21">
        <v>43.3486</v>
      </c>
      <c r="N5" s="21">
        <v>0.24206</v>
      </c>
      <c r="O5" s="2"/>
      <c r="P5" s="2"/>
      <c r="Q5" s="2"/>
      <c r="R5" s="2"/>
      <c r="S5" s="2"/>
      <c r="T5" s="2"/>
      <c r="U5" s="2"/>
      <c r="V5" s="2"/>
      <c r="W5" s="16">
        <f t="shared" si="10"/>
        <v>20.1</v>
      </c>
      <c r="X5" s="17">
        <f t="shared" si="1"/>
        <v>0</v>
      </c>
      <c r="Y5" s="17">
        <f t="shared" si="2"/>
        <v>0</v>
      </c>
      <c r="Z5" s="17">
        <f t="shared" si="3"/>
        <v>372.9995091</v>
      </c>
      <c r="AA5" s="17">
        <f t="shared" si="4"/>
        <v>0</v>
      </c>
      <c r="AB5" s="17">
        <f t="shared" si="5"/>
        <v>0</v>
      </c>
      <c r="AC5" s="17">
        <f t="shared" si="6"/>
        <v>0.1713414023</v>
      </c>
      <c r="AD5" s="2"/>
      <c r="AE5" s="17">
        <v>372.9995091475531</v>
      </c>
      <c r="AF5" s="17">
        <f t="shared" si="7"/>
        <v>81.94913984</v>
      </c>
      <c r="AG5" s="17">
        <f t="shared" si="8"/>
        <v>10.77109369</v>
      </c>
      <c r="AH5" s="17">
        <f t="shared" si="9"/>
        <v>3.622750957</v>
      </c>
      <c r="AI5" s="17">
        <v>0.1713414022915227</v>
      </c>
      <c r="AJ5" s="2"/>
    </row>
    <row r="6">
      <c r="A6" s="18" t="s">
        <v>30</v>
      </c>
      <c r="B6" s="18">
        <v>1000.0</v>
      </c>
      <c r="C6" s="18" t="s">
        <v>24</v>
      </c>
      <c r="D6" s="2"/>
      <c r="E6" s="15" t="s">
        <v>31</v>
      </c>
      <c r="F6" s="15">
        <v>15.6348</v>
      </c>
      <c r="G6" s="15">
        <v>-0.0074</v>
      </c>
      <c r="H6" s="15">
        <v>7.9518</v>
      </c>
      <c r="I6" s="15">
        <v>0.6089</v>
      </c>
      <c r="J6" s="15">
        <v>8.4372</v>
      </c>
      <c r="K6" s="15">
        <v>10.3116</v>
      </c>
      <c r="L6" s="15">
        <v>0.8537</v>
      </c>
      <c r="M6" s="15">
        <v>25.9905</v>
      </c>
      <c r="N6" s="15">
        <v>-14.875</v>
      </c>
      <c r="O6" s="2"/>
      <c r="P6" s="2"/>
      <c r="Q6" s="2"/>
      <c r="R6" s="2"/>
      <c r="S6" s="2"/>
      <c r="T6" s="2"/>
      <c r="U6" s="2"/>
      <c r="V6" s="2"/>
      <c r="W6" s="19">
        <f t="shared" si="10"/>
        <v>20.15</v>
      </c>
      <c r="X6" s="20">
        <f t="shared" si="1"/>
        <v>0</v>
      </c>
      <c r="Y6" s="20">
        <f t="shared" si="2"/>
        <v>0</v>
      </c>
      <c r="Z6" s="20">
        <f t="shared" si="3"/>
        <v>508.4343115</v>
      </c>
      <c r="AA6" s="20">
        <f t="shared" si="4"/>
        <v>0</v>
      </c>
      <c r="AB6" s="20">
        <f t="shared" si="5"/>
        <v>0</v>
      </c>
      <c r="AC6" s="20">
        <f t="shared" si="6"/>
        <v>0.2593152996</v>
      </c>
      <c r="AD6" s="2"/>
      <c r="AE6" s="20">
        <v>508.43431148743855</v>
      </c>
      <c r="AF6" s="20">
        <f t="shared" si="7"/>
        <v>114.6014646</v>
      </c>
      <c r="AG6" s="20">
        <f t="shared" si="8"/>
        <v>15.45905661</v>
      </c>
      <c r="AH6" s="20">
        <f t="shared" si="9"/>
        <v>5.338270421</v>
      </c>
      <c r="AI6" s="20">
        <v>0.2593152996002437</v>
      </c>
      <c r="AJ6" s="2"/>
    </row>
    <row r="7">
      <c r="A7" s="14" t="s">
        <v>32</v>
      </c>
      <c r="B7" s="14">
        <v>500.0</v>
      </c>
      <c r="C7" s="14" t="s">
        <v>24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16">
        <f t="shared" si="10"/>
        <v>20.2</v>
      </c>
      <c r="X7" s="17">
        <f t="shared" si="1"/>
        <v>0</v>
      </c>
      <c r="Y7" s="17">
        <f t="shared" si="2"/>
        <v>0</v>
      </c>
      <c r="Z7" s="17">
        <f t="shared" si="3"/>
        <v>687.7799489</v>
      </c>
      <c r="AA7" s="17">
        <f t="shared" si="4"/>
        <v>0</v>
      </c>
      <c r="AB7" s="17">
        <f t="shared" si="5"/>
        <v>0</v>
      </c>
      <c r="AC7" s="17">
        <f t="shared" si="6"/>
        <v>0.3894843282</v>
      </c>
      <c r="AD7" s="2"/>
      <c r="AE7" s="17">
        <v>687.7799489469368</v>
      </c>
      <c r="AF7" s="17">
        <f t="shared" si="7"/>
        <v>159.0471628</v>
      </c>
      <c r="AG7" s="17">
        <f t="shared" si="8"/>
        <v>22.01902713</v>
      </c>
      <c r="AH7" s="17">
        <f t="shared" si="9"/>
        <v>7.806504706</v>
      </c>
      <c r="AI7" s="17">
        <v>0.38948432824130474</v>
      </c>
      <c r="AJ7" s="2"/>
    </row>
    <row r="8">
      <c r="A8" s="18" t="s">
        <v>33</v>
      </c>
      <c r="B8" s="18">
        <v>100.0</v>
      </c>
      <c r="C8" s="18" t="s">
        <v>24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19">
        <f t="shared" si="10"/>
        <v>20.25</v>
      </c>
      <c r="X8" s="20">
        <f t="shared" si="1"/>
        <v>0</v>
      </c>
      <c r="Y8" s="20">
        <f t="shared" si="2"/>
        <v>0</v>
      </c>
      <c r="Z8" s="20">
        <f t="shared" si="3"/>
        <v>923.3199912</v>
      </c>
      <c r="AA8" s="20">
        <f t="shared" si="4"/>
        <v>0</v>
      </c>
      <c r="AB8" s="20">
        <f t="shared" si="5"/>
        <v>0</v>
      </c>
      <c r="AC8" s="20">
        <f t="shared" si="6"/>
        <v>0.5805609984</v>
      </c>
      <c r="AD8" s="2"/>
      <c r="AE8" s="20">
        <v>923.3199912305993</v>
      </c>
      <c r="AF8" s="20">
        <f t="shared" si="7"/>
        <v>219.0542454</v>
      </c>
      <c r="AG8" s="20">
        <f t="shared" si="8"/>
        <v>31.12470334</v>
      </c>
      <c r="AH8" s="20">
        <f t="shared" si="9"/>
        <v>11.32939313</v>
      </c>
      <c r="AI8" s="20">
        <v>0.5805609984069126</v>
      </c>
      <c r="AJ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16">
        <f t="shared" si="10"/>
        <v>20.3</v>
      </c>
      <c r="X9" s="17">
        <f t="shared" si="1"/>
        <v>0</v>
      </c>
      <c r="Y9" s="17">
        <f t="shared" si="2"/>
        <v>0</v>
      </c>
      <c r="Z9" s="17">
        <f t="shared" si="3"/>
        <v>1230.107413</v>
      </c>
      <c r="AA9" s="17">
        <f t="shared" si="4"/>
        <v>0</v>
      </c>
      <c r="AB9" s="17">
        <f t="shared" si="5"/>
        <v>0</v>
      </c>
      <c r="AC9" s="17">
        <f t="shared" si="6"/>
        <v>0.8588192078</v>
      </c>
      <c r="AD9" s="2"/>
      <c r="AE9" s="17">
        <v>1230.1074130675065</v>
      </c>
      <c r="AF9" s="17">
        <f t="shared" si="7"/>
        <v>299.4107662</v>
      </c>
      <c r="AG9" s="17">
        <f t="shared" si="8"/>
        <v>43.66206482</v>
      </c>
      <c r="AH9" s="17">
        <f t="shared" si="9"/>
        <v>16.31738776</v>
      </c>
      <c r="AI9" s="17">
        <v>0.8588192077980794</v>
      </c>
      <c r="AJ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19">
        <f t="shared" si="10"/>
        <v>20.35</v>
      </c>
      <c r="X10" s="20">
        <f t="shared" si="1"/>
        <v>0</v>
      </c>
      <c r="Y10" s="20">
        <f t="shared" si="2"/>
        <v>0</v>
      </c>
      <c r="Z10" s="20">
        <f t="shared" si="3"/>
        <v>1626.379537</v>
      </c>
      <c r="AA10" s="20">
        <f t="shared" si="4"/>
        <v>0</v>
      </c>
      <c r="AB10" s="20">
        <f t="shared" si="5"/>
        <v>0</v>
      </c>
      <c r="AC10" s="20">
        <f t="shared" si="6"/>
        <v>1.260815862</v>
      </c>
      <c r="AD10" s="2"/>
      <c r="AE10" s="20">
        <v>1626.3795369754805</v>
      </c>
      <c r="AF10" s="20">
        <f t="shared" si="7"/>
        <v>406.1375465</v>
      </c>
      <c r="AG10" s="20">
        <f t="shared" si="8"/>
        <v>60.78483952</v>
      </c>
      <c r="AH10" s="20">
        <f t="shared" si="9"/>
        <v>23.32322417</v>
      </c>
      <c r="AI10" s="20">
        <v>1.2608158616625456</v>
      </c>
      <c r="AJ10" s="2"/>
    </row>
    <row r="11">
      <c r="A11" s="22" t="s">
        <v>34</v>
      </c>
      <c r="B11" s="23" t="s">
        <v>35</v>
      </c>
      <c r="C11" s="24"/>
      <c r="D11" s="25"/>
      <c r="E11" s="26" t="s">
        <v>36</v>
      </c>
      <c r="F11" s="24"/>
      <c r="G11" s="24"/>
      <c r="H11" s="24"/>
      <c r="I11" s="26" t="s">
        <v>37</v>
      </c>
      <c r="J11" s="24"/>
      <c r="K11" s="25"/>
      <c r="L11" s="26" t="s">
        <v>38</v>
      </c>
      <c r="M11" s="24"/>
      <c r="N11" s="24"/>
      <c r="O11" s="24"/>
      <c r="P11" s="24"/>
      <c r="Q11" s="24"/>
      <c r="R11" s="24"/>
      <c r="S11" s="24"/>
      <c r="T11" s="24"/>
      <c r="U11" s="25"/>
      <c r="V11" s="2"/>
      <c r="W11" s="16">
        <f t="shared" si="10"/>
        <v>20.4</v>
      </c>
      <c r="X11" s="17">
        <f t="shared" si="1"/>
        <v>0</v>
      </c>
      <c r="Y11" s="17">
        <f t="shared" si="2"/>
        <v>0</v>
      </c>
      <c r="Z11" s="17">
        <f t="shared" si="3"/>
        <v>2133.972585</v>
      </c>
      <c r="AA11" s="17">
        <f t="shared" si="4"/>
        <v>0</v>
      </c>
      <c r="AB11" s="17">
        <f t="shared" si="5"/>
        <v>0</v>
      </c>
      <c r="AC11" s="17">
        <f t="shared" si="6"/>
        <v>1.836951125</v>
      </c>
      <c r="AD11" s="2"/>
      <c r="AE11" s="17">
        <v>2133.972585097835</v>
      </c>
      <c r="AF11" s="17">
        <f t="shared" si="7"/>
        <v>546.7249065</v>
      </c>
      <c r="AG11" s="17">
        <f t="shared" si="8"/>
        <v>83.98045706</v>
      </c>
      <c r="AH11" s="17">
        <f t="shared" si="9"/>
        <v>33.08418987</v>
      </c>
      <c r="AI11" s="17">
        <v>1.836951124735202</v>
      </c>
      <c r="AJ11" s="2"/>
    </row>
    <row r="12">
      <c r="A12" s="27"/>
      <c r="B12" s="28" t="s">
        <v>39</v>
      </c>
      <c r="C12" s="28" t="s">
        <v>40</v>
      </c>
      <c r="D12" s="28" t="s">
        <v>41</v>
      </c>
      <c r="E12" s="29" t="s">
        <v>42</v>
      </c>
      <c r="F12" s="29" t="s">
        <v>43</v>
      </c>
      <c r="G12" s="29" t="s">
        <v>44</v>
      </c>
      <c r="H12" s="29" t="s">
        <v>45</v>
      </c>
      <c r="I12" s="29" t="s">
        <v>46</v>
      </c>
      <c r="J12" s="29" t="s">
        <v>47</v>
      </c>
      <c r="K12" s="29" t="s">
        <v>48</v>
      </c>
      <c r="L12" s="29" t="s">
        <v>49</v>
      </c>
      <c r="M12" s="29" t="s">
        <v>50</v>
      </c>
      <c r="N12" s="29" t="s">
        <v>51</v>
      </c>
      <c r="O12" s="29" t="s">
        <v>52</v>
      </c>
      <c r="P12" s="29" t="s">
        <v>53</v>
      </c>
      <c r="Q12" s="29" t="s">
        <v>54</v>
      </c>
      <c r="R12" s="29" t="s">
        <v>55</v>
      </c>
      <c r="S12" s="29" t="s">
        <v>56</v>
      </c>
      <c r="T12" s="29" t="s">
        <v>57</v>
      </c>
      <c r="U12" s="29" t="s">
        <v>58</v>
      </c>
      <c r="V12" s="2"/>
      <c r="W12" s="19">
        <f t="shared" si="10"/>
        <v>20.45</v>
      </c>
      <c r="X12" s="20">
        <f t="shared" si="1"/>
        <v>0</v>
      </c>
      <c r="Y12" s="20">
        <f t="shared" si="2"/>
        <v>0</v>
      </c>
      <c r="Z12" s="20">
        <f t="shared" si="3"/>
        <v>2778.713934</v>
      </c>
      <c r="AA12" s="20">
        <f t="shared" si="4"/>
        <v>0</v>
      </c>
      <c r="AB12" s="20">
        <f t="shared" si="5"/>
        <v>0</v>
      </c>
      <c r="AC12" s="20">
        <f t="shared" si="6"/>
        <v>2.656070275</v>
      </c>
      <c r="AD12" s="2"/>
      <c r="AE12" s="20">
        <v>2778.713934323518</v>
      </c>
      <c r="AF12" s="20">
        <f t="shared" si="7"/>
        <v>730.3895771</v>
      </c>
      <c r="AG12" s="20">
        <f t="shared" si="8"/>
        <v>115.1471382</v>
      </c>
      <c r="AH12" s="20">
        <f t="shared" si="9"/>
        <v>46.57430556</v>
      </c>
      <c r="AI12" s="20">
        <v>2.656070274852839</v>
      </c>
      <c r="AJ12" s="2"/>
    </row>
    <row r="13">
      <c r="A13" s="27"/>
      <c r="B13" s="30">
        <v>1.0</v>
      </c>
      <c r="C13" s="30">
        <v>0.0</v>
      </c>
      <c r="D13" s="30">
        <v>0.0</v>
      </c>
      <c r="E13" s="31">
        <f t="shared" ref="E13:E17" si="11">$B$3/sqrt(B13^2+C13^2+D13^2)</f>
        <v>4.01</v>
      </c>
      <c r="F13" s="31">
        <f t="shared" ref="F13:F17" si="12">$B$5/(2*E13)</f>
        <v>0.1921446384</v>
      </c>
      <c r="G13" s="31">
        <f t="shared" ref="G13:G17" si="13">ASIN(F13)</f>
        <v>0.19334704</v>
      </c>
      <c r="H13" s="31">
        <f t="shared" ref="H13:H17" si="14">DEGREES(G13 * 2)</f>
        <v>22.15593874</v>
      </c>
      <c r="I13" s="31">
        <f t="shared" ref="I13:I17" si="15"> $N$3 +($F$3*EXP(-$G$3*($F13/$B$5)^2)) + ($H$3*EXP(-$I$3*($F13/$B$5)^2)) + ($J$3*EXP(-$K$3*($F13/$B$5)^2)) + ($L$3*EXP(-$M$3*($F13/$B$5)^2))</f>
        <v>49.58711887</v>
      </c>
      <c r="J13" s="31">
        <f t="shared" ref="J13:J17" si="16"> $N$4 +($F$4*EXP(-$G$4*($F13/$B$5)^2) + $H$4*EXP(-$I$4*($F13/$B$5)^2) + $J$4*EXP(-$K$4*($F13/$B$5)^2) + $L$4*EXP(-$M$4*($F13/$B$5)^2))</f>
        <v>16.86690275</v>
      </c>
      <c r="K13" s="31">
        <f t="shared" ref="K13:K17" si="17"> $N$5 +($F$5*EXP(-$G$5*($F13/$B$5)^2) + $H$5*EXP(-$I$5*($F13/$B$5)^2) + $J$5*EXP(-$K$5*($F13/$B$5)^2) + $L$5*EXP(-$M$5*($F13/$B$5)^2))</f>
        <v>7.83684605</v>
      </c>
      <c r="L13" s="32">
        <v>6.0</v>
      </c>
      <c r="M13" s="31">
        <f t="shared" ref="M13:M17" si="18">I13 + (J13*(-1)^(B13+C13+D13)) + K13*((-1)^(B13+C13) + (-1)^(B13+D13) + (-1)^(C13+D13))</f>
        <v>24.88337007</v>
      </c>
      <c r="N13" s="31">
        <f t="shared" ref="N13:N17" si="19">(1 + COS(2*G13)^2) / ((SIN(G13)^2) * COS(G13))</f>
        <v>51.27492708</v>
      </c>
      <c r="O13" s="31">
        <f t="shared" ref="O13:O17" si="20">(M13^2) * L13 * N13</f>
        <v>190491.104</v>
      </c>
      <c r="P13" s="31">
        <f t="shared" ref="P13:P17" si="21">DEGREES((0.9 * $B$5) / ($B$6 * COS($G13)))</f>
        <v>0.08097230453</v>
      </c>
      <c r="Q13" s="31">
        <f t="shared" ref="Q13:Q17" si="22">$O13 / $P13</f>
        <v>2352546.406</v>
      </c>
      <c r="R13" s="31">
        <f t="shared" ref="R13:R17" si="23">DEGREES((0.9 * $B$5) / ($B$7 * COS($G13)))</f>
        <v>0.1619446091</v>
      </c>
      <c r="S13" s="31">
        <f t="shared" ref="S13:S17" si="24">$O13 / $R13</f>
        <v>1176273.203</v>
      </c>
      <c r="T13" s="31">
        <f t="shared" ref="T13:T17" si="25">DEGREES((0.9 * $B$5) / ($B$8 * COS($G13)))</f>
        <v>0.8097230453</v>
      </c>
      <c r="U13" s="31">
        <f t="shared" ref="U13:U17" si="26">$O13 / $T13</f>
        <v>235254.6406</v>
      </c>
      <c r="V13" s="2"/>
      <c r="W13" s="16">
        <f t="shared" si="10"/>
        <v>20.5</v>
      </c>
      <c r="X13" s="17">
        <f t="shared" si="1"/>
        <v>0</v>
      </c>
      <c r="Y13" s="17">
        <f t="shared" si="2"/>
        <v>0</v>
      </c>
      <c r="Z13" s="17">
        <f t="shared" si="3"/>
        <v>3590.7644</v>
      </c>
      <c r="AA13" s="17">
        <f t="shared" si="4"/>
        <v>0</v>
      </c>
      <c r="AB13" s="17">
        <f t="shared" si="5"/>
        <v>0</v>
      </c>
      <c r="AC13" s="17">
        <f t="shared" si="6"/>
        <v>3.811338698</v>
      </c>
      <c r="AD13" s="2"/>
      <c r="AE13" s="17">
        <v>3590.764399787714</v>
      </c>
      <c r="AF13" s="17">
        <f t="shared" si="7"/>
        <v>968.3453358</v>
      </c>
      <c r="AG13" s="17">
        <f t="shared" si="8"/>
        <v>156.6823289</v>
      </c>
      <c r="AH13" s="17">
        <f t="shared" si="9"/>
        <v>65.06781711</v>
      </c>
      <c r="AI13" s="17">
        <v>3.8113386975737646</v>
      </c>
      <c r="AJ13" s="2"/>
    </row>
    <row r="14">
      <c r="A14" s="27"/>
      <c r="B14" s="33">
        <v>1.0</v>
      </c>
      <c r="C14" s="33">
        <v>1.0</v>
      </c>
      <c r="D14" s="33">
        <v>0.0</v>
      </c>
      <c r="E14" s="31">
        <f t="shared" si="11"/>
        <v>2.835498193</v>
      </c>
      <c r="F14" s="31">
        <f t="shared" si="12"/>
        <v>0.2717335536</v>
      </c>
      <c r="G14" s="31">
        <f t="shared" si="13"/>
        <v>0.2751939078</v>
      </c>
      <c r="H14" s="31">
        <f t="shared" si="14"/>
        <v>31.53489893</v>
      </c>
      <c r="I14" s="31">
        <f t="shared" si="15"/>
        <v>46.2371938</v>
      </c>
      <c r="J14" s="31">
        <f t="shared" si="16"/>
        <v>15.86411399</v>
      </c>
      <c r="K14" s="31">
        <f t="shared" si="17"/>
        <v>6.631919955</v>
      </c>
      <c r="L14" s="34">
        <v>12.0</v>
      </c>
      <c r="M14" s="31">
        <f t="shared" si="18"/>
        <v>55.46938783</v>
      </c>
      <c r="N14" s="31">
        <f t="shared" si="19"/>
        <v>24.29544449</v>
      </c>
      <c r="O14" s="31">
        <f t="shared" si="20"/>
        <v>897042.131</v>
      </c>
      <c r="P14" s="31">
        <f t="shared" si="21"/>
        <v>0.08257043358</v>
      </c>
      <c r="Q14" s="31">
        <f t="shared" si="22"/>
        <v>10863962.95</v>
      </c>
      <c r="R14" s="31">
        <f t="shared" si="23"/>
        <v>0.1651408672</v>
      </c>
      <c r="S14" s="31">
        <f t="shared" si="24"/>
        <v>5431981.474</v>
      </c>
      <c r="T14" s="31">
        <f t="shared" si="25"/>
        <v>0.8257043358</v>
      </c>
      <c r="U14" s="31">
        <f t="shared" si="26"/>
        <v>1086396.295</v>
      </c>
      <c r="V14" s="2"/>
      <c r="W14" s="19">
        <f t="shared" si="10"/>
        <v>20.55</v>
      </c>
      <c r="X14" s="20">
        <f t="shared" si="1"/>
        <v>0</v>
      </c>
      <c r="Y14" s="20">
        <f t="shared" si="2"/>
        <v>0</v>
      </c>
      <c r="Z14" s="20">
        <f t="shared" si="3"/>
        <v>4604.87718</v>
      </c>
      <c r="AA14" s="20">
        <f t="shared" si="4"/>
        <v>0</v>
      </c>
      <c r="AB14" s="20">
        <f t="shared" si="5"/>
        <v>0</v>
      </c>
      <c r="AC14" s="20">
        <f t="shared" si="6"/>
        <v>5.427646444</v>
      </c>
      <c r="AD14" s="2"/>
      <c r="AE14" s="20">
        <v>4604.877180467481</v>
      </c>
      <c r="AF14" s="20">
        <f t="shared" si="7"/>
        <v>1274.077813</v>
      </c>
      <c r="AG14" s="20">
        <f t="shared" si="8"/>
        <v>211.582061</v>
      </c>
      <c r="AH14" s="20">
        <f t="shared" si="9"/>
        <v>90.21526974</v>
      </c>
      <c r="AI14" s="20">
        <v>5.427646443678366</v>
      </c>
      <c r="AJ14" s="2"/>
    </row>
    <row r="15">
      <c r="A15" s="27"/>
      <c r="B15" s="30">
        <v>1.0</v>
      </c>
      <c r="C15" s="30">
        <v>1.0</v>
      </c>
      <c r="D15" s="30">
        <v>1.0</v>
      </c>
      <c r="E15" s="31">
        <f t="shared" si="11"/>
        <v>2.315174579</v>
      </c>
      <c r="F15" s="31">
        <f t="shared" si="12"/>
        <v>0.3328042761</v>
      </c>
      <c r="G15" s="31">
        <f t="shared" si="13"/>
        <v>0.3392758152</v>
      </c>
      <c r="H15" s="31">
        <f t="shared" si="14"/>
        <v>38.8781446</v>
      </c>
      <c r="I15" s="31">
        <f t="shared" si="15"/>
        <v>43.61224457</v>
      </c>
      <c r="J15" s="31">
        <f t="shared" si="16"/>
        <v>14.97488608</v>
      </c>
      <c r="K15" s="31">
        <f t="shared" si="17"/>
        <v>5.742538498</v>
      </c>
      <c r="L15" s="32">
        <v>8.0</v>
      </c>
      <c r="M15" s="31">
        <f t="shared" si="18"/>
        <v>45.86497399</v>
      </c>
      <c r="N15" s="31">
        <f t="shared" si="19"/>
        <v>15.3768525</v>
      </c>
      <c r="O15" s="31">
        <f t="shared" si="20"/>
        <v>258773.4635</v>
      </c>
      <c r="P15" s="31">
        <f t="shared" si="21"/>
        <v>0.08426708381</v>
      </c>
      <c r="Q15" s="31">
        <f t="shared" si="22"/>
        <v>3070872.42</v>
      </c>
      <c r="R15" s="31">
        <f t="shared" si="23"/>
        <v>0.1685341676</v>
      </c>
      <c r="S15" s="31">
        <f t="shared" si="24"/>
        <v>1535436.21</v>
      </c>
      <c r="T15" s="31">
        <f t="shared" si="25"/>
        <v>0.8426708381</v>
      </c>
      <c r="U15" s="31">
        <f t="shared" si="26"/>
        <v>307087.242</v>
      </c>
      <c r="V15" s="2"/>
      <c r="W15" s="16">
        <f t="shared" si="10"/>
        <v>20.6</v>
      </c>
      <c r="X15" s="17">
        <f t="shared" si="1"/>
        <v>0</v>
      </c>
      <c r="Y15" s="17">
        <f t="shared" si="2"/>
        <v>0</v>
      </c>
      <c r="Z15" s="17">
        <f t="shared" si="3"/>
        <v>5860.534955</v>
      </c>
      <c r="AA15" s="17">
        <f t="shared" si="4"/>
        <v>0</v>
      </c>
      <c r="AB15" s="17">
        <f t="shared" si="5"/>
        <v>0</v>
      </c>
      <c r="AC15" s="17">
        <f t="shared" si="6"/>
        <v>7.670816228</v>
      </c>
      <c r="AD15" s="2"/>
      <c r="AE15" s="17">
        <v>5860.534955404909</v>
      </c>
      <c r="AF15" s="17">
        <f t="shared" si="7"/>
        <v>1663.610416</v>
      </c>
      <c r="AG15" s="17">
        <f t="shared" si="8"/>
        <v>283.5499814</v>
      </c>
      <c r="AH15" s="17">
        <f t="shared" si="9"/>
        <v>124.133166</v>
      </c>
      <c r="AI15" s="17">
        <v>7.670816227569932</v>
      </c>
      <c r="AJ15" s="2"/>
    </row>
    <row r="16">
      <c r="A16" s="27"/>
      <c r="B16" s="33">
        <v>2.0</v>
      </c>
      <c r="C16" s="33">
        <v>0.0</v>
      </c>
      <c r="D16" s="33">
        <v>0.0</v>
      </c>
      <c r="E16" s="31">
        <f t="shared" si="11"/>
        <v>2.005</v>
      </c>
      <c r="F16" s="31">
        <f t="shared" si="12"/>
        <v>0.3842892768</v>
      </c>
      <c r="G16" s="31">
        <f t="shared" si="13"/>
        <v>0.3944378622</v>
      </c>
      <c r="H16" s="31">
        <f t="shared" si="14"/>
        <v>45.19924957</v>
      </c>
      <c r="I16" s="31">
        <f t="shared" si="15"/>
        <v>41.49794179</v>
      </c>
      <c r="J16" s="31">
        <f t="shared" si="16"/>
        <v>14.18458704</v>
      </c>
      <c r="K16" s="31">
        <f t="shared" si="17"/>
        <v>5.06282584</v>
      </c>
      <c r="L16" s="34">
        <v>6.0</v>
      </c>
      <c r="M16" s="31">
        <f t="shared" si="18"/>
        <v>70.87100635</v>
      </c>
      <c r="N16" s="31">
        <f t="shared" si="19"/>
        <v>10.97652632</v>
      </c>
      <c r="O16" s="31">
        <f t="shared" si="20"/>
        <v>330790.7621</v>
      </c>
      <c r="P16" s="31">
        <f t="shared" si="21"/>
        <v>0.08607281258</v>
      </c>
      <c r="Q16" s="31">
        <f t="shared" si="22"/>
        <v>3843150.377</v>
      </c>
      <c r="R16" s="31">
        <f t="shared" si="23"/>
        <v>0.1721456252</v>
      </c>
      <c r="S16" s="31">
        <f t="shared" si="24"/>
        <v>1921575.189</v>
      </c>
      <c r="T16" s="31">
        <f t="shared" si="25"/>
        <v>0.8607281258</v>
      </c>
      <c r="U16" s="31">
        <f t="shared" si="26"/>
        <v>384315.0377</v>
      </c>
      <c r="V16" s="2"/>
      <c r="W16" s="19">
        <f t="shared" si="10"/>
        <v>20.65</v>
      </c>
      <c r="X16" s="20">
        <f t="shared" si="1"/>
        <v>0</v>
      </c>
      <c r="Y16" s="20">
        <f t="shared" si="2"/>
        <v>0</v>
      </c>
      <c r="Z16" s="20">
        <f t="shared" si="3"/>
        <v>7401.922587</v>
      </c>
      <c r="AA16" s="20">
        <f t="shared" si="4"/>
        <v>0</v>
      </c>
      <c r="AB16" s="20">
        <f t="shared" si="5"/>
        <v>0</v>
      </c>
      <c r="AC16" s="20">
        <f t="shared" si="6"/>
        <v>10.75889402</v>
      </c>
      <c r="AD16" s="2"/>
      <c r="AE16" s="20">
        <v>7401.922586547475</v>
      </c>
      <c r="AF16" s="20">
        <f t="shared" si="7"/>
        <v>2155.744559</v>
      </c>
      <c r="AG16" s="20">
        <f t="shared" si="8"/>
        <v>377.1137418</v>
      </c>
      <c r="AH16" s="20">
        <f t="shared" si="9"/>
        <v>169.5077574</v>
      </c>
      <c r="AI16" s="20">
        <v>10.758894015241237</v>
      </c>
      <c r="AJ16" s="2"/>
    </row>
    <row r="17">
      <c r="A17" s="35"/>
      <c r="B17" s="30">
        <v>2.0</v>
      </c>
      <c r="C17" s="30">
        <v>1.0</v>
      </c>
      <c r="D17" s="30">
        <v>0.0</v>
      </c>
      <c r="E17" s="31">
        <f t="shared" si="11"/>
        <v>1.793326518</v>
      </c>
      <c r="F17" s="31">
        <f t="shared" si="12"/>
        <v>0.429648473</v>
      </c>
      <c r="G17" s="31">
        <f t="shared" si="13"/>
        <v>0.4441034513</v>
      </c>
      <c r="H17" s="31">
        <f t="shared" si="14"/>
        <v>50.89050685</v>
      </c>
      <c r="I17" s="31">
        <f t="shared" si="15"/>
        <v>39.75358105</v>
      </c>
      <c r="J17" s="31">
        <f t="shared" si="16"/>
        <v>13.48065778</v>
      </c>
      <c r="K17" s="31">
        <f t="shared" si="17"/>
        <v>4.52899703</v>
      </c>
      <c r="L17" s="32">
        <v>24.0</v>
      </c>
      <c r="M17" s="31">
        <f t="shared" si="18"/>
        <v>21.74392624</v>
      </c>
      <c r="N17" s="31">
        <f t="shared" si="19"/>
        <v>8.386254225</v>
      </c>
      <c r="O17" s="31">
        <f t="shared" si="20"/>
        <v>95160.16747</v>
      </c>
      <c r="P17" s="31">
        <f t="shared" si="21"/>
        <v>0.08799983217</v>
      </c>
      <c r="Q17" s="31">
        <f t="shared" si="22"/>
        <v>1081367.602</v>
      </c>
      <c r="R17" s="31">
        <f t="shared" si="23"/>
        <v>0.1759996643</v>
      </c>
      <c r="S17" s="31">
        <f t="shared" si="24"/>
        <v>540683.8009</v>
      </c>
      <c r="T17" s="31">
        <f t="shared" si="25"/>
        <v>0.8799983217</v>
      </c>
      <c r="U17" s="31">
        <f t="shared" si="26"/>
        <v>108136.7602</v>
      </c>
      <c r="V17" s="2"/>
      <c r="W17" s="16">
        <f t="shared" si="10"/>
        <v>20.7</v>
      </c>
      <c r="X17" s="17">
        <f t="shared" si="1"/>
        <v>0</v>
      </c>
      <c r="Y17" s="17">
        <f t="shared" si="2"/>
        <v>0</v>
      </c>
      <c r="Z17" s="17">
        <f t="shared" si="3"/>
        <v>9277.690605</v>
      </c>
      <c r="AA17" s="17">
        <f t="shared" si="4"/>
        <v>0</v>
      </c>
      <c r="AB17" s="17">
        <f t="shared" si="5"/>
        <v>0</v>
      </c>
      <c r="AC17" s="17">
        <f t="shared" si="6"/>
        <v>14.97578868</v>
      </c>
      <c r="AD17" s="2"/>
      <c r="AE17" s="17">
        <v>9277.690604898416</v>
      </c>
      <c r="AF17" s="17">
        <f t="shared" si="7"/>
        <v>2772.253603</v>
      </c>
      <c r="AG17" s="17">
        <f t="shared" si="8"/>
        <v>497.745163</v>
      </c>
      <c r="AH17" s="17">
        <f t="shared" si="9"/>
        <v>229.7128497</v>
      </c>
      <c r="AI17" s="17">
        <v>14.975788675316416</v>
      </c>
      <c r="AJ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19">
        <f t="shared" si="10"/>
        <v>20.75</v>
      </c>
      <c r="X18" s="20">
        <f t="shared" si="1"/>
        <v>0</v>
      </c>
      <c r="Y18" s="20">
        <f t="shared" si="2"/>
        <v>0</v>
      </c>
      <c r="Z18" s="20">
        <f t="shared" si="3"/>
        <v>11540.46481</v>
      </c>
      <c r="AA18" s="20">
        <f t="shared" si="4"/>
        <v>0</v>
      </c>
      <c r="AB18" s="20">
        <f t="shared" si="5"/>
        <v>0</v>
      </c>
      <c r="AC18" s="20">
        <f t="shared" si="6"/>
        <v>20.68748992</v>
      </c>
      <c r="AD18" s="2"/>
      <c r="AE18" s="20">
        <v>11540.464806826294</v>
      </c>
      <c r="AF18" s="20">
        <f t="shared" si="7"/>
        <v>3538.006319</v>
      </c>
      <c r="AG18" s="20">
        <f t="shared" si="8"/>
        <v>651.9791293</v>
      </c>
      <c r="AH18" s="20">
        <f t="shared" si="9"/>
        <v>308.9405863</v>
      </c>
      <c r="AI18" s="20">
        <v>20.68748991951021</v>
      </c>
      <c r="AJ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16">
        <f t="shared" si="10"/>
        <v>20.8</v>
      </c>
      <c r="X19" s="17">
        <f t="shared" si="1"/>
        <v>0</v>
      </c>
      <c r="Y19" s="17">
        <f t="shared" si="2"/>
        <v>0</v>
      </c>
      <c r="Z19" s="17">
        <f t="shared" si="3"/>
        <v>14246.06053</v>
      </c>
      <c r="AA19" s="17">
        <f t="shared" si="4"/>
        <v>0</v>
      </c>
      <c r="AB19" s="17">
        <f t="shared" si="5"/>
        <v>0</v>
      </c>
      <c r="AC19" s="17">
        <f t="shared" si="6"/>
        <v>28.36102473</v>
      </c>
      <c r="AD19" s="2"/>
      <c r="AE19" s="17">
        <v>14246.060525410483</v>
      </c>
      <c r="AF19" s="17">
        <f t="shared" si="7"/>
        <v>4480.992757</v>
      </c>
      <c r="AG19" s="17">
        <f t="shared" si="8"/>
        <v>847.5245634</v>
      </c>
      <c r="AH19" s="17">
        <f t="shared" si="9"/>
        <v>412.3429835</v>
      </c>
      <c r="AI19" s="17">
        <v>28.361024734776112</v>
      </c>
      <c r="AJ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19">
        <f t="shared" si="10"/>
        <v>20.85</v>
      </c>
      <c r="X20" s="20">
        <f t="shared" si="1"/>
        <v>0</v>
      </c>
      <c r="Y20" s="20">
        <f t="shared" si="2"/>
        <v>0</v>
      </c>
      <c r="Z20" s="20">
        <f t="shared" si="3"/>
        <v>17452.36704</v>
      </c>
      <c r="AA20" s="20">
        <f t="shared" si="4"/>
        <v>0</v>
      </c>
      <c r="AB20" s="20">
        <f t="shared" si="5"/>
        <v>0</v>
      </c>
      <c r="AC20" s="20">
        <f t="shared" si="6"/>
        <v>38.5862044</v>
      </c>
      <c r="AD20" s="2"/>
      <c r="AE20" s="20">
        <v>17452.367041698522</v>
      </c>
      <c r="AF20" s="20">
        <f t="shared" si="7"/>
        <v>5632.223361</v>
      </c>
      <c r="AG20" s="20">
        <f t="shared" si="8"/>
        <v>1093.359164</v>
      </c>
      <c r="AH20" s="20">
        <f t="shared" si="9"/>
        <v>546.180533</v>
      </c>
      <c r="AI20" s="20">
        <v>38.586204395091</v>
      </c>
      <c r="AJ20" s="2"/>
    </row>
    <row r="21">
      <c r="A21" s="22" t="s">
        <v>59</v>
      </c>
      <c r="B21" s="23" t="s">
        <v>35</v>
      </c>
      <c r="C21" s="24"/>
      <c r="D21" s="25"/>
      <c r="E21" s="26" t="s">
        <v>36</v>
      </c>
      <c r="F21" s="24"/>
      <c r="G21" s="24"/>
      <c r="H21" s="24"/>
      <c r="I21" s="26" t="s">
        <v>37</v>
      </c>
      <c r="J21" s="24"/>
      <c r="K21" s="25"/>
      <c r="L21" s="26" t="s">
        <v>38</v>
      </c>
      <c r="M21" s="24"/>
      <c r="N21" s="24"/>
      <c r="O21" s="24"/>
      <c r="P21" s="24"/>
      <c r="Q21" s="24"/>
      <c r="R21" s="24"/>
      <c r="S21" s="24"/>
      <c r="T21" s="24"/>
      <c r="U21" s="25"/>
      <c r="V21" s="2"/>
      <c r="W21" s="16">
        <f t="shared" si="10"/>
        <v>20.9</v>
      </c>
      <c r="X21" s="17">
        <f t="shared" si="1"/>
        <v>0</v>
      </c>
      <c r="Y21" s="17">
        <f t="shared" si="2"/>
        <v>0</v>
      </c>
      <c r="Z21" s="17">
        <f t="shared" si="3"/>
        <v>21217.87858</v>
      </c>
      <c r="AA21" s="17">
        <f t="shared" si="4"/>
        <v>0</v>
      </c>
      <c r="AB21" s="17">
        <f t="shared" si="5"/>
        <v>0</v>
      </c>
      <c r="AC21" s="17">
        <f t="shared" si="6"/>
        <v>52.10006019</v>
      </c>
      <c r="AD21" s="2"/>
      <c r="AE21" s="17">
        <v>21217.8785765786</v>
      </c>
      <c r="AF21" s="17">
        <f t="shared" si="7"/>
        <v>7025.471675</v>
      </c>
      <c r="AG21" s="17">
        <f t="shared" si="8"/>
        <v>1399.797972</v>
      </c>
      <c r="AH21" s="17">
        <f t="shared" si="9"/>
        <v>717.9724678</v>
      </c>
      <c r="AI21" s="17">
        <v>52.10006018889497</v>
      </c>
      <c r="AJ21" s="2"/>
    </row>
    <row r="22">
      <c r="A22" s="27"/>
      <c r="B22" s="28" t="s">
        <v>39</v>
      </c>
      <c r="C22" s="28" t="s">
        <v>40</v>
      </c>
      <c r="D22" s="28" t="s">
        <v>41</v>
      </c>
      <c r="E22" s="29" t="s">
        <v>42</v>
      </c>
      <c r="F22" s="29" t="s">
        <v>43</v>
      </c>
      <c r="G22" s="29" t="s">
        <v>44</v>
      </c>
      <c r="H22" s="29" t="s">
        <v>45</v>
      </c>
      <c r="I22" s="29" t="s">
        <v>60</v>
      </c>
      <c r="J22" s="29" t="s">
        <v>47</v>
      </c>
      <c r="K22" s="29" t="s">
        <v>48</v>
      </c>
      <c r="L22" s="29" t="s">
        <v>49</v>
      </c>
      <c r="M22" s="29" t="s">
        <v>50</v>
      </c>
      <c r="N22" s="29" t="s">
        <v>51</v>
      </c>
      <c r="O22" s="29" t="s">
        <v>52</v>
      </c>
      <c r="P22" s="29" t="s">
        <v>53</v>
      </c>
      <c r="Q22" s="29" t="s">
        <v>54</v>
      </c>
      <c r="R22" s="29" t="s">
        <v>55</v>
      </c>
      <c r="S22" s="29" t="s">
        <v>56</v>
      </c>
      <c r="T22" s="29" t="s">
        <v>57</v>
      </c>
      <c r="U22" s="29" t="s">
        <v>58</v>
      </c>
      <c r="V22" s="2"/>
      <c r="W22" s="19">
        <f t="shared" si="10"/>
        <v>20.95</v>
      </c>
      <c r="X22" s="20">
        <f t="shared" si="1"/>
        <v>0</v>
      </c>
      <c r="Y22" s="20">
        <f t="shared" si="2"/>
        <v>0</v>
      </c>
      <c r="Z22" s="20">
        <f t="shared" si="3"/>
        <v>25599.86353</v>
      </c>
      <c r="AA22" s="20">
        <f t="shared" si="4"/>
        <v>0</v>
      </c>
      <c r="AB22" s="20">
        <f t="shared" si="5"/>
        <v>0</v>
      </c>
      <c r="AC22" s="20">
        <f t="shared" si="6"/>
        <v>69.81366091</v>
      </c>
      <c r="AD22" s="2"/>
      <c r="AE22" s="20">
        <v>25599.863529750775</v>
      </c>
      <c r="AF22" s="20">
        <f t="shared" si="7"/>
        <v>8696.83228</v>
      </c>
      <c r="AG22" s="20">
        <f t="shared" si="8"/>
        <v>1778.524392</v>
      </c>
      <c r="AH22" s="20">
        <f t="shared" si="9"/>
        <v>936.6413566</v>
      </c>
      <c r="AI22" s="20">
        <v>69.813660910426</v>
      </c>
      <c r="AJ22" s="2"/>
    </row>
    <row r="23">
      <c r="A23" s="27"/>
      <c r="B23" s="30">
        <v>1.0</v>
      </c>
      <c r="C23" s="30">
        <v>0.0</v>
      </c>
      <c r="D23" s="30">
        <v>0.0</v>
      </c>
      <c r="E23" s="31">
        <f t="shared" ref="E23:E27" si="27">$B$4/SQRT(B23^2+C23^2+D23^2)</f>
        <v>3.89</v>
      </c>
      <c r="F23" s="31">
        <f t="shared" ref="F23:F27" si="28">$B$5 / (2 * ($B$4 / SQRT(B23^2 + C23^2 + D23^2)))</f>
        <v>0.1980719794</v>
      </c>
      <c r="G23" s="31">
        <f t="shared" ref="G23:G27" si="29">ASIN(F23)</f>
        <v>0.1993905368</v>
      </c>
      <c r="H23" s="31">
        <f t="shared" ref="H23:H27" si="30">DEGREES(G23 * 2)</f>
        <v>22.84847247</v>
      </c>
      <c r="I23" s="31">
        <f t="shared" ref="I23:I27" si="31"> $N$5 +($F$6*EXP(-$G$6*($F23/$B$5)^2) + $H$6*EXP(-$I$6*($F23/$B$5)^2) + $J$6*EXP(-$K$6*($F23/$B$5)^2) + $L$6*EXP(-$M$6*($F23/$B$5)^2))</f>
        <v>31.42226494</v>
      </c>
      <c r="J23" s="31">
        <f t="shared" ref="J23:J27" si="32"> $N$4 +($F$4*EXP(-$G$4*($F23/$B$5)^2) + $H$4*EXP(-$I$4*($F23/$B$5)^2) + $J$4*EXP(-$K$4*($F23/$B$5)^2) + $L$4*EXP(-$M$4*($F23/$B$5)^2))</f>
        <v>16.80043506</v>
      </c>
      <c r="K23" s="31">
        <f t="shared" ref="K23:K27" si="33"> $N$5 +($F$5*EXP(-$G$5*($F23/$B$5)^2) + $H$5*EXP(-$I$5*($F23/$B$5)^2) + $J$5*EXP(-$K$5*($F23/$B$5)^2) + $L$5*EXP(-$M$5*($F23/$B$5)^2))</f>
        <v>7.749164905</v>
      </c>
      <c r="L23" s="32">
        <v>6.0</v>
      </c>
      <c r="M23" s="31">
        <f t="shared" ref="M23:M27" si="34">I23 + (J23*(-1)^(B23+C23+D23)) + K23*((-1)^(B23+C23) + (-1)^(B23+D23) + (-1)^(C23+D23))</f>
        <v>6.872664975</v>
      </c>
      <c r="N23" s="31">
        <f t="shared" ref="N23:N27" si="35">(1 + COS(2*G23)^2) / (SIN(G23)^2 * COS(G23))</f>
        <v>48.08780208</v>
      </c>
      <c r="O23" s="31">
        <f t="shared" ref="O23:O27" si="36">M23^2 * L23 * N23</f>
        <v>13628.13808</v>
      </c>
      <c r="P23" s="31">
        <f t="shared" ref="P23:P27" si="37">DEGREES((0.9 * $B$5) / ($B$6 * COS($G23)))</f>
        <v>0.08106971211</v>
      </c>
      <c r="Q23" s="31">
        <f t="shared" ref="Q23:Q27" si="38">O23 / P23</f>
        <v>168103.9407</v>
      </c>
      <c r="R23" s="31">
        <f t="shared" ref="R23:R27" si="39">DEGREES((0.9 * $B$5) / ($B$7 * COS($G23)))</f>
        <v>0.1621394242</v>
      </c>
      <c r="S23" s="31">
        <f t="shared" ref="S23:S27" si="40">O23/R23</f>
        <v>84051.97036</v>
      </c>
      <c r="T23" s="31">
        <f t="shared" ref="T23:T27" si="41">DEGREES((0.9 * $B$5) / ($B$8 * COS($G23)))</f>
        <v>0.8106971211</v>
      </c>
      <c r="U23" s="31">
        <f t="shared" ref="U23:U27" si="42">O23/T23</f>
        <v>16810.39407</v>
      </c>
      <c r="V23" s="2"/>
      <c r="W23" s="16">
        <f t="shared" si="10"/>
        <v>21</v>
      </c>
      <c r="X23" s="17">
        <f t="shared" si="1"/>
        <v>0</v>
      </c>
      <c r="Y23" s="17">
        <f t="shared" si="2"/>
        <v>0</v>
      </c>
      <c r="Z23" s="17">
        <f t="shared" si="3"/>
        <v>30652.18297</v>
      </c>
      <c r="AA23" s="17">
        <f t="shared" si="4"/>
        <v>0</v>
      </c>
      <c r="AB23" s="17">
        <f t="shared" si="5"/>
        <v>0</v>
      </c>
      <c r="AC23" s="17">
        <f t="shared" si="6"/>
        <v>92.84074616</v>
      </c>
      <c r="AD23" s="2"/>
      <c r="AE23" s="17">
        <v>30652.18296715568</v>
      </c>
      <c r="AF23" s="17">
        <f t="shared" si="7"/>
        <v>10684.0692</v>
      </c>
      <c r="AG23" s="17">
        <f t="shared" si="8"/>
        <v>2242.571232</v>
      </c>
      <c r="AH23" s="17">
        <f t="shared" si="9"/>
        <v>1212.642638</v>
      </c>
      <c r="AI23" s="17">
        <v>92.84074616246585</v>
      </c>
      <c r="AJ23" s="2"/>
    </row>
    <row r="24">
      <c r="A24" s="27"/>
      <c r="B24" s="33">
        <v>1.0</v>
      </c>
      <c r="C24" s="33">
        <v>1.0</v>
      </c>
      <c r="D24" s="33">
        <v>0.0</v>
      </c>
      <c r="E24" s="31">
        <f t="shared" si="27"/>
        <v>2.750645379</v>
      </c>
      <c r="F24" s="31">
        <f t="shared" si="28"/>
        <v>0.2801160796</v>
      </c>
      <c r="G24" s="31">
        <f t="shared" si="29"/>
        <v>0.2839150276</v>
      </c>
      <c r="H24" s="31">
        <f t="shared" si="30"/>
        <v>32.53426565</v>
      </c>
      <c r="I24" s="31">
        <f t="shared" si="31"/>
        <v>30.03681781</v>
      </c>
      <c r="J24" s="31">
        <f t="shared" si="32"/>
        <v>15.74679652</v>
      </c>
      <c r="K24" s="31">
        <f t="shared" si="33"/>
        <v>6.505923512</v>
      </c>
      <c r="L24" s="34">
        <v>12.0</v>
      </c>
      <c r="M24" s="31">
        <f t="shared" si="34"/>
        <v>39.27769082</v>
      </c>
      <c r="N24" s="31">
        <f t="shared" si="35"/>
        <v>22.71218218</v>
      </c>
      <c r="O24" s="31">
        <f t="shared" si="36"/>
        <v>420467.0846</v>
      </c>
      <c r="P24" s="31">
        <f t="shared" si="37"/>
        <v>0.08277741645</v>
      </c>
      <c r="Q24" s="31">
        <f t="shared" si="38"/>
        <v>5079490.308</v>
      </c>
      <c r="R24" s="31">
        <f t="shared" si="39"/>
        <v>0.1655548329</v>
      </c>
      <c r="S24" s="31">
        <f t="shared" si="40"/>
        <v>2539745.154</v>
      </c>
      <c r="T24" s="31">
        <f t="shared" si="41"/>
        <v>0.8277741645</v>
      </c>
      <c r="U24" s="31">
        <f t="shared" si="42"/>
        <v>507949.0308</v>
      </c>
      <c r="V24" s="2"/>
      <c r="W24" s="19">
        <f t="shared" si="10"/>
        <v>21.05</v>
      </c>
      <c r="X24" s="20">
        <f t="shared" si="1"/>
        <v>0</v>
      </c>
      <c r="Y24" s="20">
        <f t="shared" si="2"/>
        <v>0</v>
      </c>
      <c r="Z24" s="20">
        <f t="shared" si="3"/>
        <v>36422.79228</v>
      </c>
      <c r="AA24" s="20">
        <f t="shared" si="4"/>
        <v>0</v>
      </c>
      <c r="AB24" s="20">
        <f t="shared" si="5"/>
        <v>0</v>
      </c>
      <c r="AC24" s="20">
        <f t="shared" si="6"/>
        <v>122.5272976</v>
      </c>
      <c r="AD24" s="2"/>
      <c r="AE24" s="20">
        <v>36422.792284576935</v>
      </c>
      <c r="AF24" s="20">
        <f t="shared" si="7"/>
        <v>13025.73623</v>
      </c>
      <c r="AG24" s="20">
        <f t="shared" si="8"/>
        <v>2806.238784</v>
      </c>
      <c r="AH24" s="20">
        <f t="shared" si="9"/>
        <v>1558.06763</v>
      </c>
      <c r="AI24" s="20">
        <v>122.52729755857077</v>
      </c>
      <c r="AJ24" s="2"/>
    </row>
    <row r="25">
      <c r="A25" s="27"/>
      <c r="B25" s="30">
        <v>1.0</v>
      </c>
      <c r="C25" s="30">
        <v>1.0</v>
      </c>
      <c r="D25" s="30">
        <v>1.0</v>
      </c>
      <c r="E25" s="31">
        <f t="shared" si="27"/>
        <v>2.245892547</v>
      </c>
      <c r="F25" s="31">
        <f t="shared" si="28"/>
        <v>0.3430707319</v>
      </c>
      <c r="G25" s="31">
        <f t="shared" si="29"/>
        <v>0.3501840912</v>
      </c>
      <c r="H25" s="31">
        <f t="shared" si="30"/>
        <v>40.12814096</v>
      </c>
      <c r="I25" s="31">
        <f t="shared" si="31"/>
        <v>28.89446498</v>
      </c>
      <c r="J25" s="31">
        <f t="shared" si="32"/>
        <v>14.81920993</v>
      </c>
      <c r="K25" s="31">
        <f t="shared" si="33"/>
        <v>5.601149394</v>
      </c>
      <c r="L25" s="32">
        <v>8.0</v>
      </c>
      <c r="M25" s="31">
        <f t="shared" si="34"/>
        <v>30.87870324</v>
      </c>
      <c r="N25" s="31">
        <f t="shared" si="35"/>
        <v>14.33340079</v>
      </c>
      <c r="O25" s="31">
        <f t="shared" si="36"/>
        <v>109334.5292</v>
      </c>
      <c r="P25" s="31">
        <f t="shared" si="37"/>
        <v>0.08459779282</v>
      </c>
      <c r="Q25" s="31">
        <f t="shared" si="38"/>
        <v>1292404.04</v>
      </c>
      <c r="R25" s="31">
        <f t="shared" si="39"/>
        <v>0.1691955856</v>
      </c>
      <c r="S25" s="31">
        <f t="shared" si="40"/>
        <v>646202.0198</v>
      </c>
      <c r="T25" s="31">
        <f t="shared" si="41"/>
        <v>0.8459779282</v>
      </c>
      <c r="U25" s="31">
        <f t="shared" si="42"/>
        <v>129240.404</v>
      </c>
      <c r="V25" s="2"/>
      <c r="W25" s="16">
        <f t="shared" si="10"/>
        <v>21.1</v>
      </c>
      <c r="X25" s="17">
        <f t="shared" si="1"/>
        <v>0</v>
      </c>
      <c r="Y25" s="17">
        <f t="shared" si="2"/>
        <v>0</v>
      </c>
      <c r="Z25" s="17">
        <f t="shared" si="3"/>
        <v>42950.98556</v>
      </c>
      <c r="AA25" s="17">
        <f t="shared" si="4"/>
        <v>0</v>
      </c>
      <c r="AB25" s="17">
        <f t="shared" si="5"/>
        <v>0</v>
      </c>
      <c r="AC25" s="17">
        <f t="shared" si="6"/>
        <v>160.4808109</v>
      </c>
      <c r="AD25" s="2"/>
      <c r="AE25" s="17">
        <v>42950.985560217836</v>
      </c>
      <c r="AF25" s="17">
        <f t="shared" si="7"/>
        <v>15760.05965</v>
      </c>
      <c r="AG25" s="17">
        <f t="shared" si="8"/>
        <v>3484.937178</v>
      </c>
      <c r="AH25" s="17">
        <f t="shared" si="9"/>
        <v>1986.706628</v>
      </c>
      <c r="AI25" s="17">
        <v>160.48081094164746</v>
      </c>
      <c r="AJ25" s="2"/>
    </row>
    <row r="26">
      <c r="A26" s="27"/>
      <c r="B26" s="33">
        <v>2.0</v>
      </c>
      <c r="C26" s="33">
        <v>0.0</v>
      </c>
      <c r="D26" s="33">
        <v>0.0</v>
      </c>
      <c r="E26" s="31">
        <f t="shared" si="27"/>
        <v>1.945</v>
      </c>
      <c r="F26" s="31">
        <f t="shared" si="28"/>
        <v>0.3961439589</v>
      </c>
      <c r="G26" s="31">
        <f t="shared" si="29"/>
        <v>0.4073134036</v>
      </c>
      <c r="H26" s="31">
        <f t="shared" si="30"/>
        <v>46.67467793</v>
      </c>
      <c r="I26" s="31">
        <f t="shared" si="31"/>
        <v>27.94421109</v>
      </c>
      <c r="J26" s="31">
        <f t="shared" si="32"/>
        <v>14.00052801</v>
      </c>
      <c r="K26" s="31">
        <f t="shared" si="33"/>
        <v>4.917233744</v>
      </c>
      <c r="L26" s="34">
        <v>6.0</v>
      </c>
      <c r="M26" s="31">
        <f t="shared" si="34"/>
        <v>56.69644033</v>
      </c>
      <c r="N26" s="31">
        <f t="shared" si="35"/>
        <v>10.20733092</v>
      </c>
      <c r="O26" s="31">
        <f t="shared" si="36"/>
        <v>196867.9552</v>
      </c>
      <c r="P26" s="31">
        <f t="shared" si="37"/>
        <v>0.08654380232</v>
      </c>
      <c r="Q26" s="31">
        <f t="shared" si="38"/>
        <v>2274778.204</v>
      </c>
      <c r="R26" s="31">
        <f t="shared" si="39"/>
        <v>0.1730876046</v>
      </c>
      <c r="S26" s="31">
        <f t="shared" si="40"/>
        <v>1137389.102</v>
      </c>
      <c r="T26" s="31">
        <f t="shared" si="41"/>
        <v>0.8654380232</v>
      </c>
      <c r="U26" s="31">
        <f t="shared" si="42"/>
        <v>227477.8204</v>
      </c>
      <c r="V26" s="2"/>
      <c r="W26" s="19">
        <f t="shared" si="10"/>
        <v>21.15</v>
      </c>
      <c r="X26" s="20">
        <f t="shared" si="1"/>
        <v>0</v>
      </c>
      <c r="Y26" s="20">
        <f t="shared" si="2"/>
        <v>0</v>
      </c>
      <c r="Z26" s="20">
        <f t="shared" si="3"/>
        <v>50264.469</v>
      </c>
      <c r="AA26" s="20">
        <f t="shared" si="4"/>
        <v>0</v>
      </c>
      <c r="AB26" s="20">
        <f t="shared" si="5"/>
        <v>0</v>
      </c>
      <c r="AC26" s="20">
        <f t="shared" si="6"/>
        <v>208.5976389</v>
      </c>
      <c r="AD26" s="2"/>
      <c r="AE26" s="20">
        <v>50264.46899944431</v>
      </c>
      <c r="AF26" s="20">
        <f t="shared" si="7"/>
        <v>18923.58539</v>
      </c>
      <c r="AG26" s="20">
        <f t="shared" si="8"/>
        <v>4294.941371</v>
      </c>
      <c r="AH26" s="20">
        <f t="shared" si="9"/>
        <v>2514.057128</v>
      </c>
      <c r="AI26" s="20">
        <v>208.59763887977005</v>
      </c>
      <c r="AJ26" s="2"/>
    </row>
    <row r="27">
      <c r="A27" s="35"/>
      <c r="B27" s="30">
        <v>2.0</v>
      </c>
      <c r="C27" s="30">
        <v>1.0</v>
      </c>
      <c r="D27" s="30">
        <v>0.0</v>
      </c>
      <c r="E27" s="31">
        <f t="shared" si="27"/>
        <v>1.739660886</v>
      </c>
      <c r="F27" s="31">
        <f t="shared" si="28"/>
        <v>0.4429024105</v>
      </c>
      <c r="G27" s="31">
        <f t="shared" si="29"/>
        <v>0.4588333333</v>
      </c>
      <c r="H27" s="31">
        <f t="shared" si="30"/>
        <v>52.578427</v>
      </c>
      <c r="I27" s="31">
        <f t="shared" si="31"/>
        <v>27.14759725</v>
      </c>
      <c r="J27" s="31">
        <f t="shared" si="32"/>
        <v>13.27616619</v>
      </c>
      <c r="K27" s="31">
        <f t="shared" si="33"/>
        <v>4.384970848</v>
      </c>
      <c r="L27" s="32">
        <v>24.0</v>
      </c>
      <c r="M27" s="31">
        <f t="shared" si="34"/>
        <v>9.486460212</v>
      </c>
      <c r="N27" s="31">
        <f t="shared" si="35"/>
        <v>7.785535767</v>
      </c>
      <c r="O27" s="31">
        <f t="shared" si="36"/>
        <v>16815.43571</v>
      </c>
      <c r="P27" s="31">
        <f t="shared" si="37"/>
        <v>0.0886305943</v>
      </c>
      <c r="Q27" s="31">
        <f t="shared" si="38"/>
        <v>189724.9572</v>
      </c>
      <c r="R27" s="31">
        <f t="shared" si="39"/>
        <v>0.1772611886</v>
      </c>
      <c r="S27" s="31">
        <f t="shared" si="40"/>
        <v>94862.47861</v>
      </c>
      <c r="T27" s="31">
        <f t="shared" si="41"/>
        <v>0.886305943</v>
      </c>
      <c r="U27" s="31">
        <f t="shared" si="42"/>
        <v>18972.49572</v>
      </c>
      <c r="V27" s="2"/>
      <c r="W27" s="16">
        <f t="shared" si="10"/>
        <v>21.2</v>
      </c>
      <c r="X27" s="17">
        <f t="shared" si="1"/>
        <v>0</v>
      </c>
      <c r="Y27" s="17">
        <f t="shared" si="2"/>
        <v>0.0000000008669250527</v>
      </c>
      <c r="Z27" s="17">
        <f t="shared" si="3"/>
        <v>58376.37633</v>
      </c>
      <c r="AA27" s="17">
        <f t="shared" si="4"/>
        <v>0</v>
      </c>
      <c r="AB27" s="17">
        <f t="shared" si="5"/>
        <v>0</v>
      </c>
      <c r="AC27" s="17">
        <f t="shared" si="6"/>
        <v>269.0863632</v>
      </c>
      <c r="AD27" s="2"/>
      <c r="AE27" s="17">
        <v>58376.376331598054</v>
      </c>
      <c r="AF27" s="17">
        <f t="shared" si="7"/>
        <v>22549.60722</v>
      </c>
      <c r="AG27" s="17">
        <f t="shared" si="8"/>
        <v>5253.049352</v>
      </c>
      <c r="AH27" s="17">
        <f t="shared" si="9"/>
        <v>3157.261175</v>
      </c>
      <c r="AI27" s="17">
        <v>269.08636321915486</v>
      </c>
      <c r="AJ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19">
        <f t="shared" si="10"/>
        <v>21.25</v>
      </c>
      <c r="X28" s="20">
        <f t="shared" si="1"/>
        <v>0</v>
      </c>
      <c r="Y28" s="20">
        <f t="shared" si="2"/>
        <v>0.00000003017061218</v>
      </c>
      <c r="Z28" s="20">
        <f t="shared" si="3"/>
        <v>67282.363</v>
      </c>
      <c r="AA28" s="20">
        <f t="shared" si="4"/>
        <v>0</v>
      </c>
      <c r="AB28" s="20">
        <f t="shared" si="5"/>
        <v>0</v>
      </c>
      <c r="AC28" s="20">
        <f t="shared" si="6"/>
        <v>344.4847593</v>
      </c>
      <c r="AD28" s="2"/>
      <c r="AE28" s="20">
        <v>67282.36299774404</v>
      </c>
      <c r="AF28" s="20">
        <f t="shared" si="7"/>
        <v>26666.40856</v>
      </c>
      <c r="AG28" s="20">
        <f t="shared" si="8"/>
        <v>6376.13755</v>
      </c>
      <c r="AH28" s="20">
        <f t="shared" si="9"/>
        <v>3934.955647</v>
      </c>
      <c r="AI28" s="20">
        <v>344.48475929052785</v>
      </c>
      <c r="AJ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16">
        <f t="shared" si="10"/>
        <v>21.3</v>
      </c>
      <c r="X29" s="17">
        <f t="shared" si="1"/>
        <v>0</v>
      </c>
      <c r="Y29" s="17">
        <f t="shared" si="2"/>
        <v>0.0000008677375859</v>
      </c>
      <c r="Z29" s="17">
        <f t="shared" si="3"/>
        <v>76957.93525</v>
      </c>
      <c r="AA29" s="17">
        <f t="shared" si="4"/>
        <v>0</v>
      </c>
      <c r="AB29" s="17">
        <f t="shared" si="5"/>
        <v>0</v>
      </c>
      <c r="AC29" s="17">
        <f t="shared" si="6"/>
        <v>437.667561</v>
      </c>
      <c r="AD29" s="2"/>
      <c r="AE29" s="17">
        <v>76957.93524657638</v>
      </c>
      <c r="AF29" s="17">
        <f t="shared" si="7"/>
        <v>31295.36823</v>
      </c>
      <c r="AG29" s="17">
        <f t="shared" si="8"/>
        <v>7680.612041</v>
      </c>
      <c r="AH29" s="17">
        <f t="shared" si="9"/>
        <v>4867.020099</v>
      </c>
      <c r="AI29" s="17">
        <v>437.6675609709181</v>
      </c>
      <c r="AJ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19">
        <f t="shared" si="10"/>
        <v>21.35</v>
      </c>
      <c r="X30" s="20">
        <f t="shared" si="1"/>
        <v>0</v>
      </c>
      <c r="Y30" s="20">
        <f t="shared" si="2"/>
        <v>0.00002062502171</v>
      </c>
      <c r="Z30" s="20">
        <f t="shared" si="3"/>
        <v>87356.1826</v>
      </c>
      <c r="AA30" s="20">
        <f t="shared" si="4"/>
        <v>0</v>
      </c>
      <c r="AB30" s="20">
        <f t="shared" si="5"/>
        <v>0</v>
      </c>
      <c r="AC30" s="20">
        <f t="shared" si="6"/>
        <v>551.8419704</v>
      </c>
      <c r="AD30" s="2"/>
      <c r="AE30" s="20">
        <v>87356.18259929812</v>
      </c>
      <c r="AF30" s="20">
        <f t="shared" si="7"/>
        <v>36448.99793</v>
      </c>
      <c r="AG30" s="20">
        <f t="shared" si="8"/>
        <v>9181.759974</v>
      </c>
      <c r="AH30" s="20">
        <f t="shared" si="9"/>
        <v>5974.208884</v>
      </c>
      <c r="AI30" s="20">
        <v>551.8419703549197</v>
      </c>
      <c r="AJ30" s="2"/>
    </row>
    <row r="31">
      <c r="A31" s="36" t="s">
        <v>61</v>
      </c>
      <c r="B31" s="23" t="s">
        <v>35</v>
      </c>
      <c r="C31" s="24"/>
      <c r="D31" s="25"/>
      <c r="E31" s="26" t="s">
        <v>36</v>
      </c>
      <c r="F31" s="24"/>
      <c r="G31" s="24"/>
      <c r="H31" s="24"/>
      <c r="I31" s="26" t="s">
        <v>37</v>
      </c>
      <c r="J31" s="24"/>
      <c r="K31" s="25"/>
      <c r="L31" s="26" t="s">
        <v>38</v>
      </c>
      <c r="M31" s="24"/>
      <c r="N31" s="24"/>
      <c r="O31" s="25"/>
      <c r="P31" s="2"/>
      <c r="Q31" s="2"/>
      <c r="R31" s="2"/>
      <c r="S31" s="2"/>
      <c r="T31" s="37"/>
      <c r="U31" s="37"/>
      <c r="V31" s="2"/>
      <c r="W31" s="16">
        <f t="shared" si="10"/>
        <v>21.4</v>
      </c>
      <c r="X31" s="17">
        <f t="shared" si="1"/>
        <v>0</v>
      </c>
      <c r="Y31" s="17">
        <f t="shared" si="2"/>
        <v>0.0004051372143</v>
      </c>
      <c r="Z31" s="17">
        <f t="shared" si="3"/>
        <v>98406.08551</v>
      </c>
      <c r="AA31" s="17">
        <f t="shared" si="4"/>
        <v>0</v>
      </c>
      <c r="AB31" s="17">
        <f t="shared" si="5"/>
        <v>0</v>
      </c>
      <c r="AC31" s="17">
        <f t="shared" si="6"/>
        <v>690.5277232</v>
      </c>
      <c r="AD31" s="2"/>
      <c r="AE31" s="17">
        <v>98406.08550597196</v>
      </c>
      <c r="AF31" s="17">
        <f t="shared" si="7"/>
        <v>42128.99607</v>
      </c>
      <c r="AG31" s="17">
        <f t="shared" si="8"/>
        <v>10893.01238</v>
      </c>
      <c r="AH31" s="17">
        <f t="shared" si="9"/>
        <v>7277.657827</v>
      </c>
      <c r="AI31" s="17">
        <v>690.527723239093</v>
      </c>
      <c r="AJ31" s="2"/>
    </row>
    <row r="32">
      <c r="A32" s="35"/>
      <c r="B32" s="28" t="s">
        <v>39</v>
      </c>
      <c r="C32" s="28" t="s">
        <v>40</v>
      </c>
      <c r="D32" s="28" t="s">
        <v>41</v>
      </c>
      <c r="E32" s="29" t="s">
        <v>42</v>
      </c>
      <c r="F32" s="29" t="s">
        <v>43</v>
      </c>
      <c r="G32" s="29" t="s">
        <v>44</v>
      </c>
      <c r="H32" s="29" t="s">
        <v>45</v>
      </c>
      <c r="I32" s="29" t="s">
        <v>62</v>
      </c>
      <c r="J32" s="29" t="s">
        <v>47</v>
      </c>
      <c r="K32" s="29" t="s">
        <v>48</v>
      </c>
      <c r="L32" s="29" t="s">
        <v>49</v>
      </c>
      <c r="M32" s="29" t="s">
        <v>50</v>
      </c>
      <c r="N32" s="29" t="s">
        <v>51</v>
      </c>
      <c r="O32" s="29" t="s">
        <v>52</v>
      </c>
      <c r="P32" s="2"/>
      <c r="Q32" s="2"/>
      <c r="R32" s="2"/>
      <c r="S32" s="2"/>
      <c r="T32" s="29" t="s">
        <v>57</v>
      </c>
      <c r="U32" s="29" t="s">
        <v>58</v>
      </c>
      <c r="V32" s="2"/>
      <c r="W32" s="19">
        <f t="shared" si="10"/>
        <v>21.45</v>
      </c>
      <c r="X32" s="20">
        <f t="shared" si="1"/>
        <v>0</v>
      </c>
      <c r="Y32" s="20">
        <f t="shared" si="2"/>
        <v>0.006576753719</v>
      </c>
      <c r="Z32" s="20">
        <f t="shared" si="3"/>
        <v>110011.5627</v>
      </c>
      <c r="AA32" s="20">
        <f t="shared" si="4"/>
        <v>0</v>
      </c>
      <c r="AB32" s="20">
        <f t="shared" si="5"/>
        <v>0</v>
      </c>
      <c r="AC32" s="20">
        <f t="shared" si="6"/>
        <v>857.5185698</v>
      </c>
      <c r="AD32" s="2"/>
      <c r="AE32" s="20">
        <v>110011.56274908161</v>
      </c>
      <c r="AF32" s="20">
        <f t="shared" si="7"/>
        <v>48324.41631</v>
      </c>
      <c r="AG32" s="20">
        <f t="shared" si="8"/>
        <v>12825.13703</v>
      </c>
      <c r="AH32" s="20">
        <f t="shared" si="9"/>
        <v>8798.26072</v>
      </c>
      <c r="AI32" s="20">
        <v>857.5185697982266</v>
      </c>
      <c r="AJ32" s="2"/>
    </row>
    <row r="33">
      <c r="A33" s="38" t="s">
        <v>63</v>
      </c>
      <c r="B33" s="30">
        <v>1.0</v>
      </c>
      <c r="C33" s="30">
        <v>0.0</v>
      </c>
      <c r="D33" s="30">
        <v>0.0</v>
      </c>
      <c r="E33" s="31">
        <f t="shared" ref="E33:E37" si="43">$A$35/SQRT(B33^2+C33^2+D33^2)</f>
        <v>3.98</v>
      </c>
      <c r="F33" s="31">
        <f t="shared" ref="F33:F37" si="44">$B$5 / (2 * ($A$35 / SQRT(B33^2 + C33^2 + D33^2)))</f>
        <v>0.1935929648</v>
      </c>
      <c r="G33" s="31">
        <f t="shared" ref="G33:G37" si="45">ASIN(F33)</f>
        <v>0.1948230798</v>
      </c>
      <c r="H33" s="31">
        <f t="shared" ref="H33:H37" si="46">DEGREES(G33 * 2)</f>
        <v>22.32508045</v>
      </c>
      <c r="I33" s="31">
        <f t="shared" ref="I33:I37" si="47">((1-$A$37)*$I13)+($A$37*$I23)</f>
        <v>45.04590539</v>
      </c>
      <c r="J33" s="31">
        <f t="shared" ref="J33:J37" si="48"> $N$4 +($F$4*EXP(-$G$4*($F33/$B$5)^2) + $H$4*EXP(-$I$4*($F33/$B$5)^2) + $J$4*EXP(-$K$4*($F33/$B$5)^2) + $L$4*EXP(-$M$4*($F33/$B$5)^2))</f>
        <v>16.8508013</v>
      </c>
      <c r="K33" s="31">
        <f t="shared" ref="K33:K37" si="49"> $N$5 +($F$5*EXP(-$G$5*($F33/$B$5)^2) + $H$5*EXP(-$I$5*($F33/$B$5)^2) + $J$5*EXP(-$K$5*($F33/$B$5)^2) + $L$5*EXP(-$M$5*($F33/$B$5)^2))</f>
        <v>7.815494335</v>
      </c>
      <c r="L33" s="32">
        <v>6.0</v>
      </c>
      <c r="M33" s="31">
        <f t="shared" ref="M33:M37" si="50">I33 + (J33*(-1)^(B33+C33+D33)) + K33*((-1)^(B33+C33) + (-1)^(B33+D33) + (-1)^(C33+D33))</f>
        <v>20.37960976</v>
      </c>
      <c r="N33" s="31">
        <f t="shared" ref="N33:N37" si="51">(1 + COS(2*G33)^2) / (SIN(G33)^2 * COS(G33))</f>
        <v>50.46899313</v>
      </c>
      <c r="O33" s="31">
        <f t="shared" ref="O33:O37" si="52">M33^2 * L33 * N33</f>
        <v>125767.2654</v>
      </c>
      <c r="P33" s="2"/>
      <c r="Q33" s="2"/>
      <c r="R33" s="2"/>
      <c r="S33" s="2"/>
      <c r="T33" s="31">
        <f t="shared" ref="T33:T37" si="53">DEGREES((0.9 * $B$5) / ($B$8 * COS($G33)))</f>
        <v>0.8099580039</v>
      </c>
      <c r="U33" s="31">
        <f t="shared" ref="U33:U37" si="54">O33/T33</f>
        <v>155276.2795</v>
      </c>
      <c r="V33" s="2"/>
      <c r="W33" s="16">
        <f t="shared" si="10"/>
        <v>21.5</v>
      </c>
      <c r="X33" s="17">
        <f t="shared" si="1"/>
        <v>0</v>
      </c>
      <c r="Y33" s="17">
        <f t="shared" si="2"/>
        <v>0.08823131228</v>
      </c>
      <c r="Z33" s="17">
        <f t="shared" si="3"/>
        <v>122051.4042</v>
      </c>
      <c r="AA33" s="17">
        <f t="shared" si="4"/>
        <v>0</v>
      </c>
      <c r="AB33" s="17">
        <f t="shared" si="5"/>
        <v>0</v>
      </c>
      <c r="AC33" s="17">
        <f t="shared" si="6"/>
        <v>1056.822304</v>
      </c>
      <c r="AD33" s="2"/>
      <c r="AE33" s="17">
        <v>122051.40421782683</v>
      </c>
      <c r="AF33" s="17">
        <f t="shared" si="7"/>
        <v>55010.05942</v>
      </c>
      <c r="AG33" s="17">
        <f t="shared" si="8"/>
        <v>14985.38778</v>
      </c>
      <c r="AH33" s="17">
        <f t="shared" si="9"/>
        <v>10555.91751</v>
      </c>
      <c r="AI33" s="17">
        <v>1056.8223044884157</v>
      </c>
      <c r="AJ33" s="2"/>
    </row>
    <row r="34">
      <c r="A34" s="39" t="s">
        <v>64</v>
      </c>
      <c r="B34" s="33">
        <v>1.0</v>
      </c>
      <c r="C34" s="33">
        <v>1.0</v>
      </c>
      <c r="D34" s="33">
        <v>0.0</v>
      </c>
      <c r="E34" s="31">
        <f t="shared" si="43"/>
        <v>2.814284989</v>
      </c>
      <c r="F34" s="31">
        <f t="shared" si="44"/>
        <v>0.2737817964</v>
      </c>
      <c r="G34" s="31">
        <f t="shared" si="45"/>
        <v>0.2773228757</v>
      </c>
      <c r="H34" s="31">
        <f t="shared" si="46"/>
        <v>31.77886068</v>
      </c>
      <c r="I34" s="31">
        <f t="shared" si="47"/>
        <v>42.1870998</v>
      </c>
      <c r="J34" s="31">
        <f t="shared" si="48"/>
        <v>15.83561504</v>
      </c>
      <c r="K34" s="31">
        <f t="shared" si="49"/>
        <v>6.601051263</v>
      </c>
      <c r="L34" s="34">
        <v>12.0</v>
      </c>
      <c r="M34" s="31">
        <f t="shared" si="50"/>
        <v>51.42166358</v>
      </c>
      <c r="N34" s="31">
        <f t="shared" si="51"/>
        <v>23.89496082</v>
      </c>
      <c r="O34" s="31">
        <f t="shared" si="52"/>
        <v>758193.0764</v>
      </c>
      <c r="P34" s="2"/>
      <c r="Q34" s="2"/>
      <c r="R34" s="2"/>
      <c r="S34" s="2"/>
      <c r="T34" s="31">
        <f t="shared" si="53"/>
        <v>0.826202864</v>
      </c>
      <c r="U34" s="31">
        <f t="shared" si="54"/>
        <v>917683.9121</v>
      </c>
      <c r="V34" s="2"/>
      <c r="W34" s="19">
        <f t="shared" si="10"/>
        <v>21.55</v>
      </c>
      <c r="X34" s="20">
        <f t="shared" si="1"/>
        <v>0</v>
      </c>
      <c r="Y34" s="20">
        <f t="shared" si="2"/>
        <v>0.9782179244</v>
      </c>
      <c r="Z34" s="20">
        <f t="shared" si="3"/>
        <v>134380.2038</v>
      </c>
      <c r="AA34" s="20">
        <f t="shared" si="4"/>
        <v>0</v>
      </c>
      <c r="AB34" s="20">
        <f t="shared" si="5"/>
        <v>0</v>
      </c>
      <c r="AC34" s="20">
        <f t="shared" si="6"/>
        <v>1292.577019</v>
      </c>
      <c r="AD34" s="2"/>
      <c r="AE34" s="20">
        <v>134380.20383301697</v>
      </c>
      <c r="AF34" s="20">
        <f t="shared" si="7"/>
        <v>62145.20156</v>
      </c>
      <c r="AG34" s="20">
        <f t="shared" si="8"/>
        <v>17376.64436</v>
      </c>
      <c r="AH34" s="20">
        <f t="shared" si="9"/>
        <v>12568.66392</v>
      </c>
      <c r="AI34" s="20">
        <v>1292.5770191978627</v>
      </c>
      <c r="AJ34" s="2"/>
    </row>
    <row r="35">
      <c r="A35" s="40">
        <v>3.98</v>
      </c>
      <c r="B35" s="30">
        <v>1.0</v>
      </c>
      <c r="C35" s="30">
        <v>1.0</v>
      </c>
      <c r="D35" s="30">
        <v>1.0</v>
      </c>
      <c r="E35" s="31">
        <f t="shared" si="43"/>
        <v>2.297854071</v>
      </c>
      <c r="F35" s="31">
        <f t="shared" si="44"/>
        <v>0.3353128511</v>
      </c>
      <c r="G35" s="31">
        <f t="shared" si="45"/>
        <v>0.3419372865</v>
      </c>
      <c r="H35" s="31">
        <f t="shared" si="46"/>
        <v>39.18312675</v>
      </c>
      <c r="I35" s="31">
        <f t="shared" si="47"/>
        <v>39.93279968</v>
      </c>
      <c r="J35" s="31">
        <f t="shared" si="48"/>
        <v>14.93696758</v>
      </c>
      <c r="K35" s="31">
        <f t="shared" si="49"/>
        <v>5.707738808</v>
      </c>
      <c r="L35" s="32">
        <v>8.0</v>
      </c>
      <c r="M35" s="31">
        <f t="shared" si="50"/>
        <v>42.11904852</v>
      </c>
      <c r="N35" s="31">
        <f t="shared" si="51"/>
        <v>15.11276617</v>
      </c>
      <c r="O35" s="31">
        <f t="shared" si="52"/>
        <v>214482.1002</v>
      </c>
      <c r="P35" s="2"/>
      <c r="Q35" s="2"/>
      <c r="R35" s="2"/>
      <c r="S35" s="2"/>
      <c r="T35" s="31">
        <f t="shared" si="53"/>
        <v>0.8434660858</v>
      </c>
      <c r="U35" s="31">
        <f t="shared" si="54"/>
        <v>254286.5727</v>
      </c>
      <c r="V35" s="2"/>
      <c r="W35" s="16">
        <f t="shared" si="10"/>
        <v>21.6</v>
      </c>
      <c r="X35" s="17">
        <f t="shared" si="1"/>
        <v>0</v>
      </c>
      <c r="Y35" s="17">
        <f t="shared" si="2"/>
        <v>8.962934286</v>
      </c>
      <c r="Z35" s="17">
        <f t="shared" si="3"/>
        <v>146830.3653</v>
      </c>
      <c r="AA35" s="17">
        <f t="shared" si="4"/>
        <v>0</v>
      </c>
      <c r="AB35" s="17">
        <f t="shared" si="5"/>
        <v>0</v>
      </c>
      <c r="AC35" s="17">
        <f t="shared" si="6"/>
        <v>1568.942085</v>
      </c>
      <c r="AD35" s="2"/>
      <c r="AE35" s="17">
        <v>146830.36532359337</v>
      </c>
      <c r="AF35" s="17">
        <f t="shared" si="7"/>
        <v>69672.77009</v>
      </c>
      <c r="AG35" s="17">
        <f t="shared" si="8"/>
        <v>19996.58322</v>
      </c>
      <c r="AH35" s="17">
        <f t="shared" si="9"/>
        <v>14851.70127</v>
      </c>
      <c r="AI35" s="17">
        <v>1568.9420854929776</v>
      </c>
      <c r="AJ35" s="2"/>
    </row>
    <row r="36">
      <c r="A36" s="41" t="s">
        <v>65</v>
      </c>
      <c r="B36" s="33">
        <v>2.0</v>
      </c>
      <c r="C36" s="33">
        <v>0.0</v>
      </c>
      <c r="D36" s="33">
        <v>0.0</v>
      </c>
      <c r="E36" s="31">
        <f t="shared" si="43"/>
        <v>1.99</v>
      </c>
      <c r="F36" s="31">
        <f t="shared" si="44"/>
        <v>0.3871859296</v>
      </c>
      <c r="G36" s="31">
        <f t="shared" si="45"/>
        <v>0.3975774979</v>
      </c>
      <c r="H36" s="31">
        <f t="shared" si="46"/>
        <v>45.55902532</v>
      </c>
      <c r="I36" s="31">
        <f t="shared" si="47"/>
        <v>38.10950911</v>
      </c>
      <c r="J36" s="31">
        <f t="shared" si="48"/>
        <v>14.13963993</v>
      </c>
      <c r="K36" s="31">
        <f t="shared" si="49"/>
        <v>5.026859102</v>
      </c>
      <c r="L36" s="34">
        <v>6.0</v>
      </c>
      <c r="M36" s="31">
        <f t="shared" si="50"/>
        <v>67.32972634</v>
      </c>
      <c r="N36" s="31">
        <f t="shared" si="51"/>
        <v>10.78168117</v>
      </c>
      <c r="O36" s="31">
        <f t="shared" si="52"/>
        <v>293259.0571</v>
      </c>
      <c r="P36" s="2"/>
      <c r="Q36" s="2"/>
      <c r="R36" s="2"/>
      <c r="S36" s="2"/>
      <c r="T36" s="31">
        <f t="shared" si="53"/>
        <v>0.8618587178</v>
      </c>
      <c r="U36" s="31">
        <f t="shared" si="54"/>
        <v>340263.4922</v>
      </c>
      <c r="V36" s="2"/>
      <c r="W36" s="19">
        <f t="shared" si="10"/>
        <v>21.65</v>
      </c>
      <c r="X36" s="20">
        <f t="shared" si="1"/>
        <v>0</v>
      </c>
      <c r="Y36" s="20">
        <f t="shared" si="2"/>
        <v>67.86823053</v>
      </c>
      <c r="Z36" s="20">
        <f t="shared" si="3"/>
        <v>159215.2019</v>
      </c>
      <c r="AA36" s="20">
        <f t="shared" si="4"/>
        <v>0</v>
      </c>
      <c r="AB36" s="20">
        <f t="shared" si="5"/>
        <v>0</v>
      </c>
      <c r="AC36" s="20">
        <f t="shared" si="6"/>
        <v>1889.963504</v>
      </c>
      <c r="AD36" s="2"/>
      <c r="AE36" s="20">
        <v>159215.20190058096</v>
      </c>
      <c r="AF36" s="20">
        <f t="shared" si="7"/>
        <v>77519.06835</v>
      </c>
      <c r="AG36" s="20">
        <f t="shared" si="8"/>
        <v>22836.92534</v>
      </c>
      <c r="AH36" s="20">
        <f t="shared" si="9"/>
        <v>17416.35475</v>
      </c>
      <c r="AI36" s="20">
        <v>1889.963504058729</v>
      </c>
      <c r="AJ36" s="2"/>
    </row>
    <row r="37">
      <c r="A37" s="42">
        <v>0.25</v>
      </c>
      <c r="B37" s="30">
        <v>2.0</v>
      </c>
      <c r="C37" s="30">
        <v>1.0</v>
      </c>
      <c r="D37" s="30">
        <v>0.0</v>
      </c>
      <c r="E37" s="31">
        <f t="shared" si="43"/>
        <v>1.77991011</v>
      </c>
      <c r="F37" s="31">
        <f t="shared" si="44"/>
        <v>0.4328870293</v>
      </c>
      <c r="G37" s="31">
        <f t="shared" si="45"/>
        <v>0.4476929804</v>
      </c>
      <c r="H37" s="31">
        <f t="shared" si="46"/>
        <v>51.30183659</v>
      </c>
      <c r="I37" s="31">
        <f t="shared" si="47"/>
        <v>36.6020851</v>
      </c>
      <c r="J37" s="31">
        <f t="shared" si="48"/>
        <v>13.43059793</v>
      </c>
      <c r="K37" s="31">
        <f t="shared" si="49"/>
        <v>4.493304522</v>
      </c>
      <c r="L37" s="32">
        <v>24.0</v>
      </c>
      <c r="M37" s="31">
        <f t="shared" si="50"/>
        <v>18.67818265</v>
      </c>
      <c r="N37" s="31">
        <f t="shared" si="51"/>
        <v>8.233890526</v>
      </c>
      <c r="O37" s="31">
        <f t="shared" si="52"/>
        <v>68942.26796</v>
      </c>
      <c r="P37" s="2"/>
      <c r="Q37" s="2"/>
      <c r="R37" s="2"/>
      <c r="S37" s="2"/>
      <c r="T37" s="31">
        <f t="shared" si="53"/>
        <v>0.8815095358</v>
      </c>
      <c r="U37" s="31">
        <f t="shared" si="54"/>
        <v>78209.32747</v>
      </c>
      <c r="V37" s="2"/>
      <c r="W37" s="16">
        <f t="shared" si="10"/>
        <v>21.7</v>
      </c>
      <c r="X37" s="17">
        <f t="shared" si="1"/>
        <v>0.00000003998007644</v>
      </c>
      <c r="Y37" s="17">
        <f t="shared" si="2"/>
        <v>424.7022469</v>
      </c>
      <c r="Z37" s="17">
        <f t="shared" si="3"/>
        <v>171333.0923</v>
      </c>
      <c r="AA37" s="17">
        <f t="shared" si="4"/>
        <v>0</v>
      </c>
      <c r="AB37" s="17">
        <f t="shared" si="5"/>
        <v>0</v>
      </c>
      <c r="AC37" s="17">
        <f t="shared" si="6"/>
        <v>2259.414678</v>
      </c>
      <c r="AD37" s="2"/>
      <c r="AE37" s="17">
        <v>171333.09225782682</v>
      </c>
      <c r="AF37" s="17">
        <f t="shared" si="7"/>
        <v>85594.1338</v>
      </c>
      <c r="AG37" s="17">
        <f t="shared" si="8"/>
        <v>25882.81001</v>
      </c>
      <c r="AH37" s="17">
        <f t="shared" si="9"/>
        <v>20268.99822</v>
      </c>
      <c r="AI37" s="17">
        <v>2259.4146775884283</v>
      </c>
      <c r="AJ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19">
        <f t="shared" si="10"/>
        <v>21.75</v>
      </c>
      <c r="X38" s="20">
        <f t="shared" si="1"/>
        <v>0.00002859714134</v>
      </c>
      <c r="Y38" s="20">
        <f t="shared" si="2"/>
        <v>2196.363961</v>
      </c>
      <c r="Z38" s="20">
        <f t="shared" si="3"/>
        <v>182972.5932</v>
      </c>
      <c r="AA38" s="20">
        <f t="shared" si="4"/>
        <v>0</v>
      </c>
      <c r="AB38" s="20">
        <f t="shared" si="5"/>
        <v>0</v>
      </c>
      <c r="AC38" s="20">
        <f t="shared" si="6"/>
        <v>2680.615326</v>
      </c>
      <c r="AD38" s="2"/>
      <c r="AE38" s="20">
        <v>182972.59320254982</v>
      </c>
      <c r="AF38" s="20">
        <f t="shared" si="7"/>
        <v>93792.78854</v>
      </c>
      <c r="AG38" s="20">
        <f t="shared" si="8"/>
        <v>29112.34383</v>
      </c>
      <c r="AH38" s="20">
        <f t="shared" si="9"/>
        <v>23409.9924</v>
      </c>
      <c r="AI38" s="20">
        <v>2680.615325712462</v>
      </c>
      <c r="AJ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16">
        <f t="shared" si="10"/>
        <v>21.8</v>
      </c>
      <c r="X39" s="17">
        <f t="shared" si="1"/>
        <v>0.009541320759</v>
      </c>
      <c r="Y39" s="17">
        <f t="shared" si="2"/>
        <v>9386.977516</v>
      </c>
      <c r="Z39" s="17">
        <f t="shared" si="3"/>
        <v>193918.3477</v>
      </c>
      <c r="AA39" s="17">
        <f t="shared" si="4"/>
        <v>0</v>
      </c>
      <c r="AB39" s="17">
        <f t="shared" si="5"/>
        <v>0</v>
      </c>
      <c r="AC39" s="17">
        <f t="shared" si="6"/>
        <v>3156.233096</v>
      </c>
      <c r="AD39" s="2"/>
      <c r="AE39" s="17">
        <v>193918.34765730673</v>
      </c>
      <c r="AF39" s="17">
        <f t="shared" si="7"/>
        <v>101996.4097</v>
      </c>
      <c r="AG39" s="17">
        <f t="shared" si="8"/>
        <v>32496.37176</v>
      </c>
      <c r="AH39" s="17">
        <f t="shared" si="9"/>
        <v>26832.69082</v>
      </c>
      <c r="AI39" s="17">
        <v>3156.233095803351</v>
      </c>
      <c r="AJ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19">
        <f t="shared" si="10"/>
        <v>21.85</v>
      </c>
      <c r="X40" s="20">
        <f t="shared" si="1"/>
        <v>1.484913799</v>
      </c>
      <c r="Y40" s="20">
        <f t="shared" si="2"/>
        <v>33154.99482</v>
      </c>
      <c r="Z40" s="20">
        <f t="shared" si="3"/>
        <v>203957.5702</v>
      </c>
      <c r="AA40" s="20">
        <f t="shared" si="4"/>
        <v>0</v>
      </c>
      <c r="AB40" s="20">
        <f t="shared" si="5"/>
        <v>0</v>
      </c>
      <c r="AC40" s="20">
        <f t="shared" si="6"/>
        <v>3688.074331</v>
      </c>
      <c r="AD40" s="2"/>
      <c r="AE40" s="20">
        <v>203957.57018386966</v>
      </c>
      <c r="AF40" s="20">
        <f t="shared" si="7"/>
        <v>110075.4099</v>
      </c>
      <c r="AG40" s="20">
        <f t="shared" si="8"/>
        <v>35998.51055</v>
      </c>
      <c r="AH40" s="20">
        <f t="shared" si="9"/>
        <v>30522.57333</v>
      </c>
      <c r="AI40" s="20">
        <v>3688.0743309445957</v>
      </c>
      <c r="AJ40" s="2"/>
    </row>
    <row r="41">
      <c r="A41" s="36" t="s">
        <v>61</v>
      </c>
      <c r="B41" s="23" t="s">
        <v>35</v>
      </c>
      <c r="C41" s="24"/>
      <c r="D41" s="25"/>
      <c r="E41" s="26" t="s">
        <v>36</v>
      </c>
      <c r="F41" s="24"/>
      <c r="G41" s="24"/>
      <c r="H41" s="24"/>
      <c r="I41" s="26" t="s">
        <v>37</v>
      </c>
      <c r="J41" s="24"/>
      <c r="K41" s="25"/>
      <c r="L41" s="26" t="s">
        <v>38</v>
      </c>
      <c r="M41" s="24"/>
      <c r="N41" s="24"/>
      <c r="O41" s="25"/>
      <c r="P41" s="2"/>
      <c r="Q41" s="2"/>
      <c r="R41" s="2"/>
      <c r="S41" s="2"/>
      <c r="T41" s="37"/>
      <c r="U41" s="37"/>
      <c r="V41" s="2"/>
      <c r="W41" s="16">
        <f t="shared" si="10"/>
        <v>21.9</v>
      </c>
      <c r="X41" s="17">
        <f t="shared" si="1"/>
        <v>107.7955574</v>
      </c>
      <c r="Y41" s="17">
        <f t="shared" si="2"/>
        <v>96777.38195</v>
      </c>
      <c r="Z41" s="17">
        <f t="shared" si="3"/>
        <v>212886.8449</v>
      </c>
      <c r="AA41" s="17">
        <f t="shared" si="4"/>
        <v>0</v>
      </c>
      <c r="AB41" s="17">
        <f t="shared" si="5"/>
        <v>0.0000000001156798298</v>
      </c>
      <c r="AC41" s="17">
        <f t="shared" si="6"/>
        <v>4276.872309</v>
      </c>
      <c r="AD41" s="2"/>
      <c r="AE41" s="17">
        <v>212886.84494374655</v>
      </c>
      <c r="AF41" s="17">
        <f t="shared" si="7"/>
        <v>117892.3779</v>
      </c>
      <c r="AG41" s="17">
        <f t="shared" si="8"/>
        <v>39575.4758</v>
      </c>
      <c r="AH41" s="17">
        <f t="shared" si="9"/>
        <v>34456.569</v>
      </c>
      <c r="AI41" s="17">
        <v>4276.87230887322</v>
      </c>
      <c r="AJ41" s="2"/>
    </row>
    <row r="42">
      <c r="A42" s="35"/>
      <c r="B42" s="28" t="s">
        <v>39</v>
      </c>
      <c r="C42" s="28" t="s">
        <v>40</v>
      </c>
      <c r="D42" s="28" t="s">
        <v>41</v>
      </c>
      <c r="E42" s="29" t="s">
        <v>42</v>
      </c>
      <c r="F42" s="29" t="s">
        <v>43</v>
      </c>
      <c r="G42" s="29" t="s">
        <v>44</v>
      </c>
      <c r="H42" s="29" t="s">
        <v>45</v>
      </c>
      <c r="I42" s="29" t="s">
        <v>62</v>
      </c>
      <c r="J42" s="29" t="s">
        <v>47</v>
      </c>
      <c r="K42" s="29" t="s">
        <v>48</v>
      </c>
      <c r="L42" s="29" t="s">
        <v>49</v>
      </c>
      <c r="M42" s="29" t="s">
        <v>50</v>
      </c>
      <c r="N42" s="29" t="s">
        <v>51</v>
      </c>
      <c r="O42" s="29" t="s">
        <v>52</v>
      </c>
      <c r="P42" s="2"/>
      <c r="Q42" s="2"/>
      <c r="R42" s="2"/>
      <c r="S42" s="2"/>
      <c r="T42" s="29" t="s">
        <v>57</v>
      </c>
      <c r="U42" s="29" t="s">
        <v>58</v>
      </c>
      <c r="V42" s="2"/>
      <c r="W42" s="19">
        <f t="shared" si="10"/>
        <v>21.95</v>
      </c>
      <c r="X42" s="20">
        <f t="shared" si="1"/>
        <v>3650.121787</v>
      </c>
      <c r="Y42" s="20">
        <f t="shared" si="2"/>
        <v>233453.5553</v>
      </c>
      <c r="Z42" s="20">
        <f t="shared" si="3"/>
        <v>220518.9371</v>
      </c>
      <c r="AA42" s="20">
        <f t="shared" si="4"/>
        <v>0</v>
      </c>
      <c r="AB42" s="20">
        <f t="shared" si="5"/>
        <v>0.000000003879928076</v>
      </c>
      <c r="AC42" s="20">
        <f t="shared" si="6"/>
        <v>4922.082916</v>
      </c>
      <c r="AD42" s="2"/>
      <c r="AE42" s="20">
        <v>220518.93711594772</v>
      </c>
      <c r="AF42" s="20">
        <f t="shared" si="7"/>
        <v>125305.7886</v>
      </c>
      <c r="AG42" s="20">
        <f t="shared" si="8"/>
        <v>43177.7207</v>
      </c>
      <c r="AH42" s="20">
        <f t="shared" si="9"/>
        <v>38602.62882</v>
      </c>
      <c r="AI42" s="20">
        <v>4922.082916003555</v>
      </c>
      <c r="AJ42" s="2"/>
    </row>
    <row r="43">
      <c r="A43" s="38" t="s">
        <v>66</v>
      </c>
      <c r="B43" s="30">
        <v>1.0</v>
      </c>
      <c r="C43" s="30">
        <v>0.0</v>
      </c>
      <c r="D43" s="30">
        <v>0.0</v>
      </c>
      <c r="E43" s="31">
        <f t="shared" ref="E43:E47" si="55">$A$45/SQRT(B43^2+C43^2+D43^2)</f>
        <v>3.95</v>
      </c>
      <c r="F43" s="31">
        <f t="shared" ref="F43:F47" si="56">$B$5 / (2 * ($A$45 / SQRT(B43^2 + C43^2 + D43^2)))</f>
        <v>0.1950632911</v>
      </c>
      <c r="G43" s="31">
        <f t="shared" ref="G43:G47" si="57">ASIN(F43)</f>
        <v>0.1963219805</v>
      </c>
      <c r="H43" s="31">
        <f t="shared" ref="H43:H47" si="58">DEGREES(G43 * 2)</f>
        <v>22.49684181</v>
      </c>
      <c r="I43" s="31">
        <f t="shared" ref="I43:I47" si="59">((1-$A$47)*$I23)+($A$47*$I33)</f>
        <v>38.23408516</v>
      </c>
      <c r="J43" s="31">
        <f t="shared" ref="J43:J47" si="60"> $N$4 +($F$4*EXP(-$G$4*($F43/$B$5)^2) + $H$4*EXP(-$I$4*($F43/$B$5)^2) + $J$4*EXP(-$K$4*($F43/$B$5)^2) + $L$4*EXP(-$M$4*($F43/$B$5)^2))</f>
        <v>16.83436241</v>
      </c>
      <c r="K43" s="31">
        <f t="shared" ref="K43:K47" si="61"> $N$5 +($F$5*EXP(-$G$5*($F43/$B$5)^2) + $H$5*EXP(-$I$5*($F43/$B$5)^2) + $J$5*EXP(-$K$5*($F43/$B$5)^2) + $L$5*EXP(-$M$5*($F43/$B$5)^2))</f>
        <v>7.793768879</v>
      </c>
      <c r="L43" s="32">
        <v>6.0</v>
      </c>
      <c r="M43" s="31">
        <f t="shared" ref="M43:M47" si="62">I43 + (J43*(-1)^(B43+C43+D43)) + K43*((-1)^(B43+C43) + (-1)^(B43+D43) + (-1)^(C43+D43))</f>
        <v>13.60595387</v>
      </c>
      <c r="N43" s="31">
        <f t="shared" ref="N43:N47" si="63">(1 + COS(2*G43)^2) / (SIN(G43)^2 * COS(G43))</f>
        <v>49.66916019</v>
      </c>
      <c r="O43" s="31">
        <f t="shared" ref="O43:O47" si="64">M43^2 * L43 * N43</f>
        <v>55169.11992</v>
      </c>
      <c r="P43" s="2"/>
      <c r="Q43" s="2"/>
      <c r="R43" s="2"/>
      <c r="S43" s="2"/>
      <c r="T43" s="31">
        <f t="shared" ref="T43:T47" si="65">DEGREES((0.9 * $B$5) / ($B$8 * COS($G43)))</f>
        <v>0.810198548</v>
      </c>
      <c r="U43" s="31">
        <f t="shared" ref="U43:U47" si="66">O43/T43</f>
        <v>68093.33348</v>
      </c>
      <c r="V43" s="2"/>
      <c r="W43" s="16">
        <f t="shared" si="10"/>
        <v>22</v>
      </c>
      <c r="X43" s="17">
        <f t="shared" si="1"/>
        <v>57652.84189</v>
      </c>
      <c r="Y43" s="17">
        <f t="shared" si="2"/>
        <v>465402.6304</v>
      </c>
      <c r="Z43" s="17">
        <f t="shared" si="3"/>
        <v>226689.3015</v>
      </c>
      <c r="AA43" s="17">
        <f t="shared" si="4"/>
        <v>0</v>
      </c>
      <c r="AB43" s="17">
        <f t="shared" si="5"/>
        <v>0.0000001075945508</v>
      </c>
      <c r="AC43" s="17">
        <f t="shared" si="6"/>
        <v>5621.699011</v>
      </c>
      <c r="AD43" s="2"/>
      <c r="AE43" s="17">
        <v>226689.30145791994</v>
      </c>
      <c r="AF43" s="17">
        <f t="shared" si="7"/>
        <v>132174.1513</v>
      </c>
      <c r="AG43" s="17">
        <f t="shared" si="8"/>
        <v>46750.38973</v>
      </c>
      <c r="AH43" s="17">
        <f t="shared" si="9"/>
        <v>42919.60307</v>
      </c>
      <c r="AI43" s="17">
        <v>5621.699010691448</v>
      </c>
      <c r="AJ43" s="2"/>
    </row>
    <row r="44">
      <c r="A44" s="39" t="s">
        <v>64</v>
      </c>
      <c r="B44" s="33">
        <v>1.0</v>
      </c>
      <c r="C44" s="33">
        <v>1.0</v>
      </c>
      <c r="D44" s="33">
        <v>0.0</v>
      </c>
      <c r="E44" s="31">
        <f t="shared" si="55"/>
        <v>2.793071786</v>
      </c>
      <c r="F44" s="31">
        <f t="shared" si="56"/>
        <v>0.2758611519</v>
      </c>
      <c r="G44" s="31">
        <f t="shared" si="57"/>
        <v>0.279485503</v>
      </c>
      <c r="H44" s="31">
        <f t="shared" si="58"/>
        <v>32.02667951</v>
      </c>
      <c r="I44" s="31">
        <f t="shared" si="59"/>
        <v>36.11195881</v>
      </c>
      <c r="J44" s="31">
        <f t="shared" si="60"/>
        <v>15.80657125</v>
      </c>
      <c r="K44" s="31">
        <f t="shared" si="61"/>
        <v>6.569765986</v>
      </c>
      <c r="L44" s="34">
        <v>12.0</v>
      </c>
      <c r="M44" s="31">
        <f t="shared" si="62"/>
        <v>45.34876407</v>
      </c>
      <c r="N44" s="31">
        <f t="shared" si="63"/>
        <v>23.4975875</v>
      </c>
      <c r="O44" s="31">
        <f t="shared" si="64"/>
        <v>579876.3976</v>
      </c>
      <c r="P44" s="2"/>
      <c r="Q44" s="2"/>
      <c r="R44" s="2"/>
      <c r="S44" s="2"/>
      <c r="T44" s="31">
        <f t="shared" si="65"/>
        <v>0.8267137295</v>
      </c>
      <c r="U44" s="31">
        <f t="shared" si="66"/>
        <v>701423.4516</v>
      </c>
      <c r="V44" s="2"/>
      <c r="W44" s="19">
        <f t="shared" si="10"/>
        <v>22.05</v>
      </c>
      <c r="X44" s="20">
        <f t="shared" si="1"/>
        <v>424757.4037</v>
      </c>
      <c r="Y44" s="20">
        <f t="shared" si="2"/>
        <v>766759.0188</v>
      </c>
      <c r="Z44" s="20">
        <f t="shared" si="3"/>
        <v>231261.973</v>
      </c>
      <c r="AA44" s="20">
        <f t="shared" si="4"/>
        <v>0</v>
      </c>
      <c r="AB44" s="20">
        <f t="shared" si="5"/>
        <v>0.000002466933519</v>
      </c>
      <c r="AC44" s="20">
        <f t="shared" si="6"/>
        <v>6372.095503</v>
      </c>
      <c r="AD44" s="2"/>
      <c r="AE44" s="20">
        <v>231261.97304656974</v>
      </c>
      <c r="AF44" s="20">
        <f t="shared" si="7"/>
        <v>138360.4344</v>
      </c>
      <c r="AG44" s="20">
        <f t="shared" si="8"/>
        <v>50234.57285</v>
      </c>
      <c r="AH44" s="20">
        <f t="shared" si="9"/>
        <v>47357.46843</v>
      </c>
      <c r="AI44" s="20">
        <v>6372.095503202049</v>
      </c>
      <c r="AJ44" s="2"/>
    </row>
    <row r="45">
      <c r="A45" s="40">
        <v>3.95</v>
      </c>
      <c r="B45" s="30">
        <v>1.0</v>
      </c>
      <c r="C45" s="30">
        <v>1.0</v>
      </c>
      <c r="D45" s="30">
        <v>1.0</v>
      </c>
      <c r="E45" s="31">
        <f t="shared" si="55"/>
        <v>2.280533563</v>
      </c>
      <c r="F45" s="31">
        <f t="shared" si="56"/>
        <v>0.3378595309</v>
      </c>
      <c r="G45" s="31">
        <f t="shared" si="57"/>
        <v>0.3446417667</v>
      </c>
      <c r="H45" s="31">
        <f t="shared" si="58"/>
        <v>39.49303735</v>
      </c>
      <c r="I45" s="31">
        <f t="shared" si="59"/>
        <v>34.41363233</v>
      </c>
      <c r="J45" s="31">
        <f t="shared" si="60"/>
        <v>14.89839108</v>
      </c>
      <c r="K45" s="31">
        <f t="shared" si="61"/>
        <v>5.67257555</v>
      </c>
      <c r="L45" s="32">
        <v>8.0</v>
      </c>
      <c r="M45" s="31">
        <f t="shared" si="62"/>
        <v>36.5329679</v>
      </c>
      <c r="N45" s="31">
        <f t="shared" si="63"/>
        <v>14.85082595</v>
      </c>
      <c r="O45" s="31">
        <f t="shared" si="64"/>
        <v>158566.1588</v>
      </c>
      <c r="P45" s="2"/>
      <c r="Q45" s="2"/>
      <c r="R45" s="2"/>
      <c r="S45" s="2"/>
      <c r="T45" s="31">
        <f t="shared" si="65"/>
        <v>0.8442818557</v>
      </c>
      <c r="U45" s="31">
        <f t="shared" si="66"/>
        <v>187811.8755</v>
      </c>
      <c r="V45" s="2"/>
      <c r="W45" s="16">
        <f t="shared" si="10"/>
        <v>22.1</v>
      </c>
      <c r="X45" s="17">
        <f t="shared" si="1"/>
        <v>1459714.99</v>
      </c>
      <c r="Y45" s="17">
        <f t="shared" si="2"/>
        <v>1043976.374</v>
      </c>
      <c r="Z45" s="17">
        <f t="shared" si="3"/>
        <v>234134.5461</v>
      </c>
      <c r="AA45" s="17">
        <f t="shared" si="4"/>
        <v>0</v>
      </c>
      <c r="AB45" s="17">
        <f t="shared" si="5"/>
        <v>0.000046765457</v>
      </c>
      <c r="AC45" s="17">
        <f t="shared" si="6"/>
        <v>7167.917296</v>
      </c>
      <c r="AD45" s="2"/>
      <c r="AE45" s="17">
        <v>234134.5460665679</v>
      </c>
      <c r="AF45" s="17">
        <f t="shared" si="7"/>
        <v>143736.5754</v>
      </c>
      <c r="AG45" s="17">
        <f t="shared" si="8"/>
        <v>53568.82827</v>
      </c>
      <c r="AH45" s="17">
        <f t="shared" si="9"/>
        <v>51857.93577</v>
      </c>
      <c r="AI45" s="17">
        <v>7167.917295663561</v>
      </c>
      <c r="AJ45" s="2"/>
    </row>
    <row r="46">
      <c r="A46" s="41" t="s">
        <v>65</v>
      </c>
      <c r="B46" s="33">
        <v>2.0</v>
      </c>
      <c r="C46" s="33">
        <v>0.0</v>
      </c>
      <c r="D46" s="33">
        <v>0.0</v>
      </c>
      <c r="E46" s="31">
        <f t="shared" si="55"/>
        <v>1.975</v>
      </c>
      <c r="F46" s="31">
        <f t="shared" si="56"/>
        <v>0.3901265823</v>
      </c>
      <c r="G46" s="31">
        <f t="shared" si="57"/>
        <v>0.4007690644</v>
      </c>
      <c r="H46" s="31">
        <f t="shared" si="58"/>
        <v>45.9247519</v>
      </c>
      <c r="I46" s="31">
        <f t="shared" si="59"/>
        <v>33.0268601</v>
      </c>
      <c r="J46" s="31">
        <f t="shared" si="60"/>
        <v>14.09398897</v>
      </c>
      <c r="K46" s="31">
        <f t="shared" si="61"/>
        <v>4.99060452</v>
      </c>
      <c r="L46" s="34">
        <v>6.0</v>
      </c>
      <c r="M46" s="31">
        <f t="shared" si="62"/>
        <v>62.09266263</v>
      </c>
      <c r="N46" s="31">
        <f t="shared" si="63"/>
        <v>10.58852938</v>
      </c>
      <c r="O46" s="31">
        <f t="shared" si="64"/>
        <v>244944.3708</v>
      </c>
      <c r="P46" s="2"/>
      <c r="Q46" s="2"/>
      <c r="R46" s="2"/>
      <c r="S46" s="2"/>
      <c r="T46" s="31">
        <f t="shared" si="65"/>
        <v>0.8630197893</v>
      </c>
      <c r="U46" s="31">
        <f t="shared" si="66"/>
        <v>283822.4266</v>
      </c>
      <c r="V46" s="2"/>
      <c r="W46" s="19">
        <f t="shared" si="10"/>
        <v>22.15</v>
      </c>
      <c r="X46" s="20">
        <f t="shared" si="1"/>
        <v>2339925.61</v>
      </c>
      <c r="Y46" s="20">
        <f t="shared" si="2"/>
        <v>1174692.42</v>
      </c>
      <c r="Z46" s="20">
        <f t="shared" si="3"/>
        <v>235241.9862</v>
      </c>
      <c r="AA46" s="20">
        <f t="shared" si="4"/>
        <v>0</v>
      </c>
      <c r="AB46" s="20">
        <f t="shared" si="5"/>
        <v>0.0007329822996</v>
      </c>
      <c r="AC46" s="20">
        <f t="shared" si="6"/>
        <v>8002.021574</v>
      </c>
      <c r="AD46" s="2"/>
      <c r="AE46" s="20">
        <v>235241.98615324858</v>
      </c>
      <c r="AF46" s="20">
        <f t="shared" si="7"/>
        <v>148187.8713</v>
      </c>
      <c r="AG46" s="20">
        <f t="shared" si="8"/>
        <v>56690.92396</v>
      </c>
      <c r="AH46" s="20">
        <f t="shared" si="9"/>
        <v>56355.45209</v>
      </c>
      <c r="AI46" s="20">
        <v>8002.021573749932</v>
      </c>
      <c r="AJ46" s="2"/>
    </row>
    <row r="47">
      <c r="A47" s="42">
        <v>0.5</v>
      </c>
      <c r="B47" s="30">
        <v>2.0</v>
      </c>
      <c r="C47" s="30">
        <v>1.0</v>
      </c>
      <c r="D47" s="30">
        <v>0.0</v>
      </c>
      <c r="E47" s="31">
        <f t="shared" si="55"/>
        <v>1.766493702</v>
      </c>
      <c r="F47" s="31">
        <f t="shared" si="56"/>
        <v>0.4361747789</v>
      </c>
      <c r="G47" s="31">
        <f t="shared" si="57"/>
        <v>0.4513433745</v>
      </c>
      <c r="H47" s="31">
        <f t="shared" si="58"/>
        <v>51.72014094</v>
      </c>
      <c r="I47" s="31">
        <f t="shared" si="59"/>
        <v>31.87484117</v>
      </c>
      <c r="J47" s="31">
        <f t="shared" si="60"/>
        <v>13.37983546</v>
      </c>
      <c r="K47" s="31">
        <f t="shared" si="61"/>
        <v>4.457400932</v>
      </c>
      <c r="L47" s="32">
        <v>24.0</v>
      </c>
      <c r="M47" s="31">
        <f t="shared" si="62"/>
        <v>14.03760479</v>
      </c>
      <c r="N47" s="31">
        <f t="shared" si="63"/>
        <v>8.082977062</v>
      </c>
      <c r="O47" s="31">
        <f t="shared" si="64"/>
        <v>38226.85862</v>
      </c>
      <c r="P47" s="2"/>
      <c r="Q47" s="2"/>
      <c r="R47" s="2"/>
      <c r="S47" s="2"/>
      <c r="T47" s="31">
        <f t="shared" si="65"/>
        <v>0.8830633963</v>
      </c>
      <c r="U47" s="31">
        <f t="shared" si="66"/>
        <v>43288.91762</v>
      </c>
      <c r="V47" s="2"/>
      <c r="W47" s="16">
        <f t="shared" si="10"/>
        <v>22.2</v>
      </c>
      <c r="X47" s="17">
        <f t="shared" si="1"/>
        <v>1749616.663</v>
      </c>
      <c r="Y47" s="17">
        <f t="shared" si="2"/>
        <v>1092343.881</v>
      </c>
      <c r="Z47" s="17">
        <f t="shared" si="3"/>
        <v>234559.0781</v>
      </c>
      <c r="AA47" s="17">
        <f t="shared" si="4"/>
        <v>0</v>
      </c>
      <c r="AB47" s="17">
        <f t="shared" si="5"/>
        <v>0.009498660367</v>
      </c>
      <c r="AC47" s="17">
        <f t="shared" si="6"/>
        <v>8865.484458</v>
      </c>
      <c r="AD47" s="2"/>
      <c r="AE47" s="17">
        <v>234559.07811356767</v>
      </c>
      <c r="AF47" s="17">
        <f t="shared" si="7"/>
        <v>151617.0407</v>
      </c>
      <c r="AG47" s="17">
        <f t="shared" si="8"/>
        <v>59539.73244</v>
      </c>
      <c r="AH47" s="17">
        <f t="shared" si="9"/>
        <v>60778.58938</v>
      </c>
      <c r="AI47" s="17">
        <v>8865.484458424049</v>
      </c>
      <c r="AJ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19">
        <f t="shared" si="10"/>
        <v>22.25</v>
      </c>
      <c r="X48" s="20">
        <f t="shared" si="1"/>
        <v>610225.8969</v>
      </c>
      <c r="Y48" s="20">
        <f t="shared" si="2"/>
        <v>839452.8583</v>
      </c>
      <c r="Z48" s="20">
        <f t="shared" si="3"/>
        <v>232101.3804</v>
      </c>
      <c r="AA48" s="20">
        <f t="shared" si="4"/>
        <v>0</v>
      </c>
      <c r="AB48" s="20">
        <f t="shared" si="5"/>
        <v>0.1017728178</v>
      </c>
      <c r="AC48" s="20">
        <f t="shared" si="6"/>
        <v>9747.679704</v>
      </c>
      <c r="AD48" s="2"/>
      <c r="AE48" s="20">
        <v>232101.38037534535</v>
      </c>
      <c r="AF48" s="20">
        <f t="shared" si="7"/>
        <v>153947.7557</v>
      </c>
      <c r="AG48" s="20">
        <f t="shared" si="8"/>
        <v>62057.20011</v>
      </c>
      <c r="AH48" s="20">
        <f t="shared" si="9"/>
        <v>65051.79129</v>
      </c>
      <c r="AI48" s="20">
        <v>9747.67970393304</v>
      </c>
      <c r="AJ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16">
        <f t="shared" si="10"/>
        <v>22.3</v>
      </c>
      <c r="X49" s="17">
        <f t="shared" si="1"/>
        <v>99276.22057</v>
      </c>
      <c r="Y49" s="17">
        <f t="shared" si="2"/>
        <v>533132.2597</v>
      </c>
      <c r="Z49" s="17">
        <f t="shared" si="3"/>
        <v>227924.6357</v>
      </c>
      <c r="AA49" s="17">
        <f t="shared" si="4"/>
        <v>0</v>
      </c>
      <c r="AB49" s="17">
        <f t="shared" si="5"/>
        <v>0.9015748879</v>
      </c>
      <c r="AC49" s="17">
        <f t="shared" si="6"/>
        <v>10636.43403</v>
      </c>
      <c r="AD49" s="2"/>
      <c r="AE49" s="17">
        <v>227924.63571343914</v>
      </c>
      <c r="AF49" s="17">
        <f t="shared" si="7"/>
        <v>155127.4659</v>
      </c>
      <c r="AG49" s="17">
        <f t="shared" si="8"/>
        <v>64190.30376</v>
      </c>
      <c r="AH49" s="17">
        <f t="shared" si="9"/>
        <v>69097.42597</v>
      </c>
      <c r="AI49" s="17">
        <v>10636.43402666769</v>
      </c>
      <c r="AJ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19">
        <f t="shared" si="10"/>
        <v>22.35</v>
      </c>
      <c r="X50" s="20">
        <f t="shared" si="1"/>
        <v>7533.672013</v>
      </c>
      <c r="Y50" s="20">
        <f t="shared" si="2"/>
        <v>279817.7955</v>
      </c>
      <c r="Z50" s="20">
        <f t="shared" si="3"/>
        <v>222122.6694</v>
      </c>
      <c r="AA50" s="20">
        <f t="shared" si="4"/>
        <v>0</v>
      </c>
      <c r="AB50" s="20">
        <f t="shared" si="5"/>
        <v>6.603472622</v>
      </c>
      <c r="AC50" s="20">
        <f t="shared" si="6"/>
        <v>11518.2599</v>
      </c>
      <c r="AD50" s="2"/>
      <c r="AE50" s="20">
        <v>222122.6694200278</v>
      </c>
      <c r="AF50" s="20">
        <f t="shared" si="7"/>
        <v>155129.3683</v>
      </c>
      <c r="AG50" s="20">
        <f t="shared" si="8"/>
        <v>65892.90273</v>
      </c>
      <c r="AH50" s="20">
        <f t="shared" si="9"/>
        <v>72838.07242</v>
      </c>
      <c r="AI50" s="20">
        <v>11518.259897198008</v>
      </c>
      <c r="AJ50" s="2"/>
    </row>
    <row r="51">
      <c r="A51" s="36" t="s">
        <v>61</v>
      </c>
      <c r="B51" s="23" t="s">
        <v>35</v>
      </c>
      <c r="C51" s="24"/>
      <c r="D51" s="25"/>
      <c r="E51" s="26" t="s">
        <v>36</v>
      </c>
      <c r="F51" s="24"/>
      <c r="G51" s="24"/>
      <c r="H51" s="24"/>
      <c r="I51" s="26" t="s">
        <v>37</v>
      </c>
      <c r="J51" s="24"/>
      <c r="K51" s="25"/>
      <c r="L51" s="26" t="s">
        <v>38</v>
      </c>
      <c r="M51" s="24"/>
      <c r="N51" s="24"/>
      <c r="O51" s="25"/>
      <c r="P51" s="2"/>
      <c r="Q51" s="2"/>
      <c r="R51" s="2"/>
      <c r="S51" s="2"/>
      <c r="T51" s="37"/>
      <c r="U51" s="37"/>
      <c r="V51" s="2"/>
      <c r="W51" s="16">
        <f t="shared" si="10"/>
        <v>22.4</v>
      </c>
      <c r="X51" s="17">
        <f t="shared" si="1"/>
        <v>266.670549</v>
      </c>
      <c r="Y51" s="17">
        <f t="shared" si="2"/>
        <v>121371.6951</v>
      </c>
      <c r="Z51" s="17">
        <f t="shared" si="3"/>
        <v>214823.8856</v>
      </c>
      <c r="AA51" s="17">
        <f t="shared" si="4"/>
        <v>0.000000008613117992</v>
      </c>
      <c r="AB51" s="17">
        <f t="shared" si="5"/>
        <v>39.98927443</v>
      </c>
      <c r="AC51" s="17">
        <f t="shared" si="6"/>
        <v>12378.66242</v>
      </c>
      <c r="AD51" s="2"/>
      <c r="AE51" s="17">
        <v>214823.88559062438</v>
      </c>
      <c r="AF51" s="17">
        <f t="shared" si="7"/>
        <v>153953.4197</v>
      </c>
      <c r="AG51" s="17">
        <f t="shared" si="8"/>
        <v>67127.39647</v>
      </c>
      <c r="AH51" s="17">
        <f t="shared" si="9"/>
        <v>76198.94958</v>
      </c>
      <c r="AI51" s="17">
        <v>12378.662419999038</v>
      </c>
      <c r="AJ51" s="2"/>
    </row>
    <row r="52">
      <c r="A52" s="35"/>
      <c r="B52" s="28" t="s">
        <v>39</v>
      </c>
      <c r="C52" s="28" t="s">
        <v>40</v>
      </c>
      <c r="D52" s="28" t="s">
        <v>41</v>
      </c>
      <c r="E52" s="29" t="s">
        <v>42</v>
      </c>
      <c r="F52" s="29" t="s">
        <v>43</v>
      </c>
      <c r="G52" s="29" t="s">
        <v>44</v>
      </c>
      <c r="H52" s="29" t="s">
        <v>45</v>
      </c>
      <c r="I52" s="29" t="s">
        <v>62</v>
      </c>
      <c r="J52" s="29" t="s">
        <v>47</v>
      </c>
      <c r="K52" s="29" t="s">
        <v>48</v>
      </c>
      <c r="L52" s="29" t="s">
        <v>49</v>
      </c>
      <c r="M52" s="29" t="s">
        <v>50</v>
      </c>
      <c r="N52" s="29" t="s">
        <v>51</v>
      </c>
      <c r="O52" s="29" t="s">
        <v>52</v>
      </c>
      <c r="P52" s="2"/>
      <c r="Q52" s="2"/>
      <c r="R52" s="2"/>
      <c r="S52" s="2"/>
      <c r="T52" s="29" t="s">
        <v>57</v>
      </c>
      <c r="U52" s="29" t="s">
        <v>58</v>
      </c>
      <c r="V52" s="2"/>
      <c r="W52" s="19">
        <f t="shared" si="10"/>
        <v>22.45</v>
      </c>
      <c r="X52" s="20">
        <f t="shared" si="1"/>
        <v>4.403016103</v>
      </c>
      <c r="Y52" s="20">
        <f t="shared" si="2"/>
        <v>43507.2088</v>
      </c>
      <c r="Z52" s="20">
        <f t="shared" si="3"/>
        <v>206186.5442</v>
      </c>
      <c r="AA52" s="20">
        <f t="shared" si="4"/>
        <v>0.000005413114805</v>
      </c>
      <c r="AB52" s="20">
        <f t="shared" si="5"/>
        <v>200.2235857</v>
      </c>
      <c r="AC52" s="20">
        <f t="shared" si="6"/>
        <v>13202.51251</v>
      </c>
      <c r="AD52" s="2"/>
      <c r="AE52" s="20">
        <v>206186.5442283918</v>
      </c>
      <c r="AF52" s="20">
        <f t="shared" si="7"/>
        <v>151626.3379</v>
      </c>
      <c r="AG52" s="20">
        <f t="shared" si="8"/>
        <v>67866.10464</v>
      </c>
      <c r="AH52" s="20">
        <f t="shared" si="9"/>
        <v>79110.38363</v>
      </c>
      <c r="AI52" s="20">
        <v>13202.512514231294</v>
      </c>
      <c r="AJ52" s="2"/>
    </row>
    <row r="53">
      <c r="A53" s="38" t="s">
        <v>67</v>
      </c>
      <c r="B53" s="30">
        <v>1.0</v>
      </c>
      <c r="C53" s="30">
        <v>0.0</v>
      </c>
      <c r="D53" s="30">
        <v>0.0</v>
      </c>
      <c r="E53" s="31">
        <f t="shared" ref="E53:E57" si="67">$A$55/SQRT(B53^2+C53^2+D53^2)</f>
        <v>3.92</v>
      </c>
      <c r="F53" s="31">
        <f t="shared" ref="F53:F57" si="68">$B$5 / (2 * ($A$55 / SQRT(B53^2 + C53^2 + D53^2)))</f>
        <v>0.1965561224</v>
      </c>
      <c r="G53" s="31">
        <f t="shared" ref="G53:G57" si="69">ASIN(F53)</f>
        <v>0.1978442808</v>
      </c>
      <c r="H53" s="31">
        <f t="shared" ref="H53:H57" si="70">DEGREES(G53 * 2)</f>
        <v>22.67128458</v>
      </c>
      <c r="I53" s="31">
        <f t="shared" ref="I53:I57" si="71">((1-$A$57)*$I33)+($A$57*$I43)</f>
        <v>39.93704022</v>
      </c>
      <c r="J53" s="31">
        <f t="shared" ref="J53:J57" si="72"> $N$4 +($F$4*EXP(-$G$4*($F53/$B$5)^2) + $H$4*EXP(-$I$4*($F53/$B$5)^2) + $J$4*EXP(-$K$4*($F53/$B$5)^2) + $L$4*EXP(-$M$4*($F53/$B$5)^2))</f>
        <v>16.81757685</v>
      </c>
      <c r="K53" s="31">
        <f t="shared" ref="K53:K57" si="73"> $N$5 +($F$5*EXP(-$G$5*($F53/$B$5)^2) + $H$5*EXP(-$I$5*($F53/$B$5)^2) + $J$5*EXP(-$K$5*($F53/$B$5)^2) + $L$5*EXP(-$M$5*($F53/$B$5)^2))</f>
        <v>7.771661767</v>
      </c>
      <c r="L53" s="32">
        <v>6.0</v>
      </c>
      <c r="M53" s="31">
        <f t="shared" ref="M53:M57" si="74">I53 + (J53*(-1)^(B53+C53+D53)) + K53*((-1)^(B53+C53) + (-1)^(B53+D53) + (-1)^(C53+D53))</f>
        <v>15.34780161</v>
      </c>
      <c r="N53" s="31">
        <f t="shared" ref="N53:N57" si="75">(1 + COS(2*G53)^2) / (SIN(G53)^2 * COS(G53))</f>
        <v>48.87542943</v>
      </c>
      <c r="O53" s="31">
        <f t="shared" ref="O53:O57" si="76">M53^2 * L53 * N53</f>
        <v>69077.11482</v>
      </c>
      <c r="P53" s="2"/>
      <c r="Q53" s="2"/>
      <c r="R53" s="2"/>
      <c r="S53" s="2"/>
      <c r="T53" s="31">
        <f t="shared" ref="T53:T57" si="77">DEGREES((0.9 * $B$5) / ($B$8 * COS($G53)))</f>
        <v>0.8104448579</v>
      </c>
      <c r="U53" s="31">
        <f t="shared" ref="U53:U57" si="78">O53/T53</f>
        <v>85233.57777</v>
      </c>
      <c r="V53" s="2"/>
      <c r="W53" s="16">
        <f t="shared" si="10"/>
        <v>22.5</v>
      </c>
      <c r="X53" s="17">
        <f t="shared" si="1"/>
        <v>0.03391035726</v>
      </c>
      <c r="Y53" s="17">
        <f t="shared" si="2"/>
        <v>12888.62966</v>
      </c>
      <c r="Z53" s="17">
        <f t="shared" si="3"/>
        <v>196393.0617</v>
      </c>
      <c r="AA53" s="17">
        <f t="shared" si="4"/>
        <v>0.001589777513</v>
      </c>
      <c r="AB53" s="17">
        <f t="shared" si="5"/>
        <v>828.8720831</v>
      </c>
      <c r="AC53" s="17">
        <f t="shared" si="6"/>
        <v>13974.47429</v>
      </c>
      <c r="AD53" s="2"/>
      <c r="AE53" s="17">
        <v>196393.06168270038</v>
      </c>
      <c r="AF53" s="17">
        <f t="shared" si="7"/>
        <v>148200.5932</v>
      </c>
      <c r="AG53" s="17">
        <f t="shared" si="8"/>
        <v>68092.29883</v>
      </c>
      <c r="AH53" s="17">
        <f t="shared" si="9"/>
        <v>81510.20062</v>
      </c>
      <c r="AI53" s="17">
        <v>13974.474287518413</v>
      </c>
      <c r="AJ53" s="2"/>
    </row>
    <row r="54">
      <c r="A54" s="39" t="s">
        <v>64</v>
      </c>
      <c r="B54" s="33">
        <v>1.0</v>
      </c>
      <c r="C54" s="33">
        <v>1.0</v>
      </c>
      <c r="D54" s="33">
        <v>0.0</v>
      </c>
      <c r="E54" s="31">
        <f t="shared" si="67"/>
        <v>2.771858582</v>
      </c>
      <c r="F54" s="31">
        <f t="shared" si="68"/>
        <v>0.2779723341</v>
      </c>
      <c r="G54" s="31">
        <f t="shared" si="69"/>
        <v>0.2816826059</v>
      </c>
      <c r="H54" s="31">
        <f t="shared" si="70"/>
        <v>32.27844896</v>
      </c>
      <c r="I54" s="31">
        <f t="shared" si="71"/>
        <v>37.63074406</v>
      </c>
      <c r="J54" s="31">
        <f t="shared" si="72"/>
        <v>15.77696955</v>
      </c>
      <c r="K54" s="31">
        <f t="shared" si="73"/>
        <v>6.538058589</v>
      </c>
      <c r="L54" s="34">
        <v>12.0</v>
      </c>
      <c r="M54" s="31">
        <f t="shared" si="74"/>
        <v>46.86965502</v>
      </c>
      <c r="N54" s="31">
        <f t="shared" si="75"/>
        <v>23.10332706</v>
      </c>
      <c r="O54" s="31">
        <f t="shared" si="76"/>
        <v>609030.8418</v>
      </c>
      <c r="P54" s="2"/>
      <c r="Q54" s="2"/>
      <c r="R54" s="2"/>
      <c r="S54" s="2"/>
      <c r="T54" s="31">
        <f t="shared" si="77"/>
        <v>0.8272373508</v>
      </c>
      <c r="U54" s="31">
        <f t="shared" si="78"/>
        <v>736222.6104</v>
      </c>
      <c r="V54" s="2"/>
      <c r="W54" s="19">
        <f t="shared" si="10"/>
        <v>22.55</v>
      </c>
      <c r="X54" s="20">
        <f t="shared" si="1"/>
        <v>0.000121820767</v>
      </c>
      <c r="Y54" s="20">
        <f t="shared" si="2"/>
        <v>3155.396838</v>
      </c>
      <c r="Z54" s="20">
        <f t="shared" si="3"/>
        <v>185643.6208</v>
      </c>
      <c r="AA54" s="20">
        <f t="shared" si="4"/>
        <v>0.2181864279</v>
      </c>
      <c r="AB54" s="20">
        <f t="shared" si="5"/>
        <v>2837.006678</v>
      </c>
      <c r="AC54" s="20">
        <f t="shared" si="6"/>
        <v>14679.47058</v>
      </c>
      <c r="AD54" s="2"/>
      <c r="AE54" s="20">
        <v>185643.6207855156</v>
      </c>
      <c r="AF54" s="20">
        <f t="shared" si="7"/>
        <v>143752.4409</v>
      </c>
      <c r="AG54" s="20">
        <f t="shared" si="8"/>
        <v>67800.83237</v>
      </c>
      <c r="AH54" s="20">
        <f t="shared" si="9"/>
        <v>83345.93043</v>
      </c>
      <c r="AI54" s="20">
        <v>14679.470575559531</v>
      </c>
      <c r="AJ54" s="2"/>
    </row>
    <row r="55">
      <c r="A55" s="40">
        <v>3.92</v>
      </c>
      <c r="B55" s="30">
        <v>1.0</v>
      </c>
      <c r="C55" s="30">
        <v>1.0</v>
      </c>
      <c r="D55" s="30">
        <v>1.0</v>
      </c>
      <c r="E55" s="31">
        <f t="shared" si="67"/>
        <v>2.263213055</v>
      </c>
      <c r="F55" s="31">
        <f t="shared" si="68"/>
        <v>0.3404451906</v>
      </c>
      <c r="G55" s="31">
        <f t="shared" si="69"/>
        <v>0.3473903309</v>
      </c>
      <c r="H55" s="31">
        <f t="shared" si="70"/>
        <v>39.8079996</v>
      </c>
      <c r="I55" s="31">
        <f t="shared" si="71"/>
        <v>35.79342417</v>
      </c>
      <c r="J55" s="31">
        <f t="shared" si="72"/>
        <v>14.85914311</v>
      </c>
      <c r="K55" s="31">
        <f t="shared" si="73"/>
        <v>5.637046467</v>
      </c>
      <c r="L55" s="32">
        <v>8.0</v>
      </c>
      <c r="M55" s="31">
        <f t="shared" si="74"/>
        <v>37.84542046</v>
      </c>
      <c r="N55" s="31">
        <f t="shared" si="75"/>
        <v>14.59103603</v>
      </c>
      <c r="O55" s="31">
        <f t="shared" si="76"/>
        <v>167187.1082</v>
      </c>
      <c r="P55" s="2"/>
      <c r="Q55" s="2"/>
      <c r="R55" s="2"/>
      <c r="S55" s="2"/>
      <c r="T55" s="31">
        <f t="shared" si="77"/>
        <v>0.8451188808</v>
      </c>
      <c r="U55" s="31">
        <f t="shared" si="78"/>
        <v>197826.7342</v>
      </c>
      <c r="V55" s="2"/>
      <c r="W55" s="16">
        <f t="shared" si="10"/>
        <v>22.6</v>
      </c>
      <c r="X55" s="17">
        <f t="shared" si="1"/>
        <v>0.0000002041348557</v>
      </c>
      <c r="Y55" s="17">
        <f t="shared" si="2"/>
        <v>638.4147981</v>
      </c>
      <c r="Z55" s="17">
        <f t="shared" si="3"/>
        <v>174149.4025</v>
      </c>
      <c r="AA55" s="17">
        <f t="shared" si="4"/>
        <v>13.99333995</v>
      </c>
      <c r="AB55" s="17">
        <f t="shared" si="5"/>
        <v>8028.488163</v>
      </c>
      <c r="AC55" s="17">
        <f t="shared" si="6"/>
        <v>15303.16741</v>
      </c>
      <c r="AD55" s="2"/>
      <c r="AE55" s="17">
        <v>174149.40246405153</v>
      </c>
      <c r="AF55" s="17">
        <f t="shared" si="7"/>
        <v>138379.1006</v>
      </c>
      <c r="AG55" s="17">
        <f t="shared" si="8"/>
        <v>66998.33498</v>
      </c>
      <c r="AH55" s="17">
        <f t="shared" si="9"/>
        <v>84576.71284</v>
      </c>
      <c r="AI55" s="17">
        <v>15303.167410528025</v>
      </c>
      <c r="AJ55" s="2"/>
    </row>
    <row r="56">
      <c r="A56" s="41" t="s">
        <v>65</v>
      </c>
      <c r="B56" s="33">
        <v>2.0</v>
      </c>
      <c r="C56" s="33">
        <v>0.0</v>
      </c>
      <c r="D56" s="33">
        <v>0.0</v>
      </c>
      <c r="E56" s="31">
        <f t="shared" si="67"/>
        <v>1.96</v>
      </c>
      <c r="F56" s="31">
        <f t="shared" si="68"/>
        <v>0.3931122449</v>
      </c>
      <c r="G56" s="31">
        <f t="shared" si="69"/>
        <v>0.4040139031</v>
      </c>
      <c r="H56" s="31">
        <f t="shared" si="70"/>
        <v>46.29658302</v>
      </c>
      <c r="I56" s="31">
        <f t="shared" si="71"/>
        <v>34.29752235</v>
      </c>
      <c r="J56" s="31">
        <f t="shared" si="72"/>
        <v>14.04762232</v>
      </c>
      <c r="K56" s="31">
        <f t="shared" si="73"/>
        <v>4.954062535</v>
      </c>
      <c r="L56" s="34">
        <v>6.0</v>
      </c>
      <c r="M56" s="31">
        <f t="shared" si="74"/>
        <v>63.20733228</v>
      </c>
      <c r="N56" s="31">
        <f t="shared" si="75"/>
        <v>10.39707714</v>
      </c>
      <c r="O56" s="31">
        <f t="shared" si="76"/>
        <v>249228.3477</v>
      </c>
      <c r="P56" s="2"/>
      <c r="Q56" s="2"/>
      <c r="R56" s="2"/>
      <c r="S56" s="2"/>
      <c r="T56" s="31">
        <f t="shared" si="77"/>
        <v>0.8642124893</v>
      </c>
      <c r="U56" s="31">
        <f t="shared" si="78"/>
        <v>288387.8106</v>
      </c>
      <c r="V56" s="2"/>
      <c r="W56" s="19">
        <f t="shared" si="10"/>
        <v>22.65</v>
      </c>
      <c r="X56" s="20">
        <f t="shared" si="1"/>
        <v>0.0000000001595584746</v>
      </c>
      <c r="Y56" s="20">
        <f t="shared" si="2"/>
        <v>106.7464946</v>
      </c>
      <c r="Z56" s="20">
        <f t="shared" si="3"/>
        <v>162125.7566</v>
      </c>
      <c r="AA56" s="20">
        <f t="shared" si="4"/>
        <v>419.3892637</v>
      </c>
      <c r="AB56" s="20">
        <f t="shared" si="5"/>
        <v>18784.8509</v>
      </c>
      <c r="AC56" s="20">
        <f t="shared" si="6"/>
        <v>15832.45596</v>
      </c>
      <c r="AD56" s="2"/>
      <c r="AE56" s="20">
        <v>162125.7565679667</v>
      </c>
      <c r="AF56" s="20">
        <f t="shared" si="7"/>
        <v>132195.2253</v>
      </c>
      <c r="AG56" s="20">
        <f t="shared" si="8"/>
        <v>65702.96208</v>
      </c>
      <c r="AH56" s="20">
        <f t="shared" si="9"/>
        <v>85174.80933</v>
      </c>
      <c r="AI56" s="20">
        <v>15832.455955023106</v>
      </c>
      <c r="AJ56" s="2"/>
    </row>
    <row r="57">
      <c r="A57" s="42">
        <v>0.75</v>
      </c>
      <c r="B57" s="30">
        <v>2.0</v>
      </c>
      <c r="C57" s="30">
        <v>1.0</v>
      </c>
      <c r="D57" s="30">
        <v>0.0</v>
      </c>
      <c r="E57" s="31">
        <f t="shared" si="67"/>
        <v>1.753077294</v>
      </c>
      <c r="F57" s="31">
        <f t="shared" si="68"/>
        <v>0.4395128512</v>
      </c>
      <c r="G57" s="31">
        <f t="shared" si="69"/>
        <v>0.4550562621</v>
      </c>
      <c r="H57" s="31">
        <f t="shared" si="70"/>
        <v>52.14560652</v>
      </c>
      <c r="I57" s="31">
        <f t="shared" si="71"/>
        <v>33.05665215</v>
      </c>
      <c r="J57" s="31">
        <f t="shared" si="72"/>
        <v>13.32836124</v>
      </c>
      <c r="K57" s="31">
        <f t="shared" si="73"/>
        <v>4.421288796</v>
      </c>
      <c r="L57" s="32">
        <v>24.0</v>
      </c>
      <c r="M57" s="31">
        <f t="shared" si="74"/>
        <v>15.30700212</v>
      </c>
      <c r="N57" s="31">
        <f t="shared" si="75"/>
        <v>7.933522462</v>
      </c>
      <c r="O57" s="31">
        <f t="shared" si="76"/>
        <v>44612.60488</v>
      </c>
      <c r="P57" s="2"/>
      <c r="Q57" s="2"/>
      <c r="R57" s="2"/>
      <c r="S57" s="2"/>
      <c r="T57" s="31">
        <f t="shared" si="77"/>
        <v>0.8846616025</v>
      </c>
      <c r="U57" s="31">
        <f t="shared" si="78"/>
        <v>50429.00557</v>
      </c>
      <c r="V57" s="2"/>
      <c r="W57" s="16">
        <f t="shared" si="10"/>
        <v>22.7</v>
      </c>
      <c r="X57" s="17">
        <f t="shared" si="1"/>
        <v>0</v>
      </c>
      <c r="Y57" s="17">
        <f t="shared" si="2"/>
        <v>14.75047541</v>
      </c>
      <c r="Z57" s="17">
        <f t="shared" si="3"/>
        <v>149785.6166</v>
      </c>
      <c r="AA57" s="17">
        <f t="shared" si="4"/>
        <v>5873.7506</v>
      </c>
      <c r="AB57" s="17">
        <f t="shared" si="5"/>
        <v>36339.78058</v>
      </c>
      <c r="AC57" s="17">
        <f t="shared" si="6"/>
        <v>16255.90941</v>
      </c>
      <c r="AD57" s="2"/>
      <c r="AE57" s="17">
        <v>149785.6166074758</v>
      </c>
      <c r="AF57" s="17">
        <f t="shared" si="7"/>
        <v>125328.8414</v>
      </c>
      <c r="AG57" s="17">
        <f t="shared" si="8"/>
        <v>63943.71198</v>
      </c>
      <c r="AH57" s="17">
        <f t="shared" si="9"/>
        <v>85126.64235</v>
      </c>
      <c r="AI57" s="17">
        <v>16255.909412220246</v>
      </c>
      <c r="AJ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19">
        <f t="shared" si="10"/>
        <v>22.75</v>
      </c>
      <c r="X58" s="20">
        <f t="shared" si="1"/>
        <v>0</v>
      </c>
      <c r="Y58" s="20">
        <f t="shared" si="2"/>
        <v>1.684457786</v>
      </c>
      <c r="Z58" s="20">
        <f t="shared" si="3"/>
        <v>137333.4329</v>
      </c>
      <c r="AA58" s="20">
        <f t="shared" si="4"/>
        <v>38442.88451</v>
      </c>
      <c r="AB58" s="20">
        <f t="shared" si="5"/>
        <v>58124.25733</v>
      </c>
      <c r="AC58" s="20">
        <f t="shared" si="6"/>
        <v>16564.19273</v>
      </c>
      <c r="AD58" s="2"/>
      <c r="AE58" s="20">
        <v>137333.43288285861</v>
      </c>
      <c r="AF58" s="20">
        <f t="shared" si="7"/>
        <v>117916.959</v>
      </c>
      <c r="AG58" s="20">
        <f t="shared" si="8"/>
        <v>61759.34671</v>
      </c>
      <c r="AH58" s="20">
        <f t="shared" si="9"/>
        <v>84433.30769</v>
      </c>
      <c r="AI58" s="20">
        <v>16564.192733056643</v>
      </c>
      <c r="AJ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16">
        <f t="shared" si="10"/>
        <v>22.8</v>
      </c>
      <c r="X59" s="17">
        <f t="shared" si="1"/>
        <v>0</v>
      </c>
      <c r="Y59" s="17">
        <f t="shared" si="2"/>
        <v>0.1589702889</v>
      </c>
      <c r="Z59" s="17">
        <f t="shared" si="3"/>
        <v>124959.8541</v>
      </c>
      <c r="AA59" s="17">
        <f t="shared" si="4"/>
        <v>117576.0056</v>
      </c>
      <c r="AB59" s="17">
        <f t="shared" si="5"/>
        <v>76865.79098</v>
      </c>
      <c r="AC59" s="17">
        <f t="shared" si="6"/>
        <v>16750.40463</v>
      </c>
      <c r="AD59" s="2"/>
      <c r="AE59" s="17">
        <v>124959.85408122723</v>
      </c>
      <c r="AF59" s="17">
        <f t="shared" si="7"/>
        <v>110101.0615</v>
      </c>
      <c r="AG59" s="17">
        <f t="shared" si="8"/>
        <v>59196.97275</v>
      </c>
      <c r="AH59" s="17">
        <f t="shared" si="9"/>
        <v>83110.53311</v>
      </c>
      <c r="AI59" s="17">
        <v>16750.40462804769</v>
      </c>
      <c r="AJ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19">
        <f t="shared" si="10"/>
        <v>22.85</v>
      </c>
      <c r="X60" s="20">
        <f t="shared" si="1"/>
        <v>0</v>
      </c>
      <c r="Y60" s="20">
        <f t="shared" si="2"/>
        <v>0.01239862468</v>
      </c>
      <c r="Z60" s="20">
        <f t="shared" si="3"/>
        <v>112837.3327</v>
      </c>
      <c r="AA60" s="20">
        <f t="shared" si="4"/>
        <v>168044.2696</v>
      </c>
      <c r="AB60" s="20">
        <f t="shared" si="5"/>
        <v>84044.51048</v>
      </c>
      <c r="AC60" s="20">
        <f t="shared" si="6"/>
        <v>16810.33439</v>
      </c>
      <c r="AD60" s="2"/>
      <c r="AE60" s="20">
        <v>112837.33265915816</v>
      </c>
      <c r="AF60" s="20">
        <f t="shared" si="7"/>
        <v>102022.6809</v>
      </c>
      <c r="AG60" s="20">
        <f t="shared" si="8"/>
        <v>56310.35404</v>
      </c>
      <c r="AH60" s="20">
        <f t="shared" si="9"/>
        <v>81188.08515</v>
      </c>
      <c r="AI60" s="20">
        <v>16810.3343911061</v>
      </c>
      <c r="AJ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16">
        <f t="shared" si="10"/>
        <v>22.9</v>
      </c>
      <c r="X61" s="17">
        <f t="shared" si="1"/>
        <v>0</v>
      </c>
      <c r="Y61" s="17">
        <f t="shared" si="2"/>
        <v>0.00079915824</v>
      </c>
      <c r="Z61" s="17">
        <f t="shared" si="3"/>
        <v>101116.7685</v>
      </c>
      <c r="AA61" s="17">
        <f t="shared" si="4"/>
        <v>112235.6907</v>
      </c>
      <c r="AB61" s="17">
        <f t="shared" si="5"/>
        <v>75977.705</v>
      </c>
      <c r="AC61" s="17">
        <f t="shared" si="6"/>
        <v>16742.62019</v>
      </c>
      <c r="AD61" s="2"/>
      <c r="AE61" s="17">
        <v>101116.76854478483</v>
      </c>
      <c r="AF61" s="17">
        <f t="shared" si="7"/>
        <v>93819.24788</v>
      </c>
      <c r="AG61" s="17">
        <f t="shared" si="8"/>
        <v>53158.04161</v>
      </c>
      <c r="AH61" s="17">
        <f t="shared" si="9"/>
        <v>78708.65563</v>
      </c>
      <c r="AI61" s="17">
        <v>16742.620189531706</v>
      </c>
      <c r="AJ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19">
        <f t="shared" si="10"/>
        <v>22.95</v>
      </c>
      <c r="X62" s="20">
        <f t="shared" si="1"/>
        <v>0</v>
      </c>
      <c r="Y62" s="20">
        <f t="shared" si="2"/>
        <v>0.00004256903136</v>
      </c>
      <c r="Z62" s="20">
        <f t="shared" si="3"/>
        <v>89925.24331</v>
      </c>
      <c r="AA62" s="20">
        <f t="shared" si="4"/>
        <v>35030.03169</v>
      </c>
      <c r="AB62" s="20">
        <f t="shared" si="5"/>
        <v>56788.91323</v>
      </c>
      <c r="AC62" s="20">
        <f t="shared" si="6"/>
        <v>16548.80051</v>
      </c>
      <c r="AD62" s="2"/>
      <c r="AE62" s="20">
        <v>89925.24331410656</v>
      </c>
      <c r="AF62" s="20">
        <f t="shared" si="7"/>
        <v>85620.38028</v>
      </c>
      <c r="AG62" s="20">
        <f t="shared" si="8"/>
        <v>49801.41045</v>
      </c>
      <c r="AH62" s="20">
        <f t="shared" si="9"/>
        <v>75726.28579</v>
      </c>
      <c r="AI62" s="20">
        <v>16548.800510499004</v>
      </c>
      <c r="AJ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16">
        <f t="shared" si="10"/>
        <v>23</v>
      </c>
      <c r="X63" s="17">
        <f t="shared" si="1"/>
        <v>0</v>
      </c>
      <c r="Y63" s="17">
        <f t="shared" si="2"/>
        <v>0.000001873943414</v>
      </c>
      <c r="Z63" s="17">
        <f t="shared" si="3"/>
        <v>79364.83721</v>
      </c>
      <c r="AA63" s="17">
        <f t="shared" si="4"/>
        <v>5109.193458</v>
      </c>
      <c r="AB63" s="17">
        <f t="shared" si="5"/>
        <v>35094.6982</v>
      </c>
      <c r="AC63" s="17">
        <f t="shared" si="6"/>
        <v>16233.25605</v>
      </c>
      <c r="AD63" s="2"/>
      <c r="AE63" s="17">
        <v>79364.83720606084</v>
      </c>
      <c r="AF63" s="17">
        <f t="shared" si="7"/>
        <v>77544.74065</v>
      </c>
      <c r="AG63" s="17">
        <f t="shared" si="8"/>
        <v>46302.69485</v>
      </c>
      <c r="AH63" s="17">
        <f t="shared" si="9"/>
        <v>72304.40944</v>
      </c>
      <c r="AI63" s="17">
        <v>16233.256049982423</v>
      </c>
      <c r="AJ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19">
        <f t="shared" si="10"/>
        <v>23.05</v>
      </c>
      <c r="X64" s="20">
        <f t="shared" si="1"/>
        <v>0</v>
      </c>
      <c r="Y64" s="20">
        <f t="shared" si="2"/>
        <v>0.00000006817433264</v>
      </c>
      <c r="Z64" s="20">
        <f t="shared" si="3"/>
        <v>69512.46776</v>
      </c>
      <c r="AA64" s="20">
        <f t="shared" si="4"/>
        <v>348.2302023</v>
      </c>
      <c r="AB64" s="20">
        <f t="shared" si="5"/>
        <v>17931.64093</v>
      </c>
      <c r="AC64" s="20">
        <f t="shared" si="6"/>
        <v>15803.04511</v>
      </c>
      <c r="AD64" s="2"/>
      <c r="AE64" s="20">
        <v>69512.46776129305</v>
      </c>
      <c r="AF64" s="20">
        <f t="shared" si="7"/>
        <v>69697.55337</v>
      </c>
      <c r="AG64" s="20">
        <f t="shared" si="8"/>
        <v>42723.10891</v>
      </c>
      <c r="AH64" s="20">
        <f t="shared" si="9"/>
        <v>68513.6139</v>
      </c>
      <c r="AI64" s="20">
        <v>15803.045109298175</v>
      </c>
      <c r="AJ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16">
        <f t="shared" si="10"/>
        <v>23.1</v>
      </c>
      <c r="X65" s="17">
        <f t="shared" si="1"/>
        <v>0</v>
      </c>
      <c r="Y65" s="17">
        <f t="shared" si="2"/>
        <v>0.000000002049684591</v>
      </c>
      <c r="Z65" s="17">
        <f t="shared" si="3"/>
        <v>60420.64433</v>
      </c>
      <c r="AA65" s="17">
        <f t="shared" si="4"/>
        <v>11.09130871</v>
      </c>
      <c r="AB65" s="17">
        <f t="shared" si="5"/>
        <v>7575.287561</v>
      </c>
      <c r="AC65" s="17">
        <f t="shared" si="6"/>
        <v>15267.64114</v>
      </c>
      <c r="AD65" s="2"/>
      <c r="AE65" s="17">
        <v>60420.644328793736</v>
      </c>
      <c r="AF65" s="17">
        <f t="shared" si="7"/>
        <v>62168.83203</v>
      </c>
      <c r="AG65" s="17">
        <f t="shared" si="8"/>
        <v>39121.12935</v>
      </c>
      <c r="AH65" s="17">
        <f t="shared" si="9"/>
        <v>64429.22898</v>
      </c>
      <c r="AI65" s="17">
        <v>15267.64113633046</v>
      </c>
      <c r="AJ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19">
        <f t="shared" si="10"/>
        <v>23.15</v>
      </c>
      <c r="X66" s="20">
        <f t="shared" si="1"/>
        <v>0</v>
      </c>
      <c r="Y66" s="20">
        <f t="shared" si="2"/>
        <v>0</v>
      </c>
      <c r="Z66" s="20">
        <f t="shared" si="3"/>
        <v>52118.99907</v>
      </c>
      <c r="AA66" s="20">
        <f t="shared" si="4"/>
        <v>0.1650826464</v>
      </c>
      <c r="AB66" s="20">
        <f t="shared" si="5"/>
        <v>2645.932621</v>
      </c>
      <c r="AC66" s="20">
        <f t="shared" si="6"/>
        <v>14638.58604</v>
      </c>
      <c r="AD66" s="2"/>
      <c r="AE66" s="20">
        <v>52118.99907445365</v>
      </c>
      <c r="AF66" s="20">
        <f t="shared" si="7"/>
        <v>55032.32656</v>
      </c>
      <c r="AG66" s="20">
        <f t="shared" si="8"/>
        <v>35551.00431</v>
      </c>
      <c r="AH66" s="20">
        <f t="shared" si="9"/>
        <v>60128.85834</v>
      </c>
      <c r="AI66" s="20">
        <v>14638.586039175596</v>
      </c>
      <c r="AJ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16">
        <f t="shared" si="10"/>
        <v>23.2</v>
      </c>
      <c r="X67" s="17">
        <f t="shared" si="1"/>
        <v>0</v>
      </c>
      <c r="Y67" s="17">
        <f t="shared" si="2"/>
        <v>0</v>
      </c>
      <c r="Z67" s="17">
        <f t="shared" si="3"/>
        <v>44616.43335</v>
      </c>
      <c r="AA67" s="17">
        <f t="shared" si="4"/>
        <v>0.001148212635</v>
      </c>
      <c r="AB67" s="17">
        <f t="shared" si="5"/>
        <v>764.1154932</v>
      </c>
      <c r="AC67" s="17">
        <f t="shared" si="6"/>
        <v>13929.07698</v>
      </c>
      <c r="AD67" s="2"/>
      <c r="AE67" s="17">
        <v>44616.43335333487</v>
      </c>
      <c r="AF67" s="17">
        <f t="shared" si="7"/>
        <v>48345.16298</v>
      </c>
      <c r="AG67" s="17">
        <f t="shared" si="8"/>
        <v>32061.53563</v>
      </c>
      <c r="AH67" s="17">
        <f t="shared" si="9"/>
        <v>55689.96532</v>
      </c>
      <c r="AI67" s="17">
        <v>13929.076983189343</v>
      </c>
      <c r="AJ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19">
        <f t="shared" si="10"/>
        <v>23.25</v>
      </c>
      <c r="X68" s="20">
        <f t="shared" si="1"/>
        <v>0</v>
      </c>
      <c r="Y68" s="20">
        <f t="shared" si="2"/>
        <v>0</v>
      </c>
      <c r="Z68" s="20">
        <f t="shared" si="3"/>
        <v>37903.70834</v>
      </c>
      <c r="AA68" s="20">
        <f t="shared" si="4"/>
        <v>0.000003732033139</v>
      </c>
      <c r="AB68" s="20">
        <f t="shared" si="5"/>
        <v>182.4482903</v>
      </c>
      <c r="AC68" s="20">
        <f t="shared" si="6"/>
        <v>13153.50731</v>
      </c>
      <c r="AD68" s="2"/>
      <c r="AE68" s="20">
        <v>37903.70833662627</v>
      </c>
      <c r="AF68" s="20">
        <f t="shared" si="7"/>
        <v>42148.11669</v>
      </c>
      <c r="AG68" s="20">
        <f t="shared" si="8"/>
        <v>28695.1646</v>
      </c>
      <c r="AH68" s="20">
        <f t="shared" si="9"/>
        <v>51187.61589</v>
      </c>
      <c r="AI68" s="20">
        <v>13153.507305727951</v>
      </c>
      <c r="AJ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16">
        <f t="shared" si="10"/>
        <v>23.3</v>
      </c>
      <c r="X69" s="17">
        <f t="shared" si="1"/>
        <v>0</v>
      </c>
      <c r="Y69" s="17">
        <f t="shared" si="2"/>
        <v>0</v>
      </c>
      <c r="Z69" s="17">
        <f t="shared" si="3"/>
        <v>31956.30975</v>
      </c>
      <c r="AA69" s="17">
        <f t="shared" si="4"/>
        <v>0.000000005668536297</v>
      </c>
      <c r="AB69" s="17">
        <f t="shared" si="5"/>
        <v>36.01812974</v>
      </c>
      <c r="AC69" s="17">
        <f t="shared" si="6"/>
        <v>12326.98379</v>
      </c>
      <c r="AD69" s="2"/>
      <c r="AE69" s="17">
        <v>31956.3097508074</v>
      </c>
      <c r="AF69" s="17">
        <f t="shared" si="7"/>
        <v>36466.43505</v>
      </c>
      <c r="AG69" s="17">
        <f t="shared" si="8"/>
        <v>25487.37308</v>
      </c>
      <c r="AH69" s="17">
        <f t="shared" si="9"/>
        <v>46692.46725</v>
      </c>
      <c r="AI69" s="17">
        <v>12326.983786280218</v>
      </c>
      <c r="AJ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19">
        <f t="shared" si="10"/>
        <v>23.35</v>
      </c>
      <c r="X70" s="20">
        <f t="shared" si="1"/>
        <v>0</v>
      </c>
      <c r="Y70" s="20">
        <f t="shared" si="2"/>
        <v>0</v>
      </c>
      <c r="Z70" s="20">
        <f t="shared" si="3"/>
        <v>26737.42697</v>
      </c>
      <c r="AA70" s="20">
        <f t="shared" si="4"/>
        <v>0</v>
      </c>
      <c r="AB70" s="20">
        <f t="shared" si="5"/>
        <v>5.878994932</v>
      </c>
      <c r="AC70" s="20">
        <f t="shared" si="6"/>
        <v>11464.84274</v>
      </c>
      <c r="AD70" s="2"/>
      <c r="AE70" s="20">
        <v>26737.426970462853</v>
      </c>
      <c r="AF70" s="20">
        <f t="shared" si="7"/>
        <v>31311.10783</v>
      </c>
      <c r="AG70" s="20">
        <f t="shared" si="8"/>
        <v>22466.39483</v>
      </c>
      <c r="AH70" s="20">
        <f t="shared" si="9"/>
        <v>42269.07158</v>
      </c>
      <c r="AI70" s="20">
        <v>11464.842736042867</v>
      </c>
      <c r="AJ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16">
        <f t="shared" si="10"/>
        <v>23.4</v>
      </c>
      <c r="X71" s="17">
        <f t="shared" si="1"/>
        <v>0</v>
      </c>
      <c r="Y71" s="17">
        <f t="shared" si="2"/>
        <v>0</v>
      </c>
      <c r="Z71" s="17">
        <f t="shared" si="3"/>
        <v>22200.90454</v>
      </c>
      <c r="AA71" s="17">
        <f t="shared" si="4"/>
        <v>0</v>
      </c>
      <c r="AB71" s="17">
        <f t="shared" si="5"/>
        <v>0.7933879154</v>
      </c>
      <c r="AC71" s="17">
        <f t="shared" si="6"/>
        <v>10582.18627</v>
      </c>
      <c r="AD71" s="2"/>
      <c r="AE71" s="17">
        <v>22200.904535974234</v>
      </c>
      <c r="AF71" s="17">
        <f t="shared" si="7"/>
        <v>26680.47448</v>
      </c>
      <c r="AG71" s="17">
        <f t="shared" si="8"/>
        <v>19653.21716</v>
      </c>
      <c r="AH71" s="17">
        <f t="shared" si="9"/>
        <v>37974.54339</v>
      </c>
      <c r="AI71" s="17">
        <v>10582.186266732011</v>
      </c>
      <c r="AJ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19">
        <f t="shared" si="10"/>
        <v>23.45</v>
      </c>
      <c r="X72" s="20">
        <f t="shared" si="1"/>
        <v>0</v>
      </c>
      <c r="Y72" s="20">
        <f t="shared" si="2"/>
        <v>0</v>
      </c>
      <c r="Z72" s="20">
        <f t="shared" si="3"/>
        <v>18294.04723</v>
      </c>
      <c r="AA72" s="20">
        <f t="shared" si="4"/>
        <v>0</v>
      </c>
      <c r="AB72" s="20">
        <f t="shared" si="5"/>
        <v>0.08852555215</v>
      </c>
      <c r="AC72" s="20">
        <f t="shared" si="6"/>
        <v>9693.457805</v>
      </c>
      <c r="AD72" s="2"/>
      <c r="AE72" s="20">
        <v>18294.047234401638</v>
      </c>
      <c r="AF72" s="20">
        <f t="shared" si="7"/>
        <v>22562.055</v>
      </c>
      <c r="AG72" s="20">
        <f t="shared" si="8"/>
        <v>17061.84036</v>
      </c>
      <c r="AH72" s="20">
        <f t="shared" si="9"/>
        <v>33857.6162</v>
      </c>
      <c r="AI72" s="20">
        <v>9693.457805218943</v>
      </c>
      <c r="AJ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16">
        <f t="shared" si="10"/>
        <v>23.5</v>
      </c>
      <c r="X73" s="17">
        <f t="shared" si="1"/>
        <v>0</v>
      </c>
      <c r="Y73" s="17">
        <f t="shared" si="2"/>
        <v>0</v>
      </c>
      <c r="Z73" s="17">
        <f t="shared" si="3"/>
        <v>14960.18594</v>
      </c>
      <c r="AA73" s="17">
        <f t="shared" si="4"/>
        <v>0</v>
      </c>
      <c r="AB73" s="17">
        <f t="shared" si="5"/>
        <v>0.008166806671</v>
      </c>
      <c r="AC73" s="17">
        <f t="shared" si="6"/>
        <v>8812.072659</v>
      </c>
      <c r="AD73" s="2"/>
      <c r="AE73" s="17">
        <v>14960.185944186576</v>
      </c>
      <c r="AF73" s="17">
        <f t="shared" si="7"/>
        <v>18934.49595</v>
      </c>
      <c r="AG73" s="17">
        <f t="shared" si="8"/>
        <v>14699.75344</v>
      </c>
      <c r="AH73" s="17">
        <f t="shared" si="9"/>
        <v>29958.09271</v>
      </c>
      <c r="AI73" s="17">
        <v>8812.072659025049</v>
      </c>
      <c r="AJ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19">
        <f t="shared" si="10"/>
        <v>23.55</v>
      </c>
      <c r="X74" s="20">
        <f t="shared" si="1"/>
        <v>0</v>
      </c>
      <c r="Y74" s="20">
        <f t="shared" si="2"/>
        <v>0</v>
      </c>
      <c r="Z74" s="20">
        <f t="shared" si="3"/>
        <v>12140.9384</v>
      </c>
      <c r="AA74" s="20">
        <f t="shared" si="4"/>
        <v>0</v>
      </c>
      <c r="AB74" s="20">
        <f t="shared" si="5"/>
        <v>0.0006229260216</v>
      </c>
      <c r="AC74" s="20">
        <f t="shared" si="6"/>
        <v>7950.115485</v>
      </c>
      <c r="AD74" s="2"/>
      <c r="AE74" s="20">
        <v>12140.938402226226</v>
      </c>
      <c r="AF74" s="20">
        <f t="shared" si="7"/>
        <v>15769.53303</v>
      </c>
      <c r="AG74" s="20">
        <f t="shared" si="8"/>
        <v>12568.57907</v>
      </c>
      <c r="AH74" s="20">
        <f t="shared" si="9"/>
        <v>26306.67193</v>
      </c>
      <c r="AI74" s="20">
        <v>7950.11548503189</v>
      </c>
      <c r="AJ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16">
        <f t="shared" si="10"/>
        <v>23.6</v>
      </c>
      <c r="X75" s="17">
        <f t="shared" si="1"/>
        <v>0</v>
      </c>
      <c r="Y75" s="17">
        <f t="shared" si="2"/>
        <v>0</v>
      </c>
      <c r="Z75" s="17">
        <f t="shared" si="3"/>
        <v>9778.125085</v>
      </c>
      <c r="AA75" s="17">
        <f t="shared" si="4"/>
        <v>0</v>
      </c>
      <c r="AB75" s="17">
        <f t="shared" si="5"/>
        <v>0.00003928450082</v>
      </c>
      <c r="AC75" s="17">
        <f t="shared" si="6"/>
        <v>7118.112178</v>
      </c>
      <c r="AD75" s="2"/>
      <c r="AE75" s="17">
        <v>9778.125084900277</v>
      </c>
      <c r="AF75" s="17">
        <f t="shared" si="7"/>
        <v>13033.88569</v>
      </c>
      <c r="AG75" s="17">
        <f t="shared" si="8"/>
        <v>10664.83813</v>
      </c>
      <c r="AH75" s="17">
        <f t="shared" si="9"/>
        <v>22925.12026</v>
      </c>
      <c r="AI75" s="17">
        <v>7118.112177971615</v>
      </c>
      <c r="AJ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19">
        <f t="shared" si="10"/>
        <v>23.65</v>
      </c>
      <c r="X76" s="20">
        <f t="shared" si="1"/>
        <v>0</v>
      </c>
      <c r="Y76" s="20">
        <f t="shared" si="2"/>
        <v>0</v>
      </c>
      <c r="Z76" s="20">
        <f t="shared" si="3"/>
        <v>7815.324053</v>
      </c>
      <c r="AA76" s="20">
        <f t="shared" si="4"/>
        <v>0</v>
      </c>
      <c r="AB76" s="20">
        <f t="shared" si="5"/>
        <v>0.00000204836135</v>
      </c>
      <c r="AC76" s="20">
        <f t="shared" si="6"/>
        <v>6324.879288</v>
      </c>
      <c r="AD76" s="2"/>
      <c r="AE76" s="20">
        <v>7815.324052940181</v>
      </c>
      <c r="AF76" s="20">
        <f t="shared" si="7"/>
        <v>10691.01583</v>
      </c>
      <c r="AG76" s="20">
        <f t="shared" si="8"/>
        <v>8980.785209</v>
      </c>
      <c r="AH76" s="20">
        <f t="shared" si="9"/>
        <v>19826.73957</v>
      </c>
      <c r="AI76" s="20">
        <v>6324.879288451023</v>
      </c>
      <c r="AJ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16">
        <f t="shared" si="10"/>
        <v>23.7</v>
      </c>
      <c r="X77" s="17">
        <f t="shared" si="1"/>
        <v>0</v>
      </c>
      <c r="Y77" s="17">
        <f t="shared" si="2"/>
        <v>0</v>
      </c>
      <c r="Z77" s="17">
        <f t="shared" si="3"/>
        <v>6199.06886</v>
      </c>
      <c r="AA77" s="17">
        <f t="shared" si="4"/>
        <v>0</v>
      </c>
      <c r="AB77" s="17">
        <f t="shared" si="5"/>
        <v>0.00000008830645969</v>
      </c>
      <c r="AC77" s="17">
        <f t="shared" si="6"/>
        <v>5577.449894</v>
      </c>
      <c r="AD77" s="2"/>
      <c r="AE77" s="17">
        <v>6199.06886002431</v>
      </c>
      <c r="AF77" s="17">
        <f t="shared" si="7"/>
        <v>8702.700289</v>
      </c>
      <c r="AG77" s="17">
        <f t="shared" si="8"/>
        <v>7505.269754</v>
      </c>
      <c r="AH77" s="17">
        <f t="shared" si="9"/>
        <v>17017.07633</v>
      </c>
      <c r="AI77" s="17">
        <v>5577.449893574905</v>
      </c>
      <c r="AJ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19">
        <f t="shared" si="10"/>
        <v>23.75</v>
      </c>
      <c r="X78" s="20">
        <f t="shared" si="1"/>
        <v>0</v>
      </c>
      <c r="Y78" s="20">
        <f t="shared" si="2"/>
        <v>0</v>
      </c>
      <c r="Z78" s="20">
        <f t="shared" si="3"/>
        <v>4879.709853</v>
      </c>
      <c r="AA78" s="20">
        <f t="shared" si="4"/>
        <v>0</v>
      </c>
      <c r="AB78" s="20">
        <f t="shared" si="5"/>
        <v>0.000000003147595694</v>
      </c>
      <c r="AC78" s="20">
        <f t="shared" si="6"/>
        <v>4881.071126</v>
      </c>
      <c r="AD78" s="2"/>
      <c r="AE78" s="20">
        <v>4879.709852829962</v>
      </c>
      <c r="AF78" s="20">
        <f t="shared" si="7"/>
        <v>7030.384403</v>
      </c>
      <c r="AG78" s="20">
        <f t="shared" si="8"/>
        <v>6224.582939</v>
      </c>
      <c r="AH78" s="20">
        <f t="shared" si="9"/>
        <v>14494.81102</v>
      </c>
      <c r="AI78" s="20">
        <v>4881.071125735509</v>
      </c>
      <c r="AJ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16">
        <f t="shared" si="10"/>
        <v>23.8</v>
      </c>
      <c r="X79" s="17">
        <f t="shared" si="1"/>
        <v>0</v>
      </c>
      <c r="Y79" s="17">
        <f t="shared" si="2"/>
        <v>0</v>
      </c>
      <c r="Z79" s="17">
        <f t="shared" si="3"/>
        <v>3811.971171</v>
      </c>
      <c r="AA79" s="17">
        <f t="shared" si="4"/>
        <v>0</v>
      </c>
      <c r="AB79" s="17">
        <f t="shared" si="5"/>
        <v>0</v>
      </c>
      <c r="AC79" s="17">
        <f t="shared" si="6"/>
        <v>4239.265508</v>
      </c>
      <c r="AD79" s="2"/>
      <c r="AE79" s="17">
        <v>3811.971170501305</v>
      </c>
      <c r="AF79" s="17">
        <f t="shared" si="7"/>
        <v>5636.300068</v>
      </c>
      <c r="AG79" s="17">
        <f t="shared" si="8"/>
        <v>5123.257269</v>
      </c>
      <c r="AH79" s="17">
        <f t="shared" si="9"/>
        <v>12252.76583</v>
      </c>
      <c r="AI79" s="17">
        <v>4239.265508191337</v>
      </c>
      <c r="AJ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19">
        <f t="shared" si="10"/>
        <v>23.85</v>
      </c>
      <c r="X80" s="20">
        <f t="shared" si="1"/>
        <v>0</v>
      </c>
      <c r="Y80" s="20">
        <f t="shared" si="2"/>
        <v>0</v>
      </c>
      <c r="Z80" s="20">
        <f t="shared" si="3"/>
        <v>2955.24359</v>
      </c>
      <c r="AA80" s="20">
        <f t="shared" si="4"/>
        <v>0</v>
      </c>
      <c r="AB80" s="20">
        <f t="shared" si="5"/>
        <v>0</v>
      </c>
      <c r="AC80" s="20">
        <f t="shared" si="6"/>
        <v>3653.945974</v>
      </c>
      <c r="AD80" s="2"/>
      <c r="AE80" s="20">
        <v>2955.2435898741523</v>
      </c>
      <c r="AF80" s="20">
        <f t="shared" si="7"/>
        <v>4484.34617</v>
      </c>
      <c r="AG80" s="20">
        <f t="shared" si="8"/>
        <v>4184.793446</v>
      </c>
      <c r="AH80" s="20">
        <f t="shared" si="9"/>
        <v>10278.97182</v>
      </c>
      <c r="AI80" s="20">
        <v>3653.9459741641685</v>
      </c>
      <c r="AJ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16">
        <f t="shared" si="10"/>
        <v>23.9</v>
      </c>
      <c r="X81" s="17">
        <f t="shared" si="1"/>
        <v>0</v>
      </c>
      <c r="Y81" s="17">
        <f t="shared" si="2"/>
        <v>0</v>
      </c>
      <c r="Z81" s="17">
        <f t="shared" si="3"/>
        <v>2273.657423</v>
      </c>
      <c r="AA81" s="17">
        <f t="shared" si="4"/>
        <v>0</v>
      </c>
      <c r="AB81" s="17">
        <f t="shared" si="5"/>
        <v>0</v>
      </c>
      <c r="AC81" s="17">
        <f t="shared" si="6"/>
        <v>3125.573014</v>
      </c>
      <c r="AD81" s="2"/>
      <c r="AE81" s="17">
        <v>2273.657423422979</v>
      </c>
      <c r="AF81" s="17">
        <f t="shared" si="7"/>
        <v>3540.740879</v>
      </c>
      <c r="AG81" s="17">
        <f t="shared" si="8"/>
        <v>3392.29681</v>
      </c>
      <c r="AH81" s="17">
        <f t="shared" si="9"/>
        <v>8557.741868</v>
      </c>
      <c r="AI81" s="17">
        <v>3125.5730144329227</v>
      </c>
      <c r="AJ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19">
        <f t="shared" si="10"/>
        <v>23.95</v>
      </c>
      <c r="X82" s="20">
        <f t="shared" si="1"/>
        <v>0</v>
      </c>
      <c r="Y82" s="20">
        <f t="shared" si="2"/>
        <v>0</v>
      </c>
      <c r="Z82" s="20">
        <f t="shared" si="3"/>
        <v>1735.980503</v>
      </c>
      <c r="AA82" s="20">
        <f t="shared" si="4"/>
        <v>0</v>
      </c>
      <c r="AB82" s="20">
        <f t="shared" si="5"/>
        <v>0</v>
      </c>
      <c r="AC82" s="20">
        <f t="shared" si="6"/>
        <v>2653.341796</v>
      </c>
      <c r="AD82" s="2"/>
      <c r="AE82" s="20">
        <v>1735.980502918283</v>
      </c>
      <c r="AF82" s="20">
        <f t="shared" si="7"/>
        <v>2774.464354</v>
      </c>
      <c r="AG82" s="20">
        <f t="shared" si="8"/>
        <v>2729.013073</v>
      </c>
      <c r="AH82" s="20">
        <f t="shared" si="9"/>
        <v>7070.703975</v>
      </c>
      <c r="AI82" s="20">
        <v>2653.341796127307</v>
      </c>
      <c r="AJ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16">
        <f t="shared" si="10"/>
        <v>24</v>
      </c>
      <c r="X83" s="17">
        <f t="shared" si="1"/>
        <v>0</v>
      </c>
      <c r="Y83" s="17">
        <f t="shared" si="2"/>
        <v>0</v>
      </c>
      <c r="Z83" s="17">
        <f t="shared" si="3"/>
        <v>1315.384518</v>
      </c>
      <c r="AA83" s="17">
        <f t="shared" si="4"/>
        <v>0</v>
      </c>
      <c r="AB83" s="17">
        <f t="shared" si="5"/>
        <v>0</v>
      </c>
      <c r="AC83" s="17">
        <f t="shared" si="6"/>
        <v>2235.387255</v>
      </c>
      <c r="AD83" s="2"/>
      <c r="AE83" s="17">
        <v>1315.384518044606</v>
      </c>
      <c r="AF83" s="17">
        <f t="shared" si="7"/>
        <v>2157.516589</v>
      </c>
      <c r="AG83" s="17">
        <f t="shared" si="8"/>
        <v>2178.759749</v>
      </c>
      <c r="AH83" s="17">
        <f t="shared" si="9"/>
        <v>5797.758131</v>
      </c>
      <c r="AI83" s="17">
        <v>2235.3872549555376</v>
      </c>
      <c r="AJ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19">
        <f t="shared" si="10"/>
        <v>24.05</v>
      </c>
      <c r="X84" s="20">
        <f t="shared" si="1"/>
        <v>0</v>
      </c>
      <c r="Y84" s="20">
        <f t="shared" si="2"/>
        <v>0</v>
      </c>
      <c r="Z84" s="20">
        <f t="shared" si="3"/>
        <v>989.1193031</v>
      </c>
      <c r="AA84" s="20">
        <f t="shared" si="4"/>
        <v>0</v>
      </c>
      <c r="AB84" s="20">
        <f t="shared" si="5"/>
        <v>0</v>
      </c>
      <c r="AC84" s="20">
        <f t="shared" si="6"/>
        <v>1868.995972</v>
      </c>
      <c r="AD84" s="2"/>
      <c r="AE84" s="20">
        <v>989.119303079846</v>
      </c>
      <c r="AF84" s="20">
        <f t="shared" si="7"/>
        <v>1665.018748</v>
      </c>
      <c r="AG84" s="20">
        <f t="shared" si="8"/>
        <v>1726.255303</v>
      </c>
      <c r="AH84" s="20">
        <f t="shared" si="9"/>
        <v>4717.930049</v>
      </c>
      <c r="AI84" s="20">
        <v>1868.9959722488195</v>
      </c>
      <c r="AJ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16">
        <f t="shared" si="10"/>
        <v>24.1</v>
      </c>
      <c r="X85" s="17">
        <f t="shared" si="1"/>
        <v>0</v>
      </c>
      <c r="Y85" s="17">
        <f t="shared" si="2"/>
        <v>0</v>
      </c>
      <c r="Z85" s="17">
        <f t="shared" si="3"/>
        <v>738.1297293</v>
      </c>
      <c r="AA85" s="17">
        <f t="shared" si="4"/>
        <v>0</v>
      </c>
      <c r="AB85" s="17">
        <f t="shared" si="5"/>
        <v>0</v>
      </c>
      <c r="AC85" s="17">
        <f t="shared" si="6"/>
        <v>1550.814965</v>
      </c>
      <c r="AD85" s="2"/>
      <c r="AE85" s="17">
        <v>738.1297292971743</v>
      </c>
      <c r="AF85" s="17">
        <f t="shared" si="7"/>
        <v>1275.187662</v>
      </c>
      <c r="AG85" s="17">
        <f t="shared" si="8"/>
        <v>1357.352551</v>
      </c>
      <c r="AH85" s="17">
        <f t="shared" si="9"/>
        <v>3810.104322</v>
      </c>
      <c r="AI85" s="17">
        <v>1550.8149648401309</v>
      </c>
      <c r="AJ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19">
        <f t="shared" si="10"/>
        <v>24.15</v>
      </c>
      <c r="X86" s="20">
        <f t="shared" si="1"/>
        <v>0</v>
      </c>
      <c r="Y86" s="20">
        <f t="shared" si="2"/>
        <v>0</v>
      </c>
      <c r="Z86" s="20">
        <f t="shared" si="3"/>
        <v>546.6442528</v>
      </c>
      <c r="AA86" s="20">
        <f t="shared" si="4"/>
        <v>0</v>
      </c>
      <c r="AB86" s="20">
        <f t="shared" si="5"/>
        <v>0</v>
      </c>
      <c r="AC86" s="20">
        <f t="shared" si="6"/>
        <v>1277.049183</v>
      </c>
      <c r="AD86" s="2"/>
      <c r="AE86" s="20">
        <v>546.6442527697158</v>
      </c>
      <c r="AF86" s="20">
        <f t="shared" si="7"/>
        <v>969.2126332</v>
      </c>
      <c r="AG86" s="20">
        <f t="shared" si="8"/>
        <v>1059.186059</v>
      </c>
      <c r="AH86" s="20">
        <f t="shared" si="9"/>
        <v>3053.628512</v>
      </c>
      <c r="AI86" s="20">
        <v>1277.0491829274702</v>
      </c>
      <c r="AJ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16">
        <f t="shared" si="10"/>
        <v>24.2</v>
      </c>
      <c r="X87" s="17">
        <f t="shared" si="1"/>
        <v>0</v>
      </c>
      <c r="Y87" s="17">
        <f t="shared" si="2"/>
        <v>0</v>
      </c>
      <c r="Z87" s="17">
        <f t="shared" si="3"/>
        <v>401.7583799</v>
      </c>
      <c r="AA87" s="17">
        <f t="shared" si="4"/>
        <v>0</v>
      </c>
      <c r="AB87" s="17">
        <f t="shared" si="5"/>
        <v>0</v>
      </c>
      <c r="AC87" s="17">
        <f t="shared" si="6"/>
        <v>1043.641371</v>
      </c>
      <c r="AD87" s="2"/>
      <c r="AE87" s="17">
        <v>401.758379890388</v>
      </c>
      <c r="AF87" s="17">
        <f t="shared" si="7"/>
        <v>731.0616805</v>
      </c>
      <c r="AG87" s="17">
        <f t="shared" si="8"/>
        <v>820.2454004</v>
      </c>
      <c r="AH87" s="17">
        <f t="shared" si="9"/>
        <v>2428.787408</v>
      </c>
      <c r="AI87" s="17">
        <v>1043.6413710111399</v>
      </c>
      <c r="AJ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19">
        <f t="shared" si="10"/>
        <v>24.25</v>
      </c>
      <c r="X88" s="20">
        <f t="shared" si="1"/>
        <v>0</v>
      </c>
      <c r="Y88" s="20">
        <f t="shared" si="2"/>
        <v>0</v>
      </c>
      <c r="Z88" s="20">
        <f t="shared" si="3"/>
        <v>293.0307323</v>
      </c>
      <c r="AA88" s="20">
        <f t="shared" si="4"/>
        <v>0</v>
      </c>
      <c r="AB88" s="20">
        <f t="shared" si="5"/>
        <v>0</v>
      </c>
      <c r="AC88" s="20">
        <f t="shared" si="6"/>
        <v>846.4298534</v>
      </c>
      <c r="AD88" s="2"/>
      <c r="AE88" s="20">
        <v>293.0307322912467</v>
      </c>
      <c r="AF88" s="20">
        <f t="shared" si="7"/>
        <v>547.2414241</v>
      </c>
      <c r="AG88" s="20">
        <f t="shared" si="8"/>
        <v>630.3870843</v>
      </c>
      <c r="AH88" s="20">
        <f t="shared" si="9"/>
        <v>1917.152979</v>
      </c>
      <c r="AI88" s="20">
        <v>846.4298534356445</v>
      </c>
      <c r="AJ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16">
        <f t="shared" si="10"/>
        <v>24.3</v>
      </c>
      <c r="X89" s="17">
        <f t="shared" si="1"/>
        <v>0</v>
      </c>
      <c r="Y89" s="17">
        <f t="shared" si="2"/>
        <v>0</v>
      </c>
      <c r="Z89" s="17">
        <f t="shared" si="3"/>
        <v>212.1042963</v>
      </c>
      <c r="AA89" s="17">
        <f t="shared" si="4"/>
        <v>0</v>
      </c>
      <c r="AB89" s="17">
        <f t="shared" si="5"/>
        <v>0</v>
      </c>
      <c r="AC89" s="17">
        <f t="shared" si="6"/>
        <v>681.2816333</v>
      </c>
      <c r="AD89" s="2"/>
      <c r="AE89" s="17">
        <v>212.10429628708206</v>
      </c>
      <c r="AF89" s="17">
        <f t="shared" si="7"/>
        <v>406.5312154</v>
      </c>
      <c r="AG89" s="17">
        <f t="shared" si="8"/>
        <v>480.798124</v>
      </c>
      <c r="AH89" s="17">
        <f t="shared" si="9"/>
        <v>1501.820404</v>
      </c>
      <c r="AI89" s="17">
        <v>681.2816333480017</v>
      </c>
      <c r="AJ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19">
        <f t="shared" si="10"/>
        <v>24.35</v>
      </c>
      <c r="X90" s="20">
        <f t="shared" si="1"/>
        <v>0</v>
      </c>
      <c r="Y90" s="20">
        <f t="shared" si="2"/>
        <v>0</v>
      </c>
      <c r="Z90" s="20">
        <f t="shared" si="3"/>
        <v>152.3610052</v>
      </c>
      <c r="AA90" s="20">
        <f t="shared" si="4"/>
        <v>0</v>
      </c>
      <c r="AB90" s="20">
        <f t="shared" si="5"/>
        <v>0</v>
      </c>
      <c r="AC90" s="20">
        <f t="shared" si="6"/>
        <v>544.199843</v>
      </c>
      <c r="AD90" s="2"/>
      <c r="AE90" s="20">
        <v>152.36100520747456</v>
      </c>
      <c r="AF90" s="20">
        <f t="shared" si="7"/>
        <v>299.7083359</v>
      </c>
      <c r="AG90" s="20">
        <f t="shared" si="8"/>
        <v>363.9235644</v>
      </c>
      <c r="AH90" s="20">
        <f t="shared" si="9"/>
        <v>1167.543842</v>
      </c>
      <c r="AI90" s="20">
        <v>544.199843038434</v>
      </c>
      <c r="AJ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16">
        <f t="shared" si="10"/>
        <v>24.4</v>
      </c>
      <c r="X91" s="17">
        <f t="shared" si="1"/>
        <v>0</v>
      </c>
      <c r="Y91" s="17">
        <f t="shared" si="2"/>
        <v>0</v>
      </c>
      <c r="Z91" s="17">
        <f t="shared" si="3"/>
        <v>108.6141135</v>
      </c>
      <c r="AA91" s="17">
        <f t="shared" si="4"/>
        <v>0</v>
      </c>
      <c r="AB91" s="17">
        <f t="shared" si="5"/>
        <v>0</v>
      </c>
      <c r="AC91" s="17">
        <f t="shared" si="6"/>
        <v>431.4059852</v>
      </c>
      <c r="AD91" s="2"/>
      <c r="AE91" s="17">
        <v>108.61411348100175</v>
      </c>
      <c r="AF91" s="17">
        <f t="shared" si="7"/>
        <v>219.2773309</v>
      </c>
      <c r="AG91" s="17">
        <f t="shared" si="8"/>
        <v>273.3691773</v>
      </c>
      <c r="AH91" s="17">
        <f t="shared" si="9"/>
        <v>900.7875197</v>
      </c>
      <c r="AI91" s="17">
        <v>431.40598522159496</v>
      </c>
      <c r="AJ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19">
        <f t="shared" si="10"/>
        <v>24.45</v>
      </c>
      <c r="X92" s="20">
        <f t="shared" si="1"/>
        <v>0</v>
      </c>
      <c r="Y92" s="20">
        <f t="shared" si="2"/>
        <v>0</v>
      </c>
      <c r="Z92" s="20">
        <f t="shared" si="3"/>
        <v>76.83989506</v>
      </c>
      <c r="AA92" s="20">
        <f t="shared" si="4"/>
        <v>0</v>
      </c>
      <c r="AB92" s="20">
        <f t="shared" si="5"/>
        <v>0</v>
      </c>
      <c r="AC92" s="20">
        <f t="shared" si="6"/>
        <v>339.3985189</v>
      </c>
      <c r="AD92" s="2"/>
      <c r="AE92" s="20">
        <v>76.83989505504933</v>
      </c>
      <c r="AF92" s="20">
        <f t="shared" si="7"/>
        <v>159.2130419</v>
      </c>
      <c r="AG92" s="20">
        <f t="shared" si="8"/>
        <v>203.7890614</v>
      </c>
      <c r="AH92" s="20">
        <f t="shared" si="9"/>
        <v>689.708358</v>
      </c>
      <c r="AI92" s="20">
        <v>339.39851887060655</v>
      </c>
      <c r="AJ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16">
        <f t="shared" si="10"/>
        <v>24.5</v>
      </c>
      <c r="X93" s="17">
        <f t="shared" si="1"/>
        <v>0</v>
      </c>
      <c r="Y93" s="17">
        <f t="shared" si="2"/>
        <v>0</v>
      </c>
      <c r="Z93" s="17">
        <f t="shared" si="3"/>
        <v>53.94799804</v>
      </c>
      <c r="AA93" s="17">
        <f t="shared" si="4"/>
        <v>0</v>
      </c>
      <c r="AB93" s="17">
        <f t="shared" si="5"/>
        <v>0</v>
      </c>
      <c r="AC93" s="17">
        <f t="shared" si="6"/>
        <v>264.9901568</v>
      </c>
      <c r="AD93" s="2"/>
      <c r="AE93" s="17">
        <v>53.947998036382614</v>
      </c>
      <c r="AF93" s="17">
        <f t="shared" si="7"/>
        <v>114.7238027</v>
      </c>
      <c r="AG93" s="17">
        <f t="shared" si="8"/>
        <v>150.7662551</v>
      </c>
      <c r="AH93" s="17">
        <f t="shared" si="9"/>
        <v>524.0860293</v>
      </c>
      <c r="AI93" s="17">
        <v>264.9901567559389</v>
      </c>
      <c r="AJ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19">
        <f t="shared" si="10"/>
        <v>24.55</v>
      </c>
      <c r="X94" s="20">
        <f t="shared" si="1"/>
        <v>0</v>
      </c>
      <c r="Y94" s="20">
        <f t="shared" si="2"/>
        <v>0</v>
      </c>
      <c r="Z94" s="20">
        <f t="shared" si="3"/>
        <v>37.58823832</v>
      </c>
      <c r="AA94" s="20">
        <f t="shared" si="4"/>
        <v>0</v>
      </c>
      <c r="AB94" s="20">
        <f t="shared" si="5"/>
        <v>0</v>
      </c>
      <c r="AC94" s="20">
        <f t="shared" si="6"/>
        <v>205.3267647</v>
      </c>
      <c r="AD94" s="2"/>
      <c r="AE94" s="20">
        <v>37.58823831891606</v>
      </c>
      <c r="AF94" s="20">
        <f t="shared" si="7"/>
        <v>82.03863344</v>
      </c>
      <c r="AG94" s="20">
        <f t="shared" si="8"/>
        <v>110.692802</v>
      </c>
      <c r="AH94" s="20">
        <f t="shared" si="9"/>
        <v>395.2152028</v>
      </c>
      <c r="AI94" s="20">
        <v>205.32676470189233</v>
      </c>
      <c r="AJ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16">
        <f t="shared" si="10"/>
        <v>24.6</v>
      </c>
      <c r="X95" s="17">
        <f t="shared" si="1"/>
        <v>0</v>
      </c>
      <c r="Y95" s="17">
        <f t="shared" si="2"/>
        <v>0</v>
      </c>
      <c r="Z95" s="17">
        <f t="shared" si="3"/>
        <v>25.99062237</v>
      </c>
      <c r="AA95" s="17">
        <f t="shared" si="4"/>
        <v>0</v>
      </c>
      <c r="AB95" s="17">
        <f t="shared" si="5"/>
        <v>0</v>
      </c>
      <c r="AC95" s="17">
        <f t="shared" si="6"/>
        <v>157.8910122</v>
      </c>
      <c r="AD95" s="2"/>
      <c r="AE95" s="17">
        <v>25.99062236652836</v>
      </c>
      <c r="AF95" s="17">
        <f t="shared" si="7"/>
        <v>58.22014613</v>
      </c>
      <c r="AG95" s="17">
        <f t="shared" si="8"/>
        <v>80.6541223</v>
      </c>
      <c r="AH95" s="17">
        <f t="shared" si="9"/>
        <v>295.773096</v>
      </c>
      <c r="AI95" s="17">
        <v>157.89101218107763</v>
      </c>
      <c r="AJ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19">
        <f t="shared" si="10"/>
        <v>24.65</v>
      </c>
      <c r="X96" s="20">
        <f t="shared" si="1"/>
        <v>0</v>
      </c>
      <c r="Y96" s="20">
        <f t="shared" si="2"/>
        <v>0</v>
      </c>
      <c r="Z96" s="20">
        <f t="shared" si="3"/>
        <v>17.83484976</v>
      </c>
      <c r="AA96" s="20">
        <f t="shared" si="4"/>
        <v>0</v>
      </c>
      <c r="AB96" s="20">
        <f t="shared" si="5"/>
        <v>0</v>
      </c>
      <c r="AC96" s="20">
        <f t="shared" si="6"/>
        <v>120.4939596</v>
      </c>
      <c r="AD96" s="2"/>
      <c r="AE96" s="20">
        <v>17.834849764275848</v>
      </c>
      <c r="AF96" s="20">
        <f t="shared" si="7"/>
        <v>41.00323807</v>
      </c>
      <c r="AG96" s="20">
        <f t="shared" si="8"/>
        <v>58.32110087</v>
      </c>
      <c r="AH96" s="20">
        <f t="shared" si="9"/>
        <v>219.6734941</v>
      </c>
      <c r="AI96" s="20">
        <v>120.49395964413667</v>
      </c>
      <c r="AJ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16">
        <f t="shared" si="10"/>
        <v>24.7</v>
      </c>
      <c r="X97" s="17">
        <f t="shared" si="1"/>
        <v>0</v>
      </c>
      <c r="Y97" s="17">
        <f t="shared" si="2"/>
        <v>0</v>
      </c>
      <c r="Z97" s="17">
        <f t="shared" si="3"/>
        <v>12.14535743</v>
      </c>
      <c r="AA97" s="17">
        <f t="shared" si="4"/>
        <v>0</v>
      </c>
      <c r="AB97" s="17">
        <f t="shared" si="5"/>
        <v>0</v>
      </c>
      <c r="AC97" s="17">
        <f t="shared" si="6"/>
        <v>91.25762594</v>
      </c>
      <c r="AD97" s="2"/>
      <c r="AE97" s="17">
        <v>12.14535742622872</v>
      </c>
      <c r="AF97" s="17">
        <f t="shared" si="7"/>
        <v>28.65847049</v>
      </c>
      <c r="AG97" s="17">
        <f t="shared" si="8"/>
        <v>41.85205737</v>
      </c>
      <c r="AH97" s="17">
        <f t="shared" si="9"/>
        <v>161.9163161</v>
      </c>
      <c r="AI97" s="17">
        <v>91.25762594106699</v>
      </c>
      <c r="AJ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19">
        <f t="shared" si="10"/>
        <v>24.75</v>
      </c>
      <c r="X98" s="20">
        <f t="shared" si="1"/>
        <v>0</v>
      </c>
      <c r="Y98" s="20">
        <f t="shared" si="2"/>
        <v>0</v>
      </c>
      <c r="Z98" s="20">
        <f t="shared" si="3"/>
        <v>8.208035268</v>
      </c>
      <c r="AA98" s="20">
        <f t="shared" si="4"/>
        <v>0</v>
      </c>
      <c r="AB98" s="20">
        <f t="shared" si="5"/>
        <v>0</v>
      </c>
      <c r="AC98" s="20">
        <f t="shared" si="6"/>
        <v>68.59130715</v>
      </c>
      <c r="AD98" s="2"/>
      <c r="AE98" s="20">
        <v>8.20803526755646</v>
      </c>
      <c r="AF98" s="20">
        <f t="shared" si="7"/>
        <v>19.87823643</v>
      </c>
      <c r="AG98" s="20">
        <f t="shared" si="8"/>
        <v>29.80573706</v>
      </c>
      <c r="AH98" s="20">
        <f t="shared" si="9"/>
        <v>118.4397647</v>
      </c>
      <c r="AI98" s="20">
        <v>68.59130714840693</v>
      </c>
      <c r="AJ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16">
        <f t="shared" si="10"/>
        <v>24.8</v>
      </c>
      <c r="X99" s="17">
        <f t="shared" si="1"/>
        <v>0</v>
      </c>
      <c r="Y99" s="17">
        <f t="shared" si="2"/>
        <v>0</v>
      </c>
      <c r="Z99" s="17">
        <f t="shared" si="3"/>
        <v>5.504985712</v>
      </c>
      <c r="AA99" s="17">
        <f t="shared" si="4"/>
        <v>0</v>
      </c>
      <c r="AB99" s="17">
        <f t="shared" si="5"/>
        <v>0</v>
      </c>
      <c r="AC99" s="17">
        <f t="shared" si="6"/>
        <v>51.1640618</v>
      </c>
      <c r="AD99" s="2"/>
      <c r="AE99" s="17">
        <v>5.504985712423536</v>
      </c>
      <c r="AF99" s="17">
        <f t="shared" si="7"/>
        <v>13.68335786</v>
      </c>
      <c r="AG99" s="17">
        <f t="shared" si="8"/>
        <v>21.06565052</v>
      </c>
      <c r="AH99" s="17">
        <f t="shared" si="9"/>
        <v>85.98019449</v>
      </c>
      <c r="AI99" s="17">
        <v>51.16406180448578</v>
      </c>
      <c r="AJ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19">
        <f t="shared" si="10"/>
        <v>24.85</v>
      </c>
      <c r="X100" s="20">
        <f t="shared" si="1"/>
        <v>0</v>
      </c>
      <c r="Y100" s="20">
        <f t="shared" si="2"/>
        <v>0</v>
      </c>
      <c r="Z100" s="20">
        <f t="shared" si="3"/>
        <v>3.664048783</v>
      </c>
      <c r="AA100" s="20">
        <f t="shared" si="4"/>
        <v>0</v>
      </c>
      <c r="AB100" s="20">
        <f t="shared" si="5"/>
        <v>0</v>
      </c>
      <c r="AC100" s="20">
        <f t="shared" si="6"/>
        <v>37.87537777</v>
      </c>
      <c r="AD100" s="2"/>
      <c r="AE100" s="20">
        <v>3.664048782964314</v>
      </c>
      <c r="AF100" s="20">
        <f t="shared" si="7"/>
        <v>9.347543796</v>
      </c>
      <c r="AG100" s="20">
        <f t="shared" si="8"/>
        <v>14.77548819</v>
      </c>
      <c r="AH100" s="20">
        <f t="shared" si="9"/>
        <v>61.94314846</v>
      </c>
      <c r="AI100" s="20">
        <v>37.87537776578377</v>
      </c>
      <c r="AJ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16">
        <f t="shared" si="10"/>
        <v>24.9</v>
      </c>
      <c r="X101" s="17">
        <f t="shared" si="1"/>
        <v>0</v>
      </c>
      <c r="Y101" s="17">
        <f t="shared" si="2"/>
        <v>0</v>
      </c>
      <c r="Z101" s="17">
        <f t="shared" si="3"/>
        <v>2.420217333</v>
      </c>
      <c r="AA101" s="17">
        <f t="shared" si="4"/>
        <v>0</v>
      </c>
      <c r="AB101" s="17">
        <f t="shared" si="5"/>
        <v>0</v>
      </c>
      <c r="AC101" s="17">
        <f t="shared" si="6"/>
        <v>27.82562668</v>
      </c>
      <c r="AD101" s="2"/>
      <c r="AE101" s="17">
        <v>2.4202173334171704</v>
      </c>
      <c r="AF101" s="17">
        <f t="shared" si="7"/>
        <v>6.337125705</v>
      </c>
      <c r="AG101" s="17">
        <f t="shared" si="8"/>
        <v>10.28491622</v>
      </c>
      <c r="AH101" s="17">
        <f t="shared" si="9"/>
        <v>44.28759475</v>
      </c>
      <c r="AI101" s="17">
        <v>27.825626677681875</v>
      </c>
      <c r="AJ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19">
        <f t="shared" si="10"/>
        <v>24.95</v>
      </c>
      <c r="X102" s="20">
        <f t="shared" si="1"/>
        <v>0</v>
      </c>
      <c r="Y102" s="20">
        <f t="shared" si="2"/>
        <v>0</v>
      </c>
      <c r="Z102" s="20">
        <f t="shared" si="3"/>
        <v>1.586483485</v>
      </c>
      <c r="AA102" s="20">
        <f t="shared" si="4"/>
        <v>0</v>
      </c>
      <c r="AB102" s="20">
        <f t="shared" si="5"/>
        <v>0</v>
      </c>
      <c r="AC102" s="20">
        <f t="shared" si="6"/>
        <v>20.28751985</v>
      </c>
      <c r="AD102" s="2"/>
      <c r="AE102" s="20">
        <v>1.5864834849307616</v>
      </c>
      <c r="AF102" s="20">
        <f t="shared" si="7"/>
        <v>4.263606595</v>
      </c>
      <c r="AG102" s="20">
        <f t="shared" si="8"/>
        <v>7.104796328</v>
      </c>
      <c r="AH102" s="20">
        <f t="shared" si="9"/>
        <v>31.4242469</v>
      </c>
      <c r="AI102" s="20">
        <v>20.287519852000386</v>
      </c>
      <c r="AJ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16">
        <f t="shared" si="10"/>
        <v>25</v>
      </c>
      <c r="X103" s="17">
        <f t="shared" si="1"/>
        <v>0</v>
      </c>
      <c r="Y103" s="17">
        <f t="shared" si="2"/>
        <v>0</v>
      </c>
      <c r="Z103" s="17">
        <f t="shared" si="3"/>
        <v>1.032059683</v>
      </c>
      <c r="AA103" s="17">
        <f t="shared" si="4"/>
        <v>0</v>
      </c>
      <c r="AB103" s="17">
        <f t="shared" si="5"/>
        <v>0</v>
      </c>
      <c r="AC103" s="17">
        <f t="shared" si="6"/>
        <v>14.67942297</v>
      </c>
      <c r="AD103" s="2"/>
      <c r="AE103" s="17">
        <v>1.0320596828025645</v>
      </c>
      <c r="AF103" s="17">
        <f t="shared" si="7"/>
        <v>2.846766972</v>
      </c>
      <c r="AG103" s="17">
        <f t="shared" si="8"/>
        <v>4.870734555</v>
      </c>
      <c r="AH103" s="17">
        <f t="shared" si="9"/>
        <v>22.12797275</v>
      </c>
      <c r="AI103" s="17">
        <v>14.679422965176446</v>
      </c>
      <c r="AJ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19">
        <f t="shared" si="10"/>
        <v>25.05</v>
      </c>
      <c r="X104" s="20">
        <f t="shared" si="1"/>
        <v>0</v>
      </c>
      <c r="Y104" s="20">
        <f t="shared" si="2"/>
        <v>0</v>
      </c>
      <c r="Z104" s="20">
        <f t="shared" si="3"/>
        <v>0.6662882257</v>
      </c>
      <c r="AA104" s="20">
        <f t="shared" si="4"/>
        <v>0</v>
      </c>
      <c r="AB104" s="20">
        <f t="shared" si="5"/>
        <v>0</v>
      </c>
      <c r="AC104" s="20">
        <f t="shared" si="6"/>
        <v>10.54107815</v>
      </c>
      <c r="AD104" s="2"/>
      <c r="AE104" s="20">
        <v>0.6662882257290916</v>
      </c>
      <c r="AF104" s="20">
        <f t="shared" si="7"/>
        <v>1.886325786</v>
      </c>
      <c r="AG104" s="20">
        <f t="shared" si="8"/>
        <v>3.313822533</v>
      </c>
      <c r="AH104" s="20">
        <f t="shared" si="9"/>
        <v>15.46366181</v>
      </c>
      <c r="AI104" s="20">
        <v>10.541078153540235</v>
      </c>
      <c r="AJ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16">
        <f t="shared" si="10"/>
        <v>25.1</v>
      </c>
      <c r="X105" s="17">
        <f t="shared" si="1"/>
        <v>0</v>
      </c>
      <c r="Y105" s="17">
        <f t="shared" si="2"/>
        <v>0</v>
      </c>
      <c r="Z105" s="17">
        <f t="shared" si="3"/>
        <v>0.4268816961</v>
      </c>
      <c r="AA105" s="17">
        <f t="shared" si="4"/>
        <v>0</v>
      </c>
      <c r="AB105" s="17">
        <f t="shared" si="5"/>
        <v>0</v>
      </c>
      <c r="AC105" s="17">
        <f t="shared" si="6"/>
        <v>7.512026392</v>
      </c>
      <c r="AD105" s="2"/>
      <c r="AE105" s="17">
        <v>0.4268816960680351</v>
      </c>
      <c r="AF105" s="17">
        <f t="shared" si="7"/>
        <v>1.240427754</v>
      </c>
      <c r="AG105" s="17">
        <f t="shared" si="8"/>
        <v>2.237463639</v>
      </c>
      <c r="AH105" s="17">
        <f t="shared" si="9"/>
        <v>10.72449926</v>
      </c>
      <c r="AI105" s="17">
        <v>7.5120263922667325</v>
      </c>
      <c r="AJ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19">
        <f t="shared" si="10"/>
        <v>25.15</v>
      </c>
      <c r="X106" s="20">
        <f t="shared" si="1"/>
        <v>0</v>
      </c>
      <c r="Y106" s="20">
        <f t="shared" si="2"/>
        <v>0</v>
      </c>
      <c r="Z106" s="20">
        <f t="shared" si="3"/>
        <v>0.2714194692</v>
      </c>
      <c r="AA106" s="20">
        <f t="shared" si="4"/>
        <v>0</v>
      </c>
      <c r="AB106" s="20">
        <f t="shared" si="5"/>
        <v>0</v>
      </c>
      <c r="AC106" s="20">
        <f t="shared" si="6"/>
        <v>5.312821192</v>
      </c>
      <c r="AD106" s="2"/>
      <c r="AE106" s="20">
        <v>0.27141946920750165</v>
      </c>
      <c r="AF106" s="20">
        <f t="shared" si="7"/>
        <v>0.8094988533</v>
      </c>
      <c r="AG106" s="20">
        <f t="shared" si="8"/>
        <v>1.499252153</v>
      </c>
      <c r="AH106" s="20">
        <f t="shared" si="9"/>
        <v>7.381347812</v>
      </c>
      <c r="AI106" s="20">
        <v>5.312821192244094</v>
      </c>
      <c r="AJ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16">
        <f t="shared" si="10"/>
        <v>25.2</v>
      </c>
      <c r="X107" s="17">
        <f t="shared" si="1"/>
        <v>0</v>
      </c>
      <c r="Y107" s="17">
        <f t="shared" si="2"/>
        <v>0</v>
      </c>
      <c r="Z107" s="17">
        <f t="shared" si="3"/>
        <v>0.1712625985</v>
      </c>
      <c r="AA107" s="17">
        <f t="shared" si="4"/>
        <v>0</v>
      </c>
      <c r="AB107" s="17">
        <f t="shared" si="5"/>
        <v>0</v>
      </c>
      <c r="AC107" s="17">
        <f t="shared" si="6"/>
        <v>3.72897367</v>
      </c>
      <c r="AD107" s="2"/>
      <c r="AE107" s="17">
        <v>0.1712625984529899</v>
      </c>
      <c r="AF107" s="17">
        <f t="shared" si="7"/>
        <v>0.5242651518</v>
      </c>
      <c r="AG107" s="17">
        <f t="shared" si="8"/>
        <v>0.9969774399</v>
      </c>
      <c r="AH107" s="17">
        <f t="shared" si="9"/>
        <v>5.041830971</v>
      </c>
      <c r="AI107" s="17">
        <v>3.7289736695072637</v>
      </c>
      <c r="AJ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19">
        <f t="shared" si="10"/>
        <v>25.25</v>
      </c>
      <c r="X108" s="20">
        <f t="shared" si="1"/>
        <v>0</v>
      </c>
      <c r="Y108" s="20">
        <f t="shared" si="2"/>
        <v>0</v>
      </c>
      <c r="Z108" s="20">
        <f t="shared" si="3"/>
        <v>0.1072437841</v>
      </c>
      <c r="AA108" s="20">
        <f t="shared" si="4"/>
        <v>0</v>
      </c>
      <c r="AB108" s="20">
        <f t="shared" si="5"/>
        <v>0</v>
      </c>
      <c r="AC108" s="20">
        <f t="shared" si="6"/>
        <v>2.597463519</v>
      </c>
      <c r="AD108" s="2"/>
      <c r="AE108" s="20">
        <v>0.10724378414865192</v>
      </c>
      <c r="AF108" s="20">
        <f t="shared" si="7"/>
        <v>0.3369579706</v>
      </c>
      <c r="AG108" s="20">
        <f t="shared" si="8"/>
        <v>0.6579424929</v>
      </c>
      <c r="AH108" s="20">
        <f t="shared" si="9"/>
        <v>3.417707245</v>
      </c>
      <c r="AI108" s="20">
        <v>2.597463519235961</v>
      </c>
      <c r="AJ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16">
        <f t="shared" si="10"/>
        <v>25.3</v>
      </c>
      <c r="X109" s="17">
        <f t="shared" si="1"/>
        <v>0</v>
      </c>
      <c r="Y109" s="17">
        <f t="shared" si="2"/>
        <v>0</v>
      </c>
      <c r="Z109" s="17">
        <f t="shared" si="3"/>
        <v>0.06664534177</v>
      </c>
      <c r="AA109" s="17">
        <f t="shared" si="4"/>
        <v>0</v>
      </c>
      <c r="AB109" s="17">
        <f t="shared" si="5"/>
        <v>0</v>
      </c>
      <c r="AC109" s="17">
        <f t="shared" si="6"/>
        <v>1.795583555</v>
      </c>
      <c r="AD109" s="2"/>
      <c r="AE109" s="17">
        <v>0.06664534177409753</v>
      </c>
      <c r="AF109" s="17">
        <f t="shared" si="7"/>
        <v>0.2149267476</v>
      </c>
      <c r="AG109" s="17">
        <f t="shared" si="8"/>
        <v>0.4309059551</v>
      </c>
      <c r="AH109" s="17">
        <f t="shared" si="9"/>
        <v>2.299192859</v>
      </c>
      <c r="AI109" s="17">
        <v>1.7955835554193489</v>
      </c>
      <c r="AJ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19">
        <f t="shared" si="10"/>
        <v>25.35</v>
      </c>
      <c r="X110" s="20">
        <f t="shared" si="1"/>
        <v>0</v>
      </c>
      <c r="Y110" s="20">
        <f t="shared" si="2"/>
        <v>0</v>
      </c>
      <c r="Z110" s="20">
        <f t="shared" si="3"/>
        <v>0.04110129804</v>
      </c>
      <c r="AA110" s="20">
        <f t="shared" si="4"/>
        <v>0</v>
      </c>
      <c r="AB110" s="20">
        <f t="shared" si="5"/>
        <v>0</v>
      </c>
      <c r="AC110" s="20">
        <f t="shared" si="6"/>
        <v>1.231849934</v>
      </c>
      <c r="AD110" s="2"/>
      <c r="AE110" s="20">
        <v>0.041101298044309564</v>
      </c>
      <c r="AF110" s="20">
        <f t="shared" si="7"/>
        <v>0.1360489485</v>
      </c>
      <c r="AG110" s="20">
        <f t="shared" si="8"/>
        <v>0.2800715606</v>
      </c>
      <c r="AH110" s="20">
        <f t="shared" si="9"/>
        <v>1.53500541</v>
      </c>
      <c r="AI110" s="20">
        <v>1.2318499342118412</v>
      </c>
      <c r="AJ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16">
        <f t="shared" si="10"/>
        <v>25.4</v>
      </c>
      <c r="X111" s="17">
        <f t="shared" si="1"/>
        <v>0</v>
      </c>
      <c r="Y111" s="17">
        <f t="shared" si="2"/>
        <v>0</v>
      </c>
      <c r="Z111" s="17">
        <f t="shared" si="3"/>
        <v>0.02515529095</v>
      </c>
      <c r="AA111" s="17">
        <f t="shared" si="4"/>
        <v>0</v>
      </c>
      <c r="AB111" s="17">
        <f t="shared" si="5"/>
        <v>0</v>
      </c>
      <c r="AC111" s="17">
        <f t="shared" si="6"/>
        <v>0.8386987827</v>
      </c>
      <c r="AD111" s="2"/>
      <c r="AE111" s="17">
        <v>0.025155290952880965</v>
      </c>
      <c r="AF111" s="17">
        <f t="shared" si="7"/>
        <v>0.08546531594</v>
      </c>
      <c r="AG111" s="17">
        <f t="shared" si="8"/>
        <v>0.1806539582</v>
      </c>
      <c r="AH111" s="17">
        <f t="shared" si="9"/>
        <v>1.017040821</v>
      </c>
      <c r="AI111" s="17">
        <v>0.8386987827108777</v>
      </c>
      <c r="AJ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19">
        <f t="shared" si="10"/>
        <v>25.45</v>
      </c>
      <c r="X112" s="20">
        <f t="shared" si="1"/>
        <v>0</v>
      </c>
      <c r="Y112" s="20">
        <f t="shared" si="2"/>
        <v>0</v>
      </c>
      <c r="Z112" s="20">
        <f t="shared" si="3"/>
        <v>0.01527886947</v>
      </c>
      <c r="AA112" s="20">
        <f t="shared" si="4"/>
        <v>0</v>
      </c>
      <c r="AB112" s="20">
        <f t="shared" si="5"/>
        <v>0</v>
      </c>
      <c r="AC112" s="20">
        <f t="shared" si="6"/>
        <v>0.5666961255</v>
      </c>
      <c r="AD112" s="2"/>
      <c r="AE112" s="20">
        <v>0.015278869469309675</v>
      </c>
      <c r="AF112" s="20">
        <f t="shared" si="7"/>
        <v>0.05328127456</v>
      </c>
      <c r="AG112" s="20">
        <f t="shared" si="8"/>
        <v>0.1156426159</v>
      </c>
      <c r="AH112" s="20">
        <f t="shared" si="9"/>
        <v>0.668745425</v>
      </c>
      <c r="AI112" s="20">
        <v>0.5666961255470013</v>
      </c>
      <c r="AJ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16">
        <f t="shared" si="10"/>
        <v>25.5</v>
      </c>
      <c r="X113" s="17">
        <f t="shared" si="1"/>
        <v>0</v>
      </c>
      <c r="Y113" s="17">
        <f t="shared" si="2"/>
        <v>0</v>
      </c>
      <c r="Z113" s="17">
        <f t="shared" si="3"/>
        <v>0.009209608424</v>
      </c>
      <c r="AA113" s="17">
        <f t="shared" si="4"/>
        <v>0</v>
      </c>
      <c r="AB113" s="17">
        <f t="shared" si="5"/>
        <v>0</v>
      </c>
      <c r="AC113" s="17">
        <f t="shared" si="6"/>
        <v>0.3800060376</v>
      </c>
      <c r="AD113" s="2"/>
      <c r="AE113" s="17">
        <v>0.00920960842357404</v>
      </c>
      <c r="AF113" s="17">
        <f t="shared" si="7"/>
        <v>0.03296471292</v>
      </c>
      <c r="AG113" s="17">
        <f t="shared" si="8"/>
        <v>0.07346496696</v>
      </c>
      <c r="AH113" s="17">
        <f t="shared" si="9"/>
        <v>0.4363924508</v>
      </c>
      <c r="AI113" s="17">
        <v>0.3800060376372069</v>
      </c>
      <c r="AJ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19">
        <f t="shared" si="10"/>
        <v>25.55</v>
      </c>
      <c r="X114" s="20">
        <f t="shared" si="1"/>
        <v>0</v>
      </c>
      <c r="Y114" s="20">
        <f t="shared" si="2"/>
        <v>0</v>
      </c>
      <c r="Z114" s="20">
        <f t="shared" si="3"/>
        <v>0.00550908126</v>
      </c>
      <c r="AA114" s="20">
        <f t="shared" si="4"/>
        <v>0</v>
      </c>
      <c r="AB114" s="20">
        <f t="shared" si="5"/>
        <v>0</v>
      </c>
      <c r="AC114" s="20">
        <f t="shared" si="6"/>
        <v>0.2528871564</v>
      </c>
      <c r="AD114" s="2"/>
      <c r="AE114" s="20">
        <v>0.0055090812604616434</v>
      </c>
      <c r="AF114" s="20">
        <f t="shared" si="7"/>
        <v>0.02024016183</v>
      </c>
      <c r="AG114" s="20">
        <f t="shared" si="8"/>
        <v>0.04631638158</v>
      </c>
      <c r="AH114" s="20">
        <f t="shared" si="9"/>
        <v>0.2826100487</v>
      </c>
      <c r="AI114" s="20">
        <v>0.25288715639497095</v>
      </c>
      <c r="AJ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16">
        <f t="shared" si="10"/>
        <v>25.6</v>
      </c>
      <c r="X115" s="17">
        <f t="shared" si="1"/>
        <v>0</v>
      </c>
      <c r="Y115" s="17">
        <f t="shared" si="2"/>
        <v>0</v>
      </c>
      <c r="Z115" s="17">
        <f t="shared" si="3"/>
        <v>0.00327043303</v>
      </c>
      <c r="AA115" s="17">
        <f t="shared" si="4"/>
        <v>0</v>
      </c>
      <c r="AB115" s="17">
        <f t="shared" si="5"/>
        <v>0</v>
      </c>
      <c r="AC115" s="17">
        <f t="shared" si="6"/>
        <v>0.1670163821</v>
      </c>
      <c r="AD115" s="2"/>
      <c r="AE115" s="17">
        <v>0.0032704330300939184</v>
      </c>
      <c r="AF115" s="17">
        <f t="shared" si="7"/>
        <v>0.01233299778</v>
      </c>
      <c r="AG115" s="17">
        <f t="shared" si="8"/>
        <v>0.02897883446</v>
      </c>
      <c r="AH115" s="17">
        <f t="shared" si="9"/>
        <v>0.1816318206</v>
      </c>
      <c r="AI115" s="17">
        <v>0.16701638212662426</v>
      </c>
      <c r="AJ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19">
        <f t="shared" si="10"/>
        <v>25.65</v>
      </c>
      <c r="X116" s="20">
        <f t="shared" si="1"/>
        <v>0</v>
      </c>
      <c r="Y116" s="20">
        <f t="shared" si="2"/>
        <v>0</v>
      </c>
      <c r="Z116" s="20">
        <f t="shared" si="3"/>
        <v>0.001926723574</v>
      </c>
      <c r="AA116" s="20">
        <f t="shared" si="4"/>
        <v>0</v>
      </c>
      <c r="AB116" s="20">
        <f t="shared" si="5"/>
        <v>0</v>
      </c>
      <c r="AC116" s="20">
        <f t="shared" si="6"/>
        <v>0.1094680529</v>
      </c>
      <c r="AD116" s="2"/>
      <c r="AE116" s="20">
        <v>0.0019267235735807332</v>
      </c>
      <c r="AF116" s="20">
        <f t="shared" si="7"/>
        <v>0.00745784436</v>
      </c>
      <c r="AG116" s="20">
        <f t="shared" si="8"/>
        <v>0.01799364549</v>
      </c>
      <c r="AH116" s="20">
        <f t="shared" si="9"/>
        <v>0.1158484528</v>
      </c>
      <c r="AI116" s="20">
        <v>0.10946805290573322</v>
      </c>
      <c r="AJ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16">
        <f t="shared" si="10"/>
        <v>25.7</v>
      </c>
      <c r="X117" s="17">
        <f t="shared" si="1"/>
        <v>0</v>
      </c>
      <c r="Y117" s="17">
        <f t="shared" si="2"/>
        <v>0</v>
      </c>
      <c r="Z117" s="17">
        <f t="shared" si="3"/>
        <v>0.001126475188</v>
      </c>
      <c r="AA117" s="17">
        <f t="shared" si="4"/>
        <v>0</v>
      </c>
      <c r="AB117" s="17">
        <f t="shared" si="5"/>
        <v>0</v>
      </c>
      <c r="AC117" s="17">
        <f t="shared" si="6"/>
        <v>0.07120520444</v>
      </c>
      <c r="AD117" s="2"/>
      <c r="AE117" s="17">
        <v>0.001126475188395361</v>
      </c>
      <c r="AF117" s="17">
        <f t="shared" si="7"/>
        <v>0.004475566023</v>
      </c>
      <c r="AG117" s="17">
        <f t="shared" si="8"/>
        <v>0.01108790154</v>
      </c>
      <c r="AH117" s="17">
        <f t="shared" si="9"/>
        <v>0.0733301385</v>
      </c>
      <c r="AI117" s="17">
        <v>0.07120520443662076</v>
      </c>
      <c r="AJ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19">
        <f t="shared" si="10"/>
        <v>25.75</v>
      </c>
      <c r="X118" s="20">
        <f t="shared" si="1"/>
        <v>0</v>
      </c>
      <c r="Y118" s="20">
        <f t="shared" si="2"/>
        <v>0</v>
      </c>
      <c r="Z118" s="20">
        <f t="shared" si="3"/>
        <v>0.000653599812</v>
      </c>
      <c r="AA118" s="20">
        <f t="shared" si="4"/>
        <v>0</v>
      </c>
      <c r="AB118" s="20">
        <f t="shared" si="5"/>
        <v>0</v>
      </c>
      <c r="AC118" s="20">
        <f t="shared" si="6"/>
        <v>0.04596551228</v>
      </c>
      <c r="AD118" s="2"/>
      <c r="AE118" s="20">
        <v>6.535998119770844E-4</v>
      </c>
      <c r="AF118" s="20">
        <f t="shared" si="7"/>
        <v>0.002665462707</v>
      </c>
      <c r="AG118" s="20">
        <f t="shared" si="8"/>
        <v>0.006780652953</v>
      </c>
      <c r="AH118" s="20">
        <f t="shared" si="9"/>
        <v>0.04606475209</v>
      </c>
      <c r="AI118" s="20">
        <v>0.045965512280419056</v>
      </c>
      <c r="AJ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16">
        <f t="shared" si="10"/>
        <v>25.8</v>
      </c>
      <c r="X119" s="17">
        <f t="shared" si="1"/>
        <v>0</v>
      </c>
      <c r="Y119" s="17">
        <f t="shared" si="2"/>
        <v>0</v>
      </c>
      <c r="Z119" s="17">
        <f t="shared" si="3"/>
        <v>0.0003763485746</v>
      </c>
      <c r="AA119" s="17">
        <f t="shared" si="4"/>
        <v>0</v>
      </c>
      <c r="AB119" s="17">
        <f t="shared" si="5"/>
        <v>0</v>
      </c>
      <c r="AC119" s="17">
        <f t="shared" si="6"/>
        <v>0.02944750433</v>
      </c>
      <c r="AD119" s="2"/>
      <c r="AE119" s="17">
        <v>3.763485745585542E-4</v>
      </c>
      <c r="AF119" s="17">
        <f t="shared" si="7"/>
        <v>0.001575386948</v>
      </c>
      <c r="AG119" s="17">
        <f t="shared" si="8"/>
        <v>0.004115149601</v>
      </c>
      <c r="AH119" s="17">
        <f t="shared" si="9"/>
        <v>0.02871765255</v>
      </c>
      <c r="AI119" s="17">
        <v>0.02944750433011474</v>
      </c>
      <c r="AJ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19">
        <f t="shared" si="10"/>
        <v>25.85</v>
      </c>
      <c r="X120" s="20">
        <f t="shared" si="1"/>
        <v>0</v>
      </c>
      <c r="Y120" s="20">
        <f t="shared" si="2"/>
        <v>0</v>
      </c>
      <c r="Z120" s="20">
        <f t="shared" si="3"/>
        <v>0.0002150585439</v>
      </c>
      <c r="AA120" s="20">
        <f t="shared" si="4"/>
        <v>0</v>
      </c>
      <c r="AB120" s="20">
        <f t="shared" si="5"/>
        <v>0</v>
      </c>
      <c r="AC120" s="20">
        <f t="shared" si="6"/>
        <v>0.01872237358</v>
      </c>
      <c r="AD120" s="2"/>
      <c r="AE120" s="20">
        <v>2.150585439316226E-4</v>
      </c>
      <c r="AF120" s="20">
        <f t="shared" si="7"/>
        <v>0.0009240423275</v>
      </c>
      <c r="AG120" s="20">
        <f t="shared" si="8"/>
        <v>0.002478515815</v>
      </c>
      <c r="AH120" s="20">
        <f t="shared" si="9"/>
        <v>0.01776736813</v>
      </c>
      <c r="AI120" s="20">
        <v>0.018722373577122503</v>
      </c>
      <c r="AJ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16">
        <f t="shared" si="10"/>
        <v>25.9</v>
      </c>
      <c r="X121" s="17">
        <f t="shared" si="1"/>
        <v>0</v>
      </c>
      <c r="Y121" s="17">
        <f t="shared" si="2"/>
        <v>0</v>
      </c>
      <c r="Z121" s="17">
        <f t="shared" si="3"/>
        <v>0.0001219582532</v>
      </c>
      <c r="AA121" s="17">
        <f t="shared" si="4"/>
        <v>0</v>
      </c>
      <c r="AB121" s="17">
        <f t="shared" si="5"/>
        <v>0</v>
      </c>
      <c r="AC121" s="17">
        <f t="shared" si="6"/>
        <v>0.01181324856</v>
      </c>
      <c r="AD121" s="2"/>
      <c r="AE121" s="17">
        <v>1.2195825320809888E-4</v>
      </c>
      <c r="AF121" s="17">
        <f t="shared" si="7"/>
        <v>0.0005378813393</v>
      </c>
      <c r="AG121" s="17">
        <f t="shared" si="8"/>
        <v>0.00148145927</v>
      </c>
      <c r="AH121" s="17">
        <f t="shared" si="9"/>
        <v>0.01090915796</v>
      </c>
      <c r="AI121" s="17">
        <v>0.011813248555156858</v>
      </c>
      <c r="AJ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19">
        <f t="shared" si="10"/>
        <v>25.95</v>
      </c>
      <c r="X122" s="20">
        <f t="shared" si="1"/>
        <v>0</v>
      </c>
      <c r="Y122" s="20">
        <f t="shared" si="2"/>
        <v>0</v>
      </c>
      <c r="Z122" s="20">
        <f t="shared" si="3"/>
        <v>0.00006863628336</v>
      </c>
      <c r="AA122" s="20">
        <f t="shared" si="4"/>
        <v>0</v>
      </c>
      <c r="AB122" s="20">
        <f t="shared" si="5"/>
        <v>0</v>
      </c>
      <c r="AC122" s="20">
        <f t="shared" si="6"/>
        <v>0.007397309667</v>
      </c>
      <c r="AD122" s="2"/>
      <c r="AE122" s="20">
        <v>6.863628335821662E-5</v>
      </c>
      <c r="AF122" s="20">
        <f t="shared" si="7"/>
        <v>0.0003107213391</v>
      </c>
      <c r="AG122" s="20">
        <f t="shared" si="8"/>
        <v>0.0008787790449</v>
      </c>
      <c r="AH122" s="20">
        <f t="shared" si="9"/>
        <v>0.006647423155</v>
      </c>
      <c r="AI122" s="20">
        <v>0.0073973096670053706</v>
      </c>
      <c r="AJ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16">
        <f t="shared" si="10"/>
        <v>26</v>
      </c>
      <c r="X123" s="17">
        <f t="shared" si="1"/>
        <v>0</v>
      </c>
      <c r="Y123" s="17">
        <f t="shared" si="2"/>
        <v>0</v>
      </c>
      <c r="Z123" s="17">
        <f t="shared" si="3"/>
        <v>0.00003833402225</v>
      </c>
      <c r="AA123" s="17">
        <f t="shared" si="4"/>
        <v>0</v>
      </c>
      <c r="AB123" s="17">
        <f t="shared" si="5"/>
        <v>0</v>
      </c>
      <c r="AC123" s="17">
        <f t="shared" si="6"/>
        <v>0.004596997632</v>
      </c>
      <c r="AD123" s="2"/>
      <c r="AE123" s="17">
        <v>3.833402224821807E-5</v>
      </c>
      <c r="AF123" s="17">
        <f t="shared" si="7"/>
        <v>0.0001781335291</v>
      </c>
      <c r="AG123" s="17">
        <f t="shared" si="8"/>
        <v>0.0005173228052</v>
      </c>
      <c r="AH123" s="17">
        <f t="shared" si="9"/>
        <v>0.004019845729</v>
      </c>
      <c r="AI123" s="17">
        <v>0.00459699763225483</v>
      </c>
      <c r="AJ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19">
        <f t="shared" si="10"/>
        <v>26.05</v>
      </c>
      <c r="X124" s="20">
        <f t="shared" si="1"/>
        <v>0</v>
      </c>
      <c r="Y124" s="20">
        <f t="shared" si="2"/>
        <v>0</v>
      </c>
      <c r="Z124" s="20">
        <f t="shared" si="3"/>
        <v>0.00002124726782</v>
      </c>
      <c r="AA124" s="20">
        <f t="shared" si="4"/>
        <v>0</v>
      </c>
      <c r="AB124" s="20">
        <f t="shared" si="5"/>
        <v>0</v>
      </c>
      <c r="AC124" s="20">
        <f t="shared" si="6"/>
        <v>0.002835115676</v>
      </c>
      <c r="AD124" s="2"/>
      <c r="AE124" s="20">
        <v>2.124726782214844E-5</v>
      </c>
      <c r="AF124" s="20">
        <f t="shared" si="7"/>
        <v>0.0001013468499</v>
      </c>
      <c r="AG124" s="20">
        <f t="shared" si="8"/>
        <v>0.0003022285661</v>
      </c>
      <c r="AH124" s="20">
        <f t="shared" si="9"/>
        <v>0.002412456064</v>
      </c>
      <c r="AI124" s="20">
        <v>0.0028351156756949185</v>
      </c>
      <c r="AJ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16">
        <f t="shared" si="10"/>
        <v>26.1</v>
      </c>
      <c r="X125" s="17">
        <f t="shared" si="1"/>
        <v>0</v>
      </c>
      <c r="Y125" s="17">
        <f t="shared" si="2"/>
        <v>0</v>
      </c>
      <c r="Z125" s="17">
        <f t="shared" si="3"/>
        <v>0.00001168718359</v>
      </c>
      <c r="AA125" s="17">
        <f t="shared" si="4"/>
        <v>0</v>
      </c>
      <c r="AB125" s="17">
        <f t="shared" si="5"/>
        <v>0</v>
      </c>
      <c r="AC125" s="17">
        <f t="shared" si="6"/>
        <v>0.001735255019</v>
      </c>
      <c r="AD125" s="2"/>
      <c r="AE125" s="17">
        <v>1.1687183585057714E-5</v>
      </c>
      <c r="AF125" s="17">
        <f t="shared" si="7"/>
        <v>0.00005722223627</v>
      </c>
      <c r="AG125" s="17">
        <f t="shared" si="8"/>
        <v>0.0001752271319</v>
      </c>
      <c r="AH125" s="17">
        <f t="shared" si="9"/>
        <v>0.00143682344</v>
      </c>
      <c r="AI125" s="17">
        <v>0.0017352550187989073</v>
      </c>
      <c r="AJ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19">
        <f t="shared" si="10"/>
        <v>26.15</v>
      </c>
      <c r="X126" s="20">
        <f t="shared" si="1"/>
        <v>0</v>
      </c>
      <c r="Y126" s="20">
        <f t="shared" si="2"/>
        <v>0</v>
      </c>
      <c r="Z126" s="20">
        <f t="shared" si="3"/>
        <v>0.000006379765605</v>
      </c>
      <c r="AA126" s="20">
        <f t="shared" si="4"/>
        <v>0</v>
      </c>
      <c r="AB126" s="20">
        <f t="shared" si="5"/>
        <v>0</v>
      </c>
      <c r="AC126" s="20">
        <f t="shared" si="6"/>
        <v>0.001054027296</v>
      </c>
      <c r="AD126" s="2"/>
      <c r="AE126" s="20">
        <v>6.379765605101969E-6</v>
      </c>
      <c r="AF126" s="20">
        <f t="shared" si="7"/>
        <v>0.00003206338636</v>
      </c>
      <c r="AG126" s="20">
        <f t="shared" si="8"/>
        <v>0.0001008228917</v>
      </c>
      <c r="AH126" s="20">
        <f t="shared" si="9"/>
        <v>0.0008492613541</v>
      </c>
      <c r="AI126" s="20">
        <v>0.0010540272957337653</v>
      </c>
      <c r="AJ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16">
        <f t="shared" si="10"/>
        <v>26.2</v>
      </c>
      <c r="X127" s="17">
        <f t="shared" si="1"/>
        <v>0</v>
      </c>
      <c r="Y127" s="17">
        <f t="shared" si="2"/>
        <v>0</v>
      </c>
      <c r="Z127" s="17">
        <f t="shared" si="3"/>
        <v>0.000003456111188</v>
      </c>
      <c r="AA127" s="17">
        <f t="shared" si="4"/>
        <v>0</v>
      </c>
      <c r="AB127" s="17">
        <f t="shared" si="5"/>
        <v>0</v>
      </c>
      <c r="AC127" s="17">
        <f t="shared" si="6"/>
        <v>0.0006353842263</v>
      </c>
      <c r="AD127" s="2"/>
      <c r="AE127" s="17">
        <v>3.456111187646902E-6</v>
      </c>
      <c r="AF127" s="17">
        <f t="shared" si="7"/>
        <v>0.00001782969609</v>
      </c>
      <c r="AG127" s="17">
        <f t="shared" si="8"/>
        <v>0.00005757167983</v>
      </c>
      <c r="AH127" s="17">
        <f t="shared" si="9"/>
        <v>0.0004981650839</v>
      </c>
      <c r="AI127" s="17">
        <v>6.353842263357301E-4</v>
      </c>
      <c r="AJ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19">
        <f t="shared" si="10"/>
        <v>26.25</v>
      </c>
      <c r="X128" s="20">
        <f t="shared" si="1"/>
        <v>0</v>
      </c>
      <c r="Y128" s="20">
        <f t="shared" si="2"/>
        <v>0</v>
      </c>
      <c r="Z128" s="20">
        <f t="shared" si="3"/>
        <v>0.000001858056819</v>
      </c>
      <c r="AA128" s="20">
        <f t="shared" si="4"/>
        <v>0</v>
      </c>
      <c r="AB128" s="20">
        <f t="shared" si="5"/>
        <v>0</v>
      </c>
      <c r="AC128" s="20">
        <f t="shared" si="6"/>
        <v>0.0003801167638</v>
      </c>
      <c r="AD128" s="2"/>
      <c r="AE128" s="20">
        <v>1.8580568191150351E-6</v>
      </c>
      <c r="AF128" s="20">
        <f t="shared" si="7"/>
        <v>0.000009839396993</v>
      </c>
      <c r="AG128" s="20">
        <f t="shared" si="8"/>
        <v>0.00003262500663</v>
      </c>
      <c r="AH128" s="20">
        <f t="shared" si="9"/>
        <v>0.0002900007849</v>
      </c>
      <c r="AI128" s="20">
        <v>3.801167637639385E-4</v>
      </c>
      <c r="AJ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16">
        <f t="shared" si="10"/>
        <v>26.3</v>
      </c>
      <c r="X129" s="17">
        <f t="shared" si="1"/>
        <v>0</v>
      </c>
      <c r="Y129" s="17">
        <f t="shared" si="2"/>
        <v>0</v>
      </c>
      <c r="Z129" s="17">
        <f t="shared" si="3"/>
        <v>0.0000009913323725</v>
      </c>
      <c r="AA129" s="17">
        <f t="shared" si="4"/>
        <v>0</v>
      </c>
      <c r="AB129" s="17">
        <f t="shared" si="5"/>
        <v>0</v>
      </c>
      <c r="AC129" s="17">
        <f t="shared" si="6"/>
        <v>0.0002256802945</v>
      </c>
      <c r="AD129" s="2"/>
      <c r="AE129" s="17">
        <v>9.913323725304536E-7</v>
      </c>
      <c r="AF129" s="17">
        <f t="shared" si="7"/>
        <v>0.000005388687761</v>
      </c>
      <c r="AG129" s="17">
        <f t="shared" si="8"/>
        <v>0.00001834781155</v>
      </c>
      <c r="AH129" s="17">
        <f t="shared" si="9"/>
        <v>0.0001675401992</v>
      </c>
      <c r="AI129" s="17">
        <v>2.2568029448117303E-4</v>
      </c>
      <c r="AJ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19">
        <f t="shared" si="10"/>
        <v>26.35</v>
      </c>
      <c r="X130" s="20">
        <f t="shared" si="1"/>
        <v>0</v>
      </c>
      <c r="Y130" s="20">
        <f t="shared" si="2"/>
        <v>0</v>
      </c>
      <c r="Z130" s="20">
        <f t="shared" si="3"/>
        <v>0.0000005248938529</v>
      </c>
      <c r="AA130" s="20">
        <f t="shared" si="4"/>
        <v>0</v>
      </c>
      <c r="AB130" s="20">
        <f t="shared" si="5"/>
        <v>0</v>
      </c>
      <c r="AC130" s="20">
        <f t="shared" si="6"/>
        <v>0.0001329738611</v>
      </c>
      <c r="AD130" s="2"/>
      <c r="AE130" s="20">
        <v>5.248938528992735E-7</v>
      </c>
      <c r="AF130" s="20">
        <f t="shared" si="7"/>
        <v>0.00000292878546</v>
      </c>
      <c r="AG130" s="20">
        <f t="shared" si="8"/>
        <v>0.00001024023418</v>
      </c>
      <c r="AH130" s="20">
        <f t="shared" si="9"/>
        <v>0.00009605784673</v>
      </c>
      <c r="AI130" s="20">
        <v>1.3297386107795616E-4</v>
      </c>
      <c r="AJ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16">
        <f t="shared" si="10"/>
        <v>26.4</v>
      </c>
      <c r="X131" s="17">
        <f t="shared" si="1"/>
        <v>0</v>
      </c>
      <c r="Y131" s="17">
        <f t="shared" si="2"/>
        <v>0</v>
      </c>
      <c r="Z131" s="17">
        <f t="shared" si="3"/>
        <v>0.0000002758209805</v>
      </c>
      <c r="AA131" s="17">
        <f t="shared" si="4"/>
        <v>0</v>
      </c>
      <c r="AB131" s="17">
        <f t="shared" si="5"/>
        <v>0</v>
      </c>
      <c r="AC131" s="17">
        <f t="shared" si="6"/>
        <v>0.00007775618447</v>
      </c>
      <c r="AD131" s="2"/>
      <c r="AE131" s="17">
        <v>2.7582098052794145E-7</v>
      </c>
      <c r="AF131" s="17">
        <f t="shared" si="7"/>
        <v>0.000001579727383</v>
      </c>
      <c r="AG131" s="17">
        <f t="shared" si="8"/>
        <v>0.00000567188558</v>
      </c>
      <c r="AH131" s="17">
        <f t="shared" si="9"/>
        <v>0.00005465635083</v>
      </c>
      <c r="AI131" s="17">
        <v>7.775618446821646E-5</v>
      </c>
      <c r="AJ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19">
        <f t="shared" si="10"/>
        <v>26.45</v>
      </c>
      <c r="X132" s="20">
        <f t="shared" si="1"/>
        <v>0</v>
      </c>
      <c r="Y132" s="20">
        <f t="shared" si="2"/>
        <v>0</v>
      </c>
      <c r="Z132" s="20">
        <f t="shared" si="3"/>
        <v>0.0000001438580782</v>
      </c>
      <c r="AA132" s="20">
        <f t="shared" si="4"/>
        <v>0</v>
      </c>
      <c r="AB132" s="20">
        <f t="shared" si="5"/>
        <v>0</v>
      </c>
      <c r="AC132" s="20">
        <f t="shared" si="6"/>
        <v>0.0000451231725</v>
      </c>
      <c r="AD132" s="2"/>
      <c r="AE132" s="20">
        <v>1.4385807824621046E-7</v>
      </c>
      <c r="AF132" s="20">
        <f t="shared" si="7"/>
        <v>0.0000008456038534</v>
      </c>
      <c r="AG132" s="20">
        <f t="shared" si="8"/>
        <v>0.000003117719146</v>
      </c>
      <c r="AH132" s="20">
        <f t="shared" si="9"/>
        <v>0.00003086330162</v>
      </c>
      <c r="AI132" s="20">
        <v>4.512317250220139E-5</v>
      </c>
      <c r="AJ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16">
        <f t="shared" si="10"/>
        <v>26.5</v>
      </c>
      <c r="X133" s="17">
        <f t="shared" si="1"/>
        <v>0</v>
      </c>
      <c r="Y133" s="17">
        <f t="shared" si="2"/>
        <v>0</v>
      </c>
      <c r="Z133" s="17">
        <f t="shared" si="3"/>
        <v>0.00000007450496057</v>
      </c>
      <c r="AA133" s="17">
        <f t="shared" si="4"/>
        <v>0</v>
      </c>
      <c r="AB133" s="17">
        <f t="shared" si="5"/>
        <v>0</v>
      </c>
      <c r="AC133" s="17">
        <f t="shared" si="6"/>
        <v>0.00002598725056</v>
      </c>
      <c r="AD133" s="2"/>
      <c r="AE133" s="17">
        <v>7.45049605688889E-8</v>
      </c>
      <c r="AF133" s="17">
        <f t="shared" si="7"/>
        <v>0.0000004492030492</v>
      </c>
      <c r="AG133" s="17">
        <f t="shared" si="8"/>
        <v>0.000001700742161</v>
      </c>
      <c r="AH133" s="17">
        <f t="shared" si="9"/>
        <v>0.00001729569824</v>
      </c>
      <c r="AI133" s="17">
        <v>2.598725056246034E-5</v>
      </c>
      <c r="AJ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19">
        <f t="shared" si="10"/>
        <v>26.55</v>
      </c>
      <c r="X134" s="20">
        <f t="shared" si="1"/>
        <v>0</v>
      </c>
      <c r="Y134" s="20">
        <f t="shared" si="2"/>
        <v>0</v>
      </c>
      <c r="Z134" s="20">
        <f t="shared" si="3"/>
        <v>0.00000003838493709</v>
      </c>
      <c r="AA134" s="20">
        <f t="shared" si="4"/>
        <v>0</v>
      </c>
      <c r="AB134" s="20">
        <f t="shared" si="5"/>
        <v>0</v>
      </c>
      <c r="AC134" s="20">
        <f t="shared" si="6"/>
        <v>0.0000148530986</v>
      </c>
      <c r="AD134" s="2"/>
      <c r="AE134" s="20">
        <v>3.8384937087740225E-8</v>
      </c>
      <c r="AF134" s="20">
        <f t="shared" si="7"/>
        <v>0.0000002368166861</v>
      </c>
      <c r="AG134" s="20">
        <f t="shared" si="8"/>
        <v>0.0000009207292448</v>
      </c>
      <c r="AH134" s="20">
        <f t="shared" si="9"/>
        <v>0.000009618952528</v>
      </c>
      <c r="AI134" s="20">
        <v>1.485309859994639E-5</v>
      </c>
      <c r="AJ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16">
        <f t="shared" si="10"/>
        <v>26.6</v>
      </c>
      <c r="X135" s="17">
        <f t="shared" si="1"/>
        <v>0</v>
      </c>
      <c r="Y135" s="17">
        <f t="shared" si="2"/>
        <v>0</v>
      </c>
      <c r="Z135" s="17">
        <f t="shared" si="3"/>
        <v>0.00000001981498194</v>
      </c>
      <c r="AA135" s="17">
        <f t="shared" si="4"/>
        <v>0</v>
      </c>
      <c r="AB135" s="17">
        <f t="shared" si="5"/>
        <v>0</v>
      </c>
      <c r="AC135" s="17">
        <f t="shared" si="6"/>
        <v>0.000008424998205</v>
      </c>
      <c r="AD135" s="2"/>
      <c r="AE135" s="17">
        <v>1.9814981935907492E-8</v>
      </c>
      <c r="AF135" s="17">
        <f t="shared" si="7"/>
        <v>0.0000001239046932</v>
      </c>
      <c r="AG135" s="17">
        <f t="shared" si="8"/>
        <v>0.0000004946721052</v>
      </c>
      <c r="AH135" s="17">
        <f t="shared" si="9"/>
        <v>0.000005308984153</v>
      </c>
      <c r="AI135" s="17">
        <v>8.424998205034863E-6</v>
      </c>
      <c r="AJ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19">
        <f t="shared" si="10"/>
        <v>26.65</v>
      </c>
      <c r="X136" s="20">
        <f t="shared" si="1"/>
        <v>0</v>
      </c>
      <c r="Y136" s="20">
        <f t="shared" si="2"/>
        <v>0</v>
      </c>
      <c r="Z136" s="20">
        <f t="shared" si="3"/>
        <v>0.00000001053896119</v>
      </c>
      <c r="AA136" s="20">
        <f t="shared" si="4"/>
        <v>0</v>
      </c>
      <c r="AB136" s="20">
        <f t="shared" si="5"/>
        <v>0</v>
      </c>
      <c r="AC136" s="20">
        <f t="shared" si="6"/>
        <v>0.000004742622886</v>
      </c>
      <c r="AD136" s="2"/>
      <c r="AE136" s="20">
        <v>1.0538961187011463E-8</v>
      </c>
      <c r="AF136" s="20">
        <f t="shared" si="7"/>
        <v>0.00000006434550471</v>
      </c>
      <c r="AG136" s="20">
        <f t="shared" si="8"/>
        <v>0.0000002637516242</v>
      </c>
      <c r="AH136" s="20">
        <f t="shared" si="9"/>
        <v>0.000002907964113</v>
      </c>
      <c r="AI136" s="20">
        <v>4.7426228858130305E-6</v>
      </c>
      <c r="AJ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16">
        <f t="shared" si="10"/>
        <v>26.7</v>
      </c>
      <c r="X137" s="17">
        <f t="shared" si="1"/>
        <v>0</v>
      </c>
      <c r="Y137" s="17">
        <f t="shared" si="2"/>
        <v>0</v>
      </c>
      <c r="Z137" s="17">
        <f t="shared" si="3"/>
        <v>0.00000000634393421</v>
      </c>
      <c r="AA137" s="17">
        <f t="shared" si="4"/>
        <v>0</v>
      </c>
      <c r="AB137" s="17">
        <f t="shared" si="5"/>
        <v>0</v>
      </c>
      <c r="AC137" s="17">
        <f t="shared" si="6"/>
        <v>0.00000264949675</v>
      </c>
      <c r="AD137" s="2"/>
      <c r="AE137" s="17">
        <v>6.3439342097072765E-9</v>
      </c>
      <c r="AF137" s="17">
        <f t="shared" si="7"/>
        <v>0.00000003318218753</v>
      </c>
      <c r="AG137" s="17">
        <f t="shared" si="8"/>
        <v>0.0000001395616167</v>
      </c>
      <c r="AH137" s="17">
        <f t="shared" si="9"/>
        <v>0.000001580740658</v>
      </c>
      <c r="AI137" s="17">
        <v>2.6494967496760604E-6</v>
      </c>
      <c r="AJ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19">
        <f t="shared" si="10"/>
        <v>26.75</v>
      </c>
      <c r="X138" s="20">
        <f t="shared" si="1"/>
        <v>0</v>
      </c>
      <c r="Y138" s="20">
        <f t="shared" si="2"/>
        <v>0</v>
      </c>
      <c r="Z138" s="20">
        <f t="shared" si="3"/>
        <v>0.000000005294264196</v>
      </c>
      <c r="AA138" s="20">
        <f t="shared" si="4"/>
        <v>0</v>
      </c>
      <c r="AB138" s="20">
        <f t="shared" si="5"/>
        <v>0</v>
      </c>
      <c r="AC138" s="20">
        <f t="shared" si="6"/>
        <v>0.000001468940525</v>
      </c>
      <c r="AD138" s="2"/>
      <c r="AE138" s="20">
        <v>5.294264196154686E-9</v>
      </c>
      <c r="AF138" s="20">
        <f t="shared" si="7"/>
        <v>0.00000001702438181</v>
      </c>
      <c r="AG138" s="20">
        <f t="shared" si="8"/>
        <v>0.00000007328813061</v>
      </c>
      <c r="AH138" s="20">
        <f t="shared" si="9"/>
        <v>0.0000008527587406</v>
      </c>
      <c r="AI138" s="20">
        <v>1.4689405248132472E-6</v>
      </c>
      <c r="AJ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16">
        <f t="shared" si="10"/>
        <v>26.8</v>
      </c>
      <c r="X139" s="17">
        <f t="shared" si="1"/>
        <v>0</v>
      </c>
      <c r="Y139" s="17">
        <f t="shared" si="2"/>
        <v>0</v>
      </c>
      <c r="Z139" s="17">
        <f t="shared" si="3"/>
        <v>0.000000006907255458</v>
      </c>
      <c r="AA139" s="17">
        <f t="shared" si="4"/>
        <v>0</v>
      </c>
      <c r="AB139" s="17">
        <f t="shared" si="5"/>
        <v>0</v>
      </c>
      <c r="AC139" s="17">
        <f t="shared" si="6"/>
        <v>0.0000008082413331</v>
      </c>
      <c r="AD139" s="2"/>
      <c r="AE139" s="17">
        <v>6.907255457893044E-9</v>
      </c>
      <c r="AF139" s="17">
        <f t="shared" si="7"/>
        <v>0.00000000875690648</v>
      </c>
      <c r="AG139" s="17">
        <f t="shared" si="8"/>
        <v>0.00000003819559824</v>
      </c>
      <c r="AH139" s="17">
        <f t="shared" si="9"/>
        <v>0.0000004565472561</v>
      </c>
      <c r="AI139" s="17">
        <v>8.082413330969714E-7</v>
      </c>
      <c r="AJ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19">
        <f t="shared" si="10"/>
        <v>26.85</v>
      </c>
      <c r="X140" s="20">
        <f t="shared" si="1"/>
        <v>0</v>
      </c>
      <c r="Y140" s="20">
        <f t="shared" si="2"/>
        <v>0</v>
      </c>
      <c r="Z140" s="20">
        <f t="shared" si="3"/>
        <v>0.00000001194954962</v>
      </c>
      <c r="AA140" s="20">
        <f t="shared" si="4"/>
        <v>0</v>
      </c>
      <c r="AB140" s="20">
        <f t="shared" si="5"/>
        <v>0</v>
      </c>
      <c r="AC140" s="20">
        <f t="shared" si="6"/>
        <v>0.0000004413406437</v>
      </c>
      <c r="AD140" s="2"/>
      <c r="AE140" s="20">
        <v>1.1949549619862831E-8</v>
      </c>
      <c r="AF140" s="20">
        <f t="shared" si="7"/>
        <v>0.000000004652895345</v>
      </c>
      <c r="AG140" s="20">
        <f t="shared" si="8"/>
        <v>0.00000001975913785</v>
      </c>
      <c r="AH140" s="20">
        <f t="shared" si="9"/>
        <v>0.0000002425712977</v>
      </c>
      <c r="AI140" s="20">
        <v>4.4134064365096283E-7</v>
      </c>
      <c r="AJ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16">
        <f t="shared" si="10"/>
        <v>26.9</v>
      </c>
      <c r="X141" s="17">
        <f t="shared" si="1"/>
        <v>0</v>
      </c>
      <c r="Y141" s="17">
        <f t="shared" si="2"/>
        <v>0</v>
      </c>
      <c r="Z141" s="17">
        <f t="shared" si="3"/>
        <v>0.00000002277654811</v>
      </c>
      <c r="AA141" s="17">
        <f t="shared" si="4"/>
        <v>0</v>
      </c>
      <c r="AB141" s="17">
        <f t="shared" si="5"/>
        <v>0</v>
      </c>
      <c r="AC141" s="17">
        <f t="shared" si="6"/>
        <v>0.0000002391678605</v>
      </c>
      <c r="AD141" s="2"/>
      <c r="AE141" s="17">
        <v>2.277654811374832E-8</v>
      </c>
      <c r="AF141" s="17">
        <f t="shared" si="7"/>
        <v>0.000000002823423443</v>
      </c>
      <c r="AG141" s="17">
        <f t="shared" si="8"/>
        <v>0.00000001015215504</v>
      </c>
      <c r="AH141" s="17">
        <f t="shared" si="9"/>
        <v>0.000000127905048</v>
      </c>
      <c r="AI141" s="17">
        <v>2.391678605284385E-7</v>
      </c>
      <c r="AJ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19">
        <f t="shared" si="10"/>
        <v>26.95</v>
      </c>
      <c r="X142" s="20">
        <f t="shared" si="1"/>
        <v>0</v>
      </c>
      <c r="Y142" s="20">
        <f t="shared" si="2"/>
        <v>0</v>
      </c>
      <c r="Z142" s="20">
        <f t="shared" si="3"/>
        <v>0.00000004435382088</v>
      </c>
      <c r="AA142" s="20">
        <f t="shared" si="4"/>
        <v>0</v>
      </c>
      <c r="AB142" s="20">
        <f t="shared" si="5"/>
        <v>0</v>
      </c>
      <c r="AC142" s="20">
        <f t="shared" si="6"/>
        <v>0.0000001286257005</v>
      </c>
      <c r="AD142" s="2"/>
      <c r="AE142" s="20">
        <v>4.4353820881667896E-8</v>
      </c>
      <c r="AF142" s="20">
        <f t="shared" si="7"/>
        <v>0.000000002414367759</v>
      </c>
      <c r="AG142" s="20">
        <f t="shared" si="8"/>
        <v>0.000000005193487384</v>
      </c>
      <c r="AH142" s="20">
        <f t="shared" si="9"/>
        <v>0.00000006693181029</v>
      </c>
      <c r="AI142" s="20">
        <v>1.2862570049837775E-7</v>
      </c>
      <c r="AJ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16">
        <f t="shared" si="10"/>
        <v>27</v>
      </c>
      <c r="X143" s="17">
        <f t="shared" si="1"/>
        <v>0</v>
      </c>
      <c r="Y143" s="17">
        <f t="shared" si="2"/>
        <v>0</v>
      </c>
      <c r="Z143" s="17">
        <f t="shared" si="3"/>
        <v>0.00000008636826921</v>
      </c>
      <c r="AA143" s="17">
        <f t="shared" si="4"/>
        <v>0</v>
      </c>
      <c r="AB143" s="17">
        <f t="shared" si="5"/>
        <v>0</v>
      </c>
      <c r="AC143" s="17">
        <f t="shared" si="6"/>
        <v>0.00000006865130266</v>
      </c>
      <c r="AD143" s="2"/>
      <c r="AE143" s="17">
        <v>8.636826920558012E-8</v>
      </c>
      <c r="AF143" s="17">
        <f t="shared" si="7"/>
        <v>0.000000003238130268</v>
      </c>
      <c r="AG143" s="17">
        <f t="shared" si="8"/>
        <v>0.000000002672084364</v>
      </c>
      <c r="AH143" s="17">
        <f t="shared" si="9"/>
        <v>0.00000003476021783</v>
      </c>
      <c r="AI143" s="17">
        <v>6.865130265827717E-8</v>
      </c>
      <c r="AJ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19">
        <f t="shared" si="10"/>
        <v>27.05</v>
      </c>
      <c r="X144" s="20">
        <f t="shared" si="1"/>
        <v>0</v>
      </c>
      <c r="Y144" s="20">
        <f t="shared" si="2"/>
        <v>0</v>
      </c>
      <c r="Z144" s="20">
        <f t="shared" si="3"/>
        <v>0.0000001672538756</v>
      </c>
      <c r="AA144" s="20">
        <f t="shared" si="4"/>
        <v>0</v>
      </c>
      <c r="AB144" s="20">
        <f t="shared" si="5"/>
        <v>0</v>
      </c>
      <c r="AC144" s="20">
        <f t="shared" si="6"/>
        <v>0.0000000363635387</v>
      </c>
      <c r="AD144" s="2"/>
      <c r="AE144" s="20">
        <v>1.67253875641925E-7</v>
      </c>
      <c r="AF144" s="20">
        <f t="shared" si="7"/>
        <v>0.00000000569504684</v>
      </c>
      <c r="AG144" s="20">
        <f t="shared" si="8"/>
        <v>0.000000001437741618</v>
      </c>
      <c r="AH144" s="20">
        <f t="shared" si="9"/>
        <v>0.0000000179173032</v>
      </c>
      <c r="AI144" s="20">
        <v>3.6363538702157457E-8</v>
      </c>
      <c r="AJ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16">
        <f t="shared" si="10"/>
        <v>27.1</v>
      </c>
      <c r="X145" s="17">
        <f t="shared" si="1"/>
        <v>0</v>
      </c>
      <c r="Y145" s="17">
        <f t="shared" si="2"/>
        <v>0</v>
      </c>
      <c r="Z145" s="17">
        <f t="shared" si="3"/>
        <v>0.0000003216667173</v>
      </c>
      <c r="AA145" s="17">
        <f t="shared" si="4"/>
        <v>0</v>
      </c>
      <c r="AB145" s="17">
        <f t="shared" si="5"/>
        <v>0</v>
      </c>
      <c r="AC145" s="17">
        <f t="shared" si="6"/>
        <v>0.00000001911528635</v>
      </c>
      <c r="AD145" s="2"/>
      <c r="AE145" s="17">
        <v>3.216667172568091E-7</v>
      </c>
      <c r="AF145" s="17">
        <f t="shared" si="7"/>
        <v>0.00000001095488829</v>
      </c>
      <c r="AG145" s="17">
        <f t="shared" si="8"/>
        <v>0.0000000009165115493</v>
      </c>
      <c r="AH145" s="17">
        <f t="shared" si="9"/>
        <v>0.000000009169596469</v>
      </c>
      <c r="AI145" s="17">
        <v>1.911528635463614E-8</v>
      </c>
      <c r="AJ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19">
        <f t="shared" si="10"/>
        <v>27.15</v>
      </c>
      <c r="X146" s="20">
        <f t="shared" si="1"/>
        <v>0</v>
      </c>
      <c r="Y146" s="20">
        <f t="shared" si="2"/>
        <v>0</v>
      </c>
      <c r="Z146" s="20">
        <f t="shared" si="3"/>
        <v>0.0000006141840118</v>
      </c>
      <c r="AA146" s="20">
        <f t="shared" si="4"/>
        <v>0</v>
      </c>
      <c r="AB146" s="20">
        <f t="shared" si="5"/>
        <v>0</v>
      </c>
      <c r="AC146" s="20">
        <f t="shared" si="6"/>
        <v>0.000000009972336834</v>
      </c>
      <c r="AD146" s="2"/>
      <c r="AE146" s="20">
        <v>6.14184011797377E-7</v>
      </c>
      <c r="AF146" s="20">
        <f t="shared" si="7"/>
        <v>0.0000000214746776</v>
      </c>
      <c r="AG146" s="20">
        <f t="shared" si="8"/>
        <v>0.0000000008640806238</v>
      </c>
      <c r="AH146" s="20">
        <f t="shared" si="9"/>
        <v>0.000000004665839034</v>
      </c>
      <c r="AI146" s="20">
        <v>9.972336834359749E-9</v>
      </c>
      <c r="AJ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16">
        <f t="shared" si="10"/>
        <v>27.2</v>
      </c>
      <c r="X147" s="17">
        <f t="shared" si="1"/>
        <v>0</v>
      </c>
      <c r="Y147" s="17">
        <f t="shared" si="2"/>
        <v>0</v>
      </c>
      <c r="Z147" s="17">
        <f t="shared" si="3"/>
        <v>0.000001164173105</v>
      </c>
      <c r="AA147" s="17">
        <f t="shared" si="4"/>
        <v>0</v>
      </c>
      <c r="AB147" s="17">
        <f t="shared" si="5"/>
        <v>0</v>
      </c>
      <c r="AC147" s="17">
        <f t="shared" si="6"/>
        <v>0.000000005163355946</v>
      </c>
      <c r="AD147" s="2"/>
      <c r="AE147" s="17">
        <v>1.1641731046966527E-6</v>
      </c>
      <c r="AF147" s="17">
        <f t="shared" si="7"/>
        <v>0.00000004206425164</v>
      </c>
      <c r="AG147" s="17">
        <f t="shared" si="8"/>
        <v>0.000000001260141365</v>
      </c>
      <c r="AH147" s="17">
        <f t="shared" si="9"/>
        <v>0.000000002374426586</v>
      </c>
      <c r="AI147" s="17">
        <v>5.163355946237336E-9</v>
      </c>
      <c r="AJ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19">
        <f t="shared" si="10"/>
        <v>27.25</v>
      </c>
      <c r="X148" s="20">
        <f t="shared" si="1"/>
        <v>0</v>
      </c>
      <c r="Y148" s="20">
        <f t="shared" si="2"/>
        <v>0</v>
      </c>
      <c r="Z148" s="20">
        <f t="shared" si="3"/>
        <v>0.000002190556738</v>
      </c>
      <c r="AA148" s="20">
        <f t="shared" si="4"/>
        <v>0</v>
      </c>
      <c r="AB148" s="20">
        <f t="shared" si="5"/>
        <v>0</v>
      </c>
      <c r="AC148" s="20">
        <f t="shared" si="6"/>
        <v>0.000000002653751432</v>
      </c>
      <c r="AD148" s="2"/>
      <c r="AE148" s="20">
        <v>2.1905567378209383E-6</v>
      </c>
      <c r="AF148" s="20">
        <f t="shared" si="7"/>
        <v>0.00000008192501578</v>
      </c>
      <c r="AG148" s="20">
        <f t="shared" si="8"/>
        <v>0.000000002302091029</v>
      </c>
      <c r="AH148" s="20">
        <f t="shared" si="9"/>
        <v>0.000000001237330692</v>
      </c>
      <c r="AI148" s="20">
        <v>2.653751432101459E-9</v>
      </c>
      <c r="AJ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16">
        <f t="shared" si="10"/>
        <v>27.3</v>
      </c>
      <c r="X149" s="17">
        <f t="shared" si="1"/>
        <v>0</v>
      </c>
      <c r="Y149" s="17">
        <f t="shared" si="2"/>
        <v>0</v>
      </c>
      <c r="Z149" s="17">
        <f t="shared" si="3"/>
        <v>0.000004091732029</v>
      </c>
      <c r="AA149" s="17">
        <f t="shared" si="4"/>
        <v>0</v>
      </c>
      <c r="AB149" s="17">
        <f t="shared" si="5"/>
        <v>0</v>
      </c>
      <c r="AC149" s="17">
        <f t="shared" si="6"/>
        <v>0.000000001354858965</v>
      </c>
      <c r="AD149" s="2"/>
      <c r="AE149" s="17">
        <v>4.091732028942276E-6</v>
      </c>
      <c r="AF149" s="17">
        <f t="shared" si="7"/>
        <v>0.0000001584560619</v>
      </c>
      <c r="AG149" s="17">
        <f t="shared" si="8"/>
        <v>0.000000004496919128</v>
      </c>
      <c r="AH149" s="17">
        <f t="shared" si="9"/>
        <v>0.0000000007183778948</v>
      </c>
      <c r="AI149" s="17">
        <v>1.3548589652286632E-9</v>
      </c>
      <c r="AJ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19">
        <f t="shared" si="10"/>
        <v>27.35</v>
      </c>
      <c r="X150" s="20">
        <f t="shared" si="1"/>
        <v>0</v>
      </c>
      <c r="Y150" s="20">
        <f t="shared" si="2"/>
        <v>0</v>
      </c>
      <c r="Z150" s="20">
        <f t="shared" si="3"/>
        <v>0.000007587087003</v>
      </c>
      <c r="AA150" s="20">
        <f t="shared" si="4"/>
        <v>0</v>
      </c>
      <c r="AB150" s="20">
        <f t="shared" si="5"/>
        <v>0</v>
      </c>
      <c r="AC150" s="20">
        <f t="shared" si="6"/>
        <v>0.0000000006892055508</v>
      </c>
      <c r="AD150" s="2"/>
      <c r="AE150" s="20">
        <v>7.587087002622296E-6</v>
      </c>
      <c r="AF150" s="20">
        <f t="shared" si="7"/>
        <v>0.0000003042716145</v>
      </c>
      <c r="AG150" s="20">
        <f t="shared" si="8"/>
        <v>0.000000008890957833</v>
      </c>
      <c r="AH150" s="20">
        <f t="shared" si="9"/>
        <v>0.0000000005692370467</v>
      </c>
      <c r="AI150" s="20">
        <v>6.892055507954486E-10</v>
      </c>
      <c r="AJ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16">
        <f t="shared" si="10"/>
        <v>27.4</v>
      </c>
      <c r="X151" s="17">
        <f t="shared" si="1"/>
        <v>0</v>
      </c>
      <c r="Y151" s="17">
        <f t="shared" si="2"/>
        <v>0</v>
      </c>
      <c r="Z151" s="17">
        <f t="shared" si="3"/>
        <v>0.00001396554917</v>
      </c>
      <c r="AA151" s="17">
        <f t="shared" si="4"/>
        <v>0</v>
      </c>
      <c r="AB151" s="17">
        <f t="shared" si="5"/>
        <v>0</v>
      </c>
      <c r="AC151" s="17">
        <f t="shared" si="6"/>
        <v>0.0000000003537302386</v>
      </c>
      <c r="AD151" s="2"/>
      <c r="AE151" s="17">
        <v>1.3965549169615784E-5</v>
      </c>
      <c r="AF151" s="17">
        <f t="shared" si="7"/>
        <v>0.0000005800199823</v>
      </c>
      <c r="AG151" s="17">
        <f t="shared" si="8"/>
        <v>0.00000001753373124</v>
      </c>
      <c r="AH151" s="17">
        <f t="shared" si="9"/>
        <v>0.0000000007194523914</v>
      </c>
      <c r="AI151" s="17">
        <v>3.5373023858736366E-10</v>
      </c>
      <c r="AJ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19">
        <f t="shared" si="10"/>
        <v>27.45</v>
      </c>
      <c r="X152" s="20">
        <f t="shared" si="1"/>
        <v>0</v>
      </c>
      <c r="Y152" s="20">
        <f t="shared" si="2"/>
        <v>0</v>
      </c>
      <c r="Z152" s="20">
        <f t="shared" si="3"/>
        <v>0.00002551855119</v>
      </c>
      <c r="AA152" s="20">
        <f t="shared" si="4"/>
        <v>0</v>
      </c>
      <c r="AB152" s="20">
        <f t="shared" si="5"/>
        <v>0</v>
      </c>
      <c r="AC152" s="20">
        <f t="shared" si="6"/>
        <v>0.0000000001923257205</v>
      </c>
      <c r="AD152" s="2"/>
      <c r="AE152" s="20">
        <v>2.5518551185980665E-5</v>
      </c>
      <c r="AF152" s="20">
        <f t="shared" si="7"/>
        <v>0.000001097604281</v>
      </c>
      <c r="AG152" s="20">
        <f t="shared" si="8"/>
        <v>0.00000003436560296</v>
      </c>
      <c r="AH152" s="20">
        <f t="shared" si="9"/>
        <v>0.000000001245888974</v>
      </c>
      <c r="AI152" s="20">
        <v>1.923257205328133E-10</v>
      </c>
      <c r="AJ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16">
        <f t="shared" si="10"/>
        <v>27.5</v>
      </c>
      <c r="X153" s="17">
        <f t="shared" si="1"/>
        <v>0</v>
      </c>
      <c r="Y153" s="17">
        <f t="shared" si="2"/>
        <v>0</v>
      </c>
      <c r="Z153" s="17">
        <f t="shared" si="3"/>
        <v>0.00004628806679</v>
      </c>
      <c r="AA153" s="17">
        <f t="shared" si="4"/>
        <v>0</v>
      </c>
      <c r="AB153" s="17">
        <f t="shared" si="5"/>
        <v>0</v>
      </c>
      <c r="AC153" s="17">
        <f t="shared" si="6"/>
        <v>0.0000000001286627773</v>
      </c>
      <c r="AD153" s="2"/>
      <c r="AE153" s="17">
        <v>4.6288066786675435E-5</v>
      </c>
      <c r="AF153" s="17">
        <f t="shared" si="7"/>
        <v>0.000002061902363</v>
      </c>
      <c r="AG153" s="17">
        <f t="shared" si="8"/>
        <v>0.00000006688322564</v>
      </c>
      <c r="AH153" s="17">
        <f t="shared" si="9"/>
        <v>0.000000002409593296</v>
      </c>
      <c r="AI153" s="17">
        <v>1.286627773108431E-10</v>
      </c>
      <c r="AJ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19">
        <f t="shared" si="10"/>
        <v>27.55</v>
      </c>
      <c r="X154" s="20">
        <f t="shared" si="1"/>
        <v>0</v>
      </c>
      <c r="Y154" s="20">
        <f t="shared" si="2"/>
        <v>0</v>
      </c>
      <c r="Z154" s="20">
        <f t="shared" si="3"/>
        <v>0.00008334836865</v>
      </c>
      <c r="AA154" s="20">
        <f t="shared" si="4"/>
        <v>0</v>
      </c>
      <c r="AB154" s="20">
        <f t="shared" si="5"/>
        <v>0</v>
      </c>
      <c r="AC154" s="20">
        <f t="shared" si="6"/>
        <v>0.0000000001328211775</v>
      </c>
      <c r="AD154" s="2"/>
      <c r="AE154" s="20">
        <v>8.33483686491139E-5</v>
      </c>
      <c r="AF154" s="20">
        <f t="shared" si="7"/>
        <v>0.000003845115757</v>
      </c>
      <c r="AG154" s="20">
        <f t="shared" si="8"/>
        <v>0.0000001292297053</v>
      </c>
      <c r="AH154" s="20">
        <f t="shared" si="9"/>
        <v>0.00000000477653109</v>
      </c>
      <c r="AI154" s="20">
        <v>1.328211775140217E-10</v>
      </c>
      <c r="AJ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16">
        <f t="shared" si="10"/>
        <v>27.6</v>
      </c>
      <c r="X155" s="17">
        <f t="shared" si="1"/>
        <v>0</v>
      </c>
      <c r="Y155" s="17">
        <f t="shared" si="2"/>
        <v>0</v>
      </c>
      <c r="Z155" s="17">
        <f t="shared" si="3"/>
        <v>0.0001489841942</v>
      </c>
      <c r="AA155" s="17">
        <f t="shared" si="4"/>
        <v>0</v>
      </c>
      <c r="AB155" s="17">
        <f t="shared" si="5"/>
        <v>0</v>
      </c>
      <c r="AC155" s="17">
        <f t="shared" si="6"/>
        <v>0.0000000002083759455</v>
      </c>
      <c r="AD155" s="2"/>
      <c r="AE155" s="17">
        <v>1.4898419417430902E-4</v>
      </c>
      <c r="AF155" s="17">
        <f t="shared" si="7"/>
        <v>0.000007118191206</v>
      </c>
      <c r="AG155" s="17">
        <f t="shared" si="8"/>
        <v>0.0000002478776138</v>
      </c>
      <c r="AH155" s="17">
        <f t="shared" si="9"/>
        <v>0.000000009473915442</v>
      </c>
      <c r="AI155" s="17">
        <v>2.0837594551409778E-10</v>
      </c>
      <c r="AJ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19">
        <f t="shared" si="10"/>
        <v>27.65</v>
      </c>
      <c r="X156" s="20">
        <f t="shared" si="1"/>
        <v>0</v>
      </c>
      <c r="Y156" s="20">
        <f t="shared" si="2"/>
        <v>0</v>
      </c>
      <c r="Z156" s="20">
        <f t="shared" si="3"/>
        <v>0.0002643615684</v>
      </c>
      <c r="AA156" s="20">
        <f t="shared" si="4"/>
        <v>0</v>
      </c>
      <c r="AB156" s="20">
        <f t="shared" si="5"/>
        <v>0</v>
      </c>
      <c r="AC156" s="20">
        <f t="shared" si="6"/>
        <v>0.000000000394890631</v>
      </c>
      <c r="AD156" s="2"/>
      <c r="AE156" s="20">
        <v>2.643615684376958E-4</v>
      </c>
      <c r="AF156" s="20">
        <f t="shared" si="7"/>
        <v>0.00001308123545</v>
      </c>
      <c r="AG156" s="20">
        <f t="shared" si="8"/>
        <v>0.0000004719942946</v>
      </c>
      <c r="AH156" s="20">
        <f t="shared" si="9"/>
        <v>0.00000001868941463</v>
      </c>
      <c r="AI156" s="20">
        <v>3.9489063099542763E-10</v>
      </c>
      <c r="AJ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16">
        <f t="shared" si="10"/>
        <v>27.7</v>
      </c>
      <c r="X157" s="17">
        <f t="shared" si="1"/>
        <v>0</v>
      </c>
      <c r="Y157" s="17">
        <f t="shared" si="2"/>
        <v>0</v>
      </c>
      <c r="Z157" s="17">
        <f t="shared" si="3"/>
        <v>0.0004656627243</v>
      </c>
      <c r="AA157" s="17">
        <f t="shared" si="4"/>
        <v>0</v>
      </c>
      <c r="AB157" s="17">
        <f t="shared" si="5"/>
        <v>0</v>
      </c>
      <c r="AC157" s="17">
        <f t="shared" si="6"/>
        <v>0.000000000787321173</v>
      </c>
      <c r="AD157" s="2"/>
      <c r="AE157" s="17">
        <v>4.656627242743766E-4</v>
      </c>
      <c r="AF157" s="17">
        <f t="shared" si="7"/>
        <v>0.00002386419294</v>
      </c>
      <c r="AG157" s="17">
        <f t="shared" si="8"/>
        <v>0.0000008921942101</v>
      </c>
      <c r="AH157" s="17">
        <f t="shared" si="9"/>
        <v>0.00000003661720493</v>
      </c>
      <c r="AI157" s="17">
        <v>7.873211729712036E-10</v>
      </c>
      <c r="AJ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19">
        <f t="shared" si="10"/>
        <v>27.75</v>
      </c>
      <c r="X158" s="20">
        <f t="shared" si="1"/>
        <v>0</v>
      </c>
      <c r="Y158" s="20">
        <f t="shared" si="2"/>
        <v>0</v>
      </c>
      <c r="Z158" s="20">
        <f t="shared" si="3"/>
        <v>0.0008142535497</v>
      </c>
      <c r="AA158" s="20">
        <f t="shared" si="4"/>
        <v>0</v>
      </c>
      <c r="AB158" s="20">
        <f t="shared" si="5"/>
        <v>0</v>
      </c>
      <c r="AC158" s="20">
        <f t="shared" si="6"/>
        <v>0.000000001581187076</v>
      </c>
      <c r="AD158" s="2"/>
      <c r="AE158" s="20">
        <v>8.142535496691238E-4</v>
      </c>
      <c r="AF158" s="20">
        <f t="shared" si="7"/>
        <v>0.00004321789545</v>
      </c>
      <c r="AG158" s="20">
        <f t="shared" si="8"/>
        <v>0.00000167419081</v>
      </c>
      <c r="AH158" s="20">
        <f t="shared" si="9"/>
        <v>0.00000007122760761</v>
      </c>
      <c r="AI158" s="20">
        <v>1.5811870760342362E-9</v>
      </c>
      <c r="AJ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16">
        <f t="shared" si="10"/>
        <v>27.8</v>
      </c>
      <c r="X159" s="17">
        <f t="shared" si="1"/>
        <v>0</v>
      </c>
      <c r="Y159" s="17">
        <f t="shared" si="2"/>
        <v>0</v>
      </c>
      <c r="Z159" s="17">
        <f t="shared" si="3"/>
        <v>0.00141339281</v>
      </c>
      <c r="AA159" s="17">
        <f t="shared" si="4"/>
        <v>0</v>
      </c>
      <c r="AB159" s="17">
        <f t="shared" si="5"/>
        <v>0</v>
      </c>
      <c r="AC159" s="17">
        <f t="shared" si="6"/>
        <v>0.000000003163452031</v>
      </c>
      <c r="AD159" s="2"/>
      <c r="AE159" s="17">
        <v>0.0014133928096912928</v>
      </c>
      <c r="AF159" s="17">
        <f t="shared" si="7"/>
        <v>0.00007769612352</v>
      </c>
      <c r="AG159" s="17">
        <f t="shared" si="8"/>
        <v>0.000003118698089</v>
      </c>
      <c r="AH159" s="17">
        <f t="shared" si="9"/>
        <v>0.0000001375464905</v>
      </c>
      <c r="AI159" s="17">
        <v>3.1634520314929733E-9</v>
      </c>
      <c r="AJ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19">
        <f t="shared" si="10"/>
        <v>27.85</v>
      </c>
      <c r="X160" s="20">
        <f t="shared" si="1"/>
        <v>0</v>
      </c>
      <c r="Y160" s="20">
        <f t="shared" si="2"/>
        <v>0</v>
      </c>
      <c r="Z160" s="20">
        <f t="shared" si="3"/>
        <v>0.0024354607</v>
      </c>
      <c r="AA160" s="20">
        <f t="shared" si="4"/>
        <v>0</v>
      </c>
      <c r="AB160" s="20">
        <f t="shared" si="5"/>
        <v>0</v>
      </c>
      <c r="AC160" s="20">
        <f t="shared" si="6"/>
        <v>0.00000000628824207</v>
      </c>
      <c r="AD160" s="2"/>
      <c r="AE160" s="20">
        <v>0.0024354606997286756</v>
      </c>
      <c r="AF160" s="20">
        <f t="shared" si="7"/>
        <v>0.000138660883</v>
      </c>
      <c r="AG160" s="20">
        <f t="shared" si="8"/>
        <v>0.000005767193515</v>
      </c>
      <c r="AH160" s="20">
        <f t="shared" si="9"/>
        <v>0.0000002636818</v>
      </c>
      <c r="AI160" s="20">
        <v>6.288242070162665E-9</v>
      </c>
      <c r="AJ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16">
        <f t="shared" si="10"/>
        <v>27.9</v>
      </c>
      <c r="X161" s="17">
        <f t="shared" si="1"/>
        <v>0</v>
      </c>
      <c r="Y161" s="17">
        <f t="shared" si="2"/>
        <v>0</v>
      </c>
      <c r="Z161" s="17">
        <f t="shared" si="3"/>
        <v>0.004165953378</v>
      </c>
      <c r="AA161" s="17">
        <f t="shared" si="4"/>
        <v>0</v>
      </c>
      <c r="AB161" s="17">
        <f t="shared" si="5"/>
        <v>0</v>
      </c>
      <c r="AC161" s="17">
        <f t="shared" si="6"/>
        <v>0.00000001241117771</v>
      </c>
      <c r="AD161" s="2"/>
      <c r="AE161" s="17">
        <v>0.004165953377805566</v>
      </c>
      <c r="AF161" s="17">
        <f t="shared" si="7"/>
        <v>0.0002456560393</v>
      </c>
      <c r="AG161" s="17">
        <f t="shared" si="8"/>
        <v>0.00001058713667</v>
      </c>
      <c r="AH161" s="17">
        <f t="shared" si="9"/>
        <v>0.0000005018087775</v>
      </c>
      <c r="AI161" s="17">
        <v>1.2411177710195512E-8</v>
      </c>
      <c r="AJ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19">
        <f t="shared" si="10"/>
        <v>27.95</v>
      </c>
      <c r="X162" s="20">
        <f t="shared" si="1"/>
        <v>0</v>
      </c>
      <c r="Y162" s="20">
        <f t="shared" si="2"/>
        <v>0</v>
      </c>
      <c r="Z162" s="20">
        <f t="shared" si="3"/>
        <v>0.007073961893</v>
      </c>
      <c r="AA162" s="20">
        <f t="shared" si="4"/>
        <v>0</v>
      </c>
      <c r="AB162" s="20">
        <f t="shared" si="5"/>
        <v>0</v>
      </c>
      <c r="AC162" s="20">
        <f t="shared" si="6"/>
        <v>0.00000002431911051</v>
      </c>
      <c r="AD162" s="2"/>
      <c r="AE162" s="20">
        <v>0.007073961893135305</v>
      </c>
      <c r="AF162" s="20">
        <f t="shared" si="7"/>
        <v>0.0004320358671</v>
      </c>
      <c r="AG162" s="20">
        <f t="shared" si="8"/>
        <v>0.00001929369101</v>
      </c>
      <c r="AH162" s="20">
        <f t="shared" si="9"/>
        <v>0.0000009480327233</v>
      </c>
      <c r="AI162" s="20">
        <v>2.431911051452265E-8</v>
      </c>
      <c r="AJ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16">
        <f t="shared" si="10"/>
        <v>28</v>
      </c>
      <c r="X163" s="17">
        <f t="shared" si="1"/>
        <v>0</v>
      </c>
      <c r="Y163" s="17">
        <f t="shared" si="2"/>
        <v>0</v>
      </c>
      <c r="Z163" s="17">
        <f t="shared" si="3"/>
        <v>0.01192411231</v>
      </c>
      <c r="AA163" s="17">
        <f t="shared" si="4"/>
        <v>0</v>
      </c>
      <c r="AB163" s="17">
        <f t="shared" si="5"/>
        <v>0</v>
      </c>
      <c r="AC163" s="17">
        <f t="shared" si="6"/>
        <v>0.00000004730619713</v>
      </c>
      <c r="AD163" s="2"/>
      <c r="AE163" s="17">
        <v>0.011924112307290199</v>
      </c>
      <c r="AF163" s="17">
        <f t="shared" si="7"/>
        <v>0.0007542772935</v>
      </c>
      <c r="AG163" s="17">
        <f t="shared" si="8"/>
        <v>0.00003490397772</v>
      </c>
      <c r="AH163" s="17">
        <f t="shared" si="9"/>
        <v>0.000001778014357</v>
      </c>
      <c r="AI163" s="17">
        <v>4.7306197134508826E-8</v>
      </c>
      <c r="AJ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19">
        <f t="shared" si="10"/>
        <v>28.05</v>
      </c>
      <c r="X164" s="20">
        <f t="shared" si="1"/>
        <v>0</v>
      </c>
      <c r="Y164" s="20">
        <f t="shared" si="2"/>
        <v>0</v>
      </c>
      <c r="Z164" s="20">
        <f t="shared" si="3"/>
        <v>0.01995282671</v>
      </c>
      <c r="AA164" s="20">
        <f t="shared" si="4"/>
        <v>0</v>
      </c>
      <c r="AB164" s="20">
        <f t="shared" si="5"/>
        <v>0</v>
      </c>
      <c r="AC164" s="20">
        <f t="shared" si="6"/>
        <v>0.00000009135250065</v>
      </c>
      <c r="AD164" s="2"/>
      <c r="AE164" s="20">
        <v>0.01995282671182984</v>
      </c>
      <c r="AF164" s="20">
        <f t="shared" si="7"/>
        <v>0.00130725749</v>
      </c>
      <c r="AG164" s="20">
        <f t="shared" si="8"/>
        <v>0.00006268409069</v>
      </c>
      <c r="AH164" s="20">
        <f t="shared" si="9"/>
        <v>0.000003310350902</v>
      </c>
      <c r="AI164" s="20">
        <v>9.135250064913091E-8</v>
      </c>
      <c r="AJ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16">
        <f t="shared" si="10"/>
        <v>28.1</v>
      </c>
      <c r="X165" s="17">
        <f t="shared" si="1"/>
        <v>0</v>
      </c>
      <c r="Y165" s="17">
        <f t="shared" si="2"/>
        <v>0</v>
      </c>
      <c r="Z165" s="17">
        <f t="shared" si="3"/>
        <v>0.03314345927</v>
      </c>
      <c r="AA165" s="17">
        <f t="shared" si="4"/>
        <v>0</v>
      </c>
      <c r="AB165" s="17">
        <f t="shared" si="5"/>
        <v>0</v>
      </c>
      <c r="AC165" s="17">
        <f t="shared" si="6"/>
        <v>0.0000001751273775</v>
      </c>
      <c r="AD165" s="2"/>
      <c r="AE165" s="17">
        <v>0.0331434592718943</v>
      </c>
      <c r="AF165" s="17">
        <f t="shared" si="7"/>
        <v>0.002249107</v>
      </c>
      <c r="AG165" s="17">
        <f t="shared" si="8"/>
        <v>0.0001117538623</v>
      </c>
      <c r="AH165" s="17">
        <f t="shared" si="9"/>
        <v>0.000006118424814</v>
      </c>
      <c r="AI165" s="17">
        <v>1.7512737751809434E-7</v>
      </c>
      <c r="AJ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19">
        <f t="shared" si="10"/>
        <v>28.15</v>
      </c>
      <c r="X166" s="20">
        <f t="shared" si="1"/>
        <v>0</v>
      </c>
      <c r="Y166" s="20">
        <f t="shared" si="2"/>
        <v>0</v>
      </c>
      <c r="Z166" s="20">
        <f t="shared" si="3"/>
        <v>0.0546520265</v>
      </c>
      <c r="AA166" s="20">
        <f t="shared" si="4"/>
        <v>0</v>
      </c>
      <c r="AB166" s="20">
        <f t="shared" si="5"/>
        <v>0</v>
      </c>
      <c r="AC166" s="20">
        <f t="shared" si="6"/>
        <v>0.0000003332872113</v>
      </c>
      <c r="AD166" s="2"/>
      <c r="AE166" s="20">
        <v>0.05465202650294213</v>
      </c>
      <c r="AF166" s="20">
        <f t="shared" si="7"/>
        <v>0.003841297727</v>
      </c>
      <c r="AG166" s="20">
        <f t="shared" si="8"/>
        <v>0.0001977837274</v>
      </c>
      <c r="AH166" s="20">
        <f t="shared" si="9"/>
        <v>0.00001122618122</v>
      </c>
      <c r="AI166" s="20">
        <v>3.3328721126410565E-7</v>
      </c>
      <c r="AJ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16">
        <f t="shared" si="10"/>
        <v>28.2</v>
      </c>
      <c r="X167" s="17">
        <f t="shared" si="1"/>
        <v>0</v>
      </c>
      <c r="Y167" s="17">
        <f t="shared" si="2"/>
        <v>0</v>
      </c>
      <c r="Z167" s="17">
        <f t="shared" si="3"/>
        <v>0.08946017364</v>
      </c>
      <c r="AA167" s="17">
        <f t="shared" si="4"/>
        <v>0</v>
      </c>
      <c r="AB167" s="17">
        <f t="shared" si="5"/>
        <v>0</v>
      </c>
      <c r="AC167" s="17">
        <f t="shared" si="6"/>
        <v>0.0000006296717486</v>
      </c>
      <c r="AD167" s="2"/>
      <c r="AE167" s="17">
        <v>0.08946017363856479</v>
      </c>
      <c r="AF167" s="17">
        <f t="shared" si="7"/>
        <v>0.006512754309</v>
      </c>
      <c r="AG167" s="17">
        <f t="shared" si="8"/>
        <v>0.0003474892524</v>
      </c>
      <c r="AH167" s="17">
        <f t="shared" si="9"/>
        <v>0.00002044802156</v>
      </c>
      <c r="AI167" s="17">
        <v>6.296717485734409E-7</v>
      </c>
      <c r="AJ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19">
        <f t="shared" si="10"/>
        <v>28.25</v>
      </c>
      <c r="X168" s="20">
        <f t="shared" si="1"/>
        <v>0</v>
      </c>
      <c r="Y168" s="20">
        <f t="shared" si="2"/>
        <v>0</v>
      </c>
      <c r="Z168" s="20">
        <f t="shared" si="3"/>
        <v>0.1453678056</v>
      </c>
      <c r="AA168" s="20">
        <f t="shared" si="4"/>
        <v>0</v>
      </c>
      <c r="AB168" s="20">
        <f t="shared" si="5"/>
        <v>0</v>
      </c>
      <c r="AC168" s="20">
        <f t="shared" si="6"/>
        <v>0.000001180975015</v>
      </c>
      <c r="AD168" s="2"/>
      <c r="AE168" s="20">
        <v>0.14536780556101103</v>
      </c>
      <c r="AF168" s="20">
        <f t="shared" si="7"/>
        <v>0.01096150772</v>
      </c>
      <c r="AG168" s="20">
        <f t="shared" si="8"/>
        <v>0.0006060591327</v>
      </c>
      <c r="AH168" s="20">
        <f t="shared" si="9"/>
        <v>0.00003697407901</v>
      </c>
      <c r="AI168" s="20">
        <v>1.1809750150685858E-6</v>
      </c>
      <c r="AJ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16">
        <f t="shared" si="10"/>
        <v>28.3</v>
      </c>
      <c r="X169" s="17">
        <f t="shared" si="1"/>
        <v>0</v>
      </c>
      <c r="Y169" s="17">
        <f t="shared" si="2"/>
        <v>0</v>
      </c>
      <c r="Z169" s="17">
        <f t="shared" si="3"/>
        <v>0.234488616</v>
      </c>
      <c r="AA169" s="17">
        <f t="shared" si="4"/>
        <v>0</v>
      </c>
      <c r="AB169" s="17">
        <f t="shared" si="5"/>
        <v>0</v>
      </c>
      <c r="AC169" s="17">
        <f t="shared" si="6"/>
        <v>0.000002198862896</v>
      </c>
      <c r="AD169" s="2"/>
      <c r="AE169" s="17">
        <v>0.23448861599961146</v>
      </c>
      <c r="AF169" s="17">
        <f t="shared" si="7"/>
        <v>0.01831448737</v>
      </c>
      <c r="AG169" s="17">
        <f t="shared" si="8"/>
        <v>0.0010493284</v>
      </c>
      <c r="AH169" s="17">
        <f t="shared" si="9"/>
        <v>0.00006636976203</v>
      </c>
      <c r="AI169" s="17">
        <v>2.198862896335303E-6</v>
      </c>
      <c r="AJ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19">
        <f t="shared" si="10"/>
        <v>28.35</v>
      </c>
      <c r="X170" s="20">
        <f t="shared" si="1"/>
        <v>0</v>
      </c>
      <c r="Y170" s="20">
        <f t="shared" si="2"/>
        <v>0</v>
      </c>
      <c r="Z170" s="20">
        <f t="shared" si="3"/>
        <v>0.3754830383</v>
      </c>
      <c r="AA170" s="20">
        <f t="shared" si="4"/>
        <v>0</v>
      </c>
      <c r="AB170" s="20">
        <f t="shared" si="5"/>
        <v>0</v>
      </c>
      <c r="AC170" s="20">
        <f t="shared" si="6"/>
        <v>0.000004064307248</v>
      </c>
      <c r="AD170" s="2"/>
      <c r="AE170" s="20">
        <v>0.37548303830014856</v>
      </c>
      <c r="AF170" s="20">
        <f t="shared" si="7"/>
        <v>0.03037652663</v>
      </c>
      <c r="AG170" s="20">
        <f t="shared" si="8"/>
        <v>0.001803560265</v>
      </c>
      <c r="AH170" s="20">
        <f t="shared" si="9"/>
        <v>0.000118268743</v>
      </c>
      <c r="AI170" s="20">
        <v>4.0643072479263744E-6</v>
      </c>
      <c r="AJ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16">
        <f t="shared" si="10"/>
        <v>28.4</v>
      </c>
      <c r="X171" s="17">
        <f t="shared" si="1"/>
        <v>0</v>
      </c>
      <c r="Y171" s="17">
        <f t="shared" si="2"/>
        <v>0</v>
      </c>
      <c r="Z171" s="17">
        <f t="shared" si="3"/>
        <v>0.5968619791</v>
      </c>
      <c r="AA171" s="17">
        <f t="shared" si="4"/>
        <v>0</v>
      </c>
      <c r="AB171" s="17">
        <f t="shared" si="5"/>
        <v>0</v>
      </c>
      <c r="AC171" s="17">
        <f t="shared" si="6"/>
        <v>0.000007457716185</v>
      </c>
      <c r="AD171" s="2"/>
      <c r="AE171" s="17">
        <v>0.5968619790701902</v>
      </c>
      <c r="AF171" s="17">
        <f t="shared" si="7"/>
        <v>0.05001500697</v>
      </c>
      <c r="AG171" s="17">
        <f t="shared" si="8"/>
        <v>0.003077320243</v>
      </c>
      <c r="AH171" s="17">
        <f t="shared" si="9"/>
        <v>0.000209216786</v>
      </c>
      <c r="AI171" s="17">
        <v>7.457716184665111E-6</v>
      </c>
      <c r="AJ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19">
        <f t="shared" si="10"/>
        <v>28.45</v>
      </c>
      <c r="X172" s="20">
        <f t="shared" si="1"/>
        <v>0</v>
      </c>
      <c r="Y172" s="20">
        <f t="shared" si="2"/>
        <v>0</v>
      </c>
      <c r="Z172" s="20">
        <f t="shared" si="3"/>
        <v>0.9418300372</v>
      </c>
      <c r="AA172" s="20">
        <f t="shared" si="4"/>
        <v>0</v>
      </c>
      <c r="AB172" s="20">
        <f t="shared" si="5"/>
        <v>0</v>
      </c>
      <c r="AC172" s="20">
        <f t="shared" si="6"/>
        <v>0.00001358488951</v>
      </c>
      <c r="AD172" s="2"/>
      <c r="AE172" s="20">
        <v>0.9418300372100653</v>
      </c>
      <c r="AF172" s="20">
        <f t="shared" si="7"/>
        <v>0.08174880772</v>
      </c>
      <c r="AG172" s="20">
        <f t="shared" si="8"/>
        <v>0.00521239756</v>
      </c>
      <c r="AH172" s="20">
        <f t="shared" si="9"/>
        <v>0.0003674090894</v>
      </c>
      <c r="AI172" s="20">
        <v>1.3584889511383312E-5</v>
      </c>
      <c r="AJ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16">
        <f t="shared" si="10"/>
        <v>28.5</v>
      </c>
      <c r="X173" s="17">
        <f t="shared" si="1"/>
        <v>0</v>
      </c>
      <c r="Y173" s="17">
        <f t="shared" si="2"/>
        <v>0</v>
      </c>
      <c r="Z173" s="17">
        <f t="shared" si="3"/>
        <v>1.475319866</v>
      </c>
      <c r="AA173" s="17">
        <f t="shared" si="4"/>
        <v>0</v>
      </c>
      <c r="AB173" s="17">
        <f t="shared" si="5"/>
        <v>0</v>
      </c>
      <c r="AC173" s="17">
        <f t="shared" si="6"/>
        <v>0.00002456616184</v>
      </c>
      <c r="AD173" s="2"/>
      <c r="AE173" s="17">
        <v>1.4753198664207257</v>
      </c>
      <c r="AF173" s="17">
        <f t="shared" si="7"/>
        <v>0.1326421017</v>
      </c>
      <c r="AG173" s="17">
        <f t="shared" si="8"/>
        <v>0.008764460253</v>
      </c>
      <c r="AH173" s="17">
        <f t="shared" si="9"/>
        <v>0.0006405161596</v>
      </c>
      <c r="AI173" s="17">
        <v>2.4566161844430966E-5</v>
      </c>
      <c r="AJ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19">
        <f t="shared" si="10"/>
        <v>28.55</v>
      </c>
      <c r="X174" s="20">
        <f t="shared" si="1"/>
        <v>0</v>
      </c>
      <c r="Y174" s="20">
        <f t="shared" si="2"/>
        <v>0</v>
      </c>
      <c r="Z174" s="20">
        <f t="shared" si="3"/>
        <v>2.294113367</v>
      </c>
      <c r="AA174" s="20">
        <f t="shared" si="4"/>
        <v>0</v>
      </c>
      <c r="AB174" s="20">
        <f t="shared" si="5"/>
        <v>0</v>
      </c>
      <c r="AC174" s="20">
        <f t="shared" si="6"/>
        <v>0.00004410110243</v>
      </c>
      <c r="AD174" s="2"/>
      <c r="AE174" s="20">
        <v>2.29411336672339</v>
      </c>
      <c r="AF174" s="20">
        <f t="shared" si="7"/>
        <v>0.2136486907</v>
      </c>
      <c r="AG174" s="20">
        <f t="shared" si="8"/>
        <v>0.01462970682</v>
      </c>
      <c r="AH174" s="20">
        <f t="shared" si="9"/>
        <v>0.001108503608</v>
      </c>
      <c r="AI174" s="20">
        <v>4.410110242620823E-5</v>
      </c>
      <c r="AJ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16">
        <f t="shared" si="10"/>
        <v>28.6</v>
      </c>
      <c r="X175" s="17">
        <f t="shared" si="1"/>
        <v>0</v>
      </c>
      <c r="Y175" s="17">
        <f t="shared" si="2"/>
        <v>0</v>
      </c>
      <c r="Z175" s="17">
        <f t="shared" si="3"/>
        <v>3.541266339</v>
      </c>
      <c r="AA175" s="17">
        <f t="shared" si="4"/>
        <v>0</v>
      </c>
      <c r="AB175" s="17">
        <f t="shared" si="5"/>
        <v>0</v>
      </c>
      <c r="AC175" s="17">
        <f t="shared" si="6"/>
        <v>0.00007859456641</v>
      </c>
      <c r="AD175" s="2"/>
      <c r="AE175" s="17">
        <v>3.5412663386596304</v>
      </c>
      <c r="AF175" s="17">
        <f t="shared" si="7"/>
        <v>0.341615801</v>
      </c>
      <c r="AG175" s="17">
        <f t="shared" si="8"/>
        <v>0.02424202383</v>
      </c>
      <c r="AH175" s="17">
        <f t="shared" si="9"/>
        <v>0.001904456053</v>
      </c>
      <c r="AI175" s="17">
        <v>7.859456640859906E-5</v>
      </c>
      <c r="AJ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19">
        <f t="shared" si="10"/>
        <v>28.65</v>
      </c>
      <c r="X176" s="20">
        <f t="shared" si="1"/>
        <v>0</v>
      </c>
      <c r="Y176" s="20">
        <f t="shared" si="2"/>
        <v>0</v>
      </c>
      <c r="Z176" s="20">
        <f t="shared" si="3"/>
        <v>5.42646915</v>
      </c>
      <c r="AA176" s="20">
        <f t="shared" si="4"/>
        <v>0</v>
      </c>
      <c r="AB176" s="20">
        <f t="shared" si="5"/>
        <v>0</v>
      </c>
      <c r="AC176" s="20">
        <f t="shared" si="6"/>
        <v>0.0001390485735</v>
      </c>
      <c r="AD176" s="2"/>
      <c r="AE176" s="20">
        <v>5.426469150459326</v>
      </c>
      <c r="AF176" s="20">
        <f t="shared" si="7"/>
        <v>0.5422437293</v>
      </c>
      <c r="AG176" s="20">
        <f t="shared" si="8"/>
        <v>0.03987722498</v>
      </c>
      <c r="AH176" s="20">
        <f t="shared" si="9"/>
        <v>0.003248116703</v>
      </c>
      <c r="AI176" s="20">
        <v>1.3904857353692877E-4</v>
      </c>
      <c r="AJ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16">
        <f t="shared" si="10"/>
        <v>28.7</v>
      </c>
      <c r="X177" s="17">
        <f t="shared" si="1"/>
        <v>0</v>
      </c>
      <c r="Y177" s="17">
        <f t="shared" si="2"/>
        <v>0</v>
      </c>
      <c r="Z177" s="17">
        <f t="shared" si="3"/>
        <v>8.254506554</v>
      </c>
      <c r="AA177" s="17">
        <f t="shared" si="4"/>
        <v>0</v>
      </c>
      <c r="AB177" s="17">
        <f t="shared" si="5"/>
        <v>0</v>
      </c>
      <c r="AC177" s="17">
        <f t="shared" si="6"/>
        <v>0.0002442145261</v>
      </c>
      <c r="AD177" s="2"/>
      <c r="AE177" s="17">
        <v>8.25450655352879</v>
      </c>
      <c r="AF177" s="17">
        <f t="shared" si="7"/>
        <v>0.854417235</v>
      </c>
      <c r="AG177" s="17">
        <f t="shared" si="8"/>
        <v>0.06511840993</v>
      </c>
      <c r="AH177" s="17">
        <f t="shared" si="9"/>
        <v>0.005499448243</v>
      </c>
      <c r="AI177" s="17">
        <v>2.442145260873766E-4</v>
      </c>
      <c r="AJ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19">
        <f t="shared" si="10"/>
        <v>28.75</v>
      </c>
      <c r="X178" s="20">
        <f t="shared" si="1"/>
        <v>0</v>
      </c>
      <c r="Y178" s="20">
        <f t="shared" si="2"/>
        <v>0</v>
      </c>
      <c r="Z178" s="20">
        <f t="shared" si="3"/>
        <v>12.46464535</v>
      </c>
      <c r="AA178" s="20">
        <f t="shared" si="4"/>
        <v>0</v>
      </c>
      <c r="AB178" s="20">
        <f t="shared" si="5"/>
        <v>0</v>
      </c>
      <c r="AC178" s="20">
        <f t="shared" si="6"/>
        <v>0.0004258016955</v>
      </c>
      <c r="AD178" s="2"/>
      <c r="AE178" s="20">
        <v>12.46464534614514</v>
      </c>
      <c r="AF178" s="20">
        <f t="shared" si="7"/>
        <v>1.33648576</v>
      </c>
      <c r="AG178" s="20">
        <f t="shared" si="8"/>
        <v>0.105561475</v>
      </c>
      <c r="AH178" s="20">
        <f t="shared" si="9"/>
        <v>0.009243435993</v>
      </c>
      <c r="AI178" s="20">
        <v>4.2580169546622943E-4</v>
      </c>
      <c r="AJ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16">
        <f t="shared" si="10"/>
        <v>28.8</v>
      </c>
      <c r="X179" s="17">
        <f t="shared" si="1"/>
        <v>0</v>
      </c>
      <c r="Y179" s="17">
        <f t="shared" si="2"/>
        <v>0</v>
      </c>
      <c r="Z179" s="17">
        <f t="shared" si="3"/>
        <v>18.68459836</v>
      </c>
      <c r="AA179" s="17">
        <f t="shared" si="4"/>
        <v>0</v>
      </c>
      <c r="AB179" s="17">
        <f t="shared" si="5"/>
        <v>0</v>
      </c>
      <c r="AC179" s="17">
        <f t="shared" si="6"/>
        <v>0.0007370114234</v>
      </c>
      <c r="AD179" s="2"/>
      <c r="AE179" s="17">
        <v>18.68459835908342</v>
      </c>
      <c r="AF179" s="17">
        <f t="shared" si="7"/>
        <v>2.075284033</v>
      </c>
      <c r="AG179" s="17">
        <f t="shared" si="8"/>
        <v>0.1698751749</v>
      </c>
      <c r="AH179" s="17">
        <f t="shared" si="9"/>
        <v>0.01542320326</v>
      </c>
      <c r="AI179" s="17">
        <v>7.370114234302173E-4</v>
      </c>
      <c r="AJ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19">
        <f t="shared" si="10"/>
        <v>28.85</v>
      </c>
      <c r="X180" s="20">
        <f t="shared" si="1"/>
        <v>0</v>
      </c>
      <c r="Y180" s="20">
        <f t="shared" si="2"/>
        <v>0</v>
      </c>
      <c r="Z180" s="20">
        <f t="shared" si="3"/>
        <v>27.80370286</v>
      </c>
      <c r="AA180" s="20">
        <f t="shared" si="4"/>
        <v>0</v>
      </c>
      <c r="AB180" s="20">
        <f t="shared" si="5"/>
        <v>0</v>
      </c>
      <c r="AC180" s="20">
        <f t="shared" si="6"/>
        <v>0.001266403177</v>
      </c>
      <c r="AD180" s="2"/>
      <c r="AE180" s="20">
        <v>27.803702863342284</v>
      </c>
      <c r="AF180" s="20">
        <f t="shared" si="7"/>
        <v>3.198966023</v>
      </c>
      <c r="AG180" s="20">
        <f t="shared" si="8"/>
        <v>0.2713795934</v>
      </c>
      <c r="AH180" s="20">
        <f t="shared" si="9"/>
        <v>0.02554715548</v>
      </c>
      <c r="AI180" s="20">
        <v>0.0012664031771305413</v>
      </c>
      <c r="AJ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16">
        <f t="shared" si="10"/>
        <v>28.9</v>
      </c>
      <c r="X181" s="17">
        <f t="shared" si="1"/>
        <v>0</v>
      </c>
      <c r="Y181" s="17">
        <f t="shared" si="2"/>
        <v>0</v>
      </c>
      <c r="Z181" s="17">
        <f t="shared" si="3"/>
        <v>41.07111957</v>
      </c>
      <c r="AA181" s="17">
        <f t="shared" si="4"/>
        <v>0</v>
      </c>
      <c r="AB181" s="17">
        <f t="shared" si="5"/>
        <v>0</v>
      </c>
      <c r="AC181" s="17">
        <f t="shared" si="6"/>
        <v>0.00216023353</v>
      </c>
      <c r="AD181" s="2"/>
      <c r="AE181" s="17">
        <v>41.07111956937449</v>
      </c>
      <c r="AF181" s="17">
        <f t="shared" si="7"/>
        <v>4.895088902</v>
      </c>
      <c r="AG181" s="17">
        <f t="shared" si="8"/>
        <v>0.4303752242</v>
      </c>
      <c r="AH181" s="17">
        <f t="shared" si="9"/>
        <v>0.04200851647</v>
      </c>
      <c r="AI181" s="17">
        <v>0.002160233529672495</v>
      </c>
      <c r="AJ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19">
        <f t="shared" si="10"/>
        <v>28.95</v>
      </c>
      <c r="X182" s="20">
        <f t="shared" si="1"/>
        <v>0</v>
      </c>
      <c r="Y182" s="20">
        <f t="shared" si="2"/>
        <v>0</v>
      </c>
      <c r="Z182" s="20">
        <f t="shared" si="3"/>
        <v>60.2262019</v>
      </c>
      <c r="AA182" s="20">
        <f t="shared" si="4"/>
        <v>0</v>
      </c>
      <c r="AB182" s="20">
        <f t="shared" si="5"/>
        <v>0</v>
      </c>
      <c r="AC182" s="20">
        <f t="shared" si="6"/>
        <v>0.003658140259</v>
      </c>
      <c r="AD182" s="2"/>
      <c r="AE182" s="20">
        <v>60.2262019022273</v>
      </c>
      <c r="AF182" s="20">
        <f t="shared" si="7"/>
        <v>7.435846459</v>
      </c>
      <c r="AG182" s="20">
        <f t="shared" si="8"/>
        <v>0.6775481136</v>
      </c>
      <c r="AH182" s="20">
        <f t="shared" si="9"/>
        <v>0.06857391791</v>
      </c>
      <c r="AI182" s="20">
        <v>0.0036581402585851557</v>
      </c>
      <c r="AJ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16">
        <f t="shared" si="10"/>
        <v>29</v>
      </c>
      <c r="X183" s="17">
        <f t="shared" si="1"/>
        <v>0</v>
      </c>
      <c r="Y183" s="17">
        <f t="shared" si="2"/>
        <v>0</v>
      </c>
      <c r="Z183" s="17">
        <f t="shared" si="3"/>
        <v>87.66968398</v>
      </c>
      <c r="AA183" s="17">
        <f t="shared" si="4"/>
        <v>0</v>
      </c>
      <c r="AB183" s="17">
        <f t="shared" si="5"/>
        <v>0</v>
      </c>
      <c r="AC183" s="17">
        <f t="shared" si="6"/>
        <v>0.006149657693</v>
      </c>
      <c r="AD183" s="2"/>
      <c r="AE183" s="17">
        <v>87.6696839830784</v>
      </c>
      <c r="AF183" s="17">
        <f t="shared" si="7"/>
        <v>11.21293016</v>
      </c>
      <c r="AG183" s="17">
        <f t="shared" si="8"/>
        <v>1.058902132</v>
      </c>
      <c r="AH183" s="17">
        <f t="shared" si="9"/>
        <v>0.1111238825</v>
      </c>
      <c r="AI183" s="17">
        <v>0.006149657693395069</v>
      </c>
      <c r="AJ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19">
        <f t="shared" si="10"/>
        <v>29.05</v>
      </c>
      <c r="X184" s="20">
        <f t="shared" si="1"/>
        <v>0</v>
      </c>
      <c r="Y184" s="20">
        <f t="shared" si="2"/>
        <v>0</v>
      </c>
      <c r="Z184" s="20">
        <f t="shared" si="3"/>
        <v>126.6859457</v>
      </c>
      <c r="AA184" s="20">
        <f t="shared" si="4"/>
        <v>0</v>
      </c>
      <c r="AB184" s="20">
        <f t="shared" si="5"/>
        <v>0</v>
      </c>
      <c r="AC184" s="20">
        <f t="shared" si="6"/>
        <v>0.0102629561</v>
      </c>
      <c r="AD184" s="2"/>
      <c r="AE184" s="20">
        <v>126.68594565996837</v>
      </c>
      <c r="AF184" s="20">
        <f t="shared" si="7"/>
        <v>16.78520672</v>
      </c>
      <c r="AG184" s="20">
        <f t="shared" si="8"/>
        <v>1.642836371</v>
      </c>
      <c r="AH184" s="20">
        <f t="shared" si="9"/>
        <v>0.1787650747</v>
      </c>
      <c r="AI184" s="20">
        <v>0.010262956096441863</v>
      </c>
      <c r="AJ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16">
        <f t="shared" si="10"/>
        <v>29.1</v>
      </c>
      <c r="X185" s="17">
        <f t="shared" si="1"/>
        <v>0</v>
      </c>
      <c r="Y185" s="17">
        <f t="shared" si="2"/>
        <v>0</v>
      </c>
      <c r="Z185" s="17">
        <f t="shared" si="3"/>
        <v>181.7282587</v>
      </c>
      <c r="AA185" s="17">
        <f t="shared" si="4"/>
        <v>0</v>
      </c>
      <c r="AB185" s="17">
        <f t="shared" si="5"/>
        <v>0</v>
      </c>
      <c r="AC185" s="17">
        <f t="shared" si="6"/>
        <v>0.01700297588</v>
      </c>
      <c r="AD185" s="2"/>
      <c r="AE185" s="17">
        <v>181.7282587253528</v>
      </c>
      <c r="AF185" s="17">
        <f t="shared" si="7"/>
        <v>24.94325605</v>
      </c>
      <c r="AG185" s="17">
        <f t="shared" si="8"/>
        <v>2.530204359</v>
      </c>
      <c r="AH185" s="17">
        <f t="shared" si="9"/>
        <v>0.2854859685</v>
      </c>
      <c r="AI185" s="17">
        <v>0.017002975882453874</v>
      </c>
      <c r="AJ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19">
        <f t="shared" si="10"/>
        <v>29.15</v>
      </c>
      <c r="X186" s="20">
        <f t="shared" si="1"/>
        <v>0</v>
      </c>
      <c r="Y186" s="20">
        <f t="shared" si="2"/>
        <v>0</v>
      </c>
      <c r="Z186" s="20">
        <f t="shared" si="3"/>
        <v>258.780486</v>
      </c>
      <c r="AA186" s="20">
        <f t="shared" si="4"/>
        <v>0</v>
      </c>
      <c r="AB186" s="20">
        <f t="shared" si="5"/>
        <v>0</v>
      </c>
      <c r="AC186" s="20">
        <f t="shared" si="6"/>
        <v>0.02796458287</v>
      </c>
      <c r="AD186" s="2"/>
      <c r="AE186" s="20">
        <v>258.78048601728244</v>
      </c>
      <c r="AF186" s="20">
        <f t="shared" si="7"/>
        <v>36.79581861</v>
      </c>
      <c r="AG186" s="20">
        <f t="shared" si="8"/>
        <v>3.868474103</v>
      </c>
      <c r="AH186" s="20">
        <f t="shared" si="9"/>
        <v>0.4525990996</v>
      </c>
      <c r="AI186" s="20">
        <v>0.02796458287447553</v>
      </c>
      <c r="AJ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16">
        <f t="shared" si="10"/>
        <v>29.2</v>
      </c>
      <c r="X187" s="17">
        <f t="shared" si="1"/>
        <v>0</v>
      </c>
      <c r="Y187" s="17">
        <f t="shared" si="2"/>
        <v>0</v>
      </c>
      <c r="Z187" s="17">
        <f t="shared" si="3"/>
        <v>365.8100344</v>
      </c>
      <c r="AA187" s="17">
        <f t="shared" si="4"/>
        <v>0</v>
      </c>
      <c r="AB187" s="17">
        <f t="shared" si="5"/>
        <v>0</v>
      </c>
      <c r="AC187" s="17">
        <f t="shared" si="6"/>
        <v>0.0456586106</v>
      </c>
      <c r="AD187" s="2"/>
      <c r="AE187" s="17">
        <v>365.8100343651148</v>
      </c>
      <c r="AF187" s="17">
        <f t="shared" si="7"/>
        <v>53.88435234</v>
      </c>
      <c r="AG187" s="17">
        <f t="shared" si="8"/>
        <v>5.871466564</v>
      </c>
      <c r="AH187" s="17">
        <f t="shared" si="9"/>
        <v>0.7123106347</v>
      </c>
      <c r="AI187" s="17">
        <v>0.04565861060101255</v>
      </c>
      <c r="AJ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19">
        <f t="shared" si="10"/>
        <v>29.25</v>
      </c>
      <c r="X188" s="20">
        <f t="shared" si="1"/>
        <v>0</v>
      </c>
      <c r="Y188" s="20">
        <f t="shared" si="2"/>
        <v>0</v>
      </c>
      <c r="Z188" s="20">
        <f t="shared" si="3"/>
        <v>513.3277418</v>
      </c>
      <c r="AA188" s="20">
        <f t="shared" si="4"/>
        <v>0</v>
      </c>
      <c r="AB188" s="20">
        <f t="shared" si="5"/>
        <v>0</v>
      </c>
      <c r="AC188" s="20">
        <f t="shared" si="6"/>
        <v>0.07400617816</v>
      </c>
      <c r="AD188" s="2"/>
      <c r="AE188" s="20">
        <v>513.3277417610966</v>
      </c>
      <c r="AF188" s="20">
        <f t="shared" si="7"/>
        <v>78.33317665</v>
      </c>
      <c r="AG188" s="20">
        <f t="shared" si="8"/>
        <v>8.846598027</v>
      </c>
      <c r="AH188" s="20">
        <f t="shared" si="9"/>
        <v>1.112889374</v>
      </c>
      <c r="AI188" s="20">
        <v>0.07400617815625818</v>
      </c>
      <c r="AJ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16">
        <f t="shared" si="10"/>
        <v>29.3</v>
      </c>
      <c r="X189" s="17">
        <f t="shared" si="1"/>
        <v>0</v>
      </c>
      <c r="Y189" s="17">
        <f t="shared" si="2"/>
        <v>0</v>
      </c>
      <c r="Z189" s="17">
        <f t="shared" si="3"/>
        <v>715.070543</v>
      </c>
      <c r="AA189" s="17">
        <f t="shared" si="4"/>
        <v>0</v>
      </c>
      <c r="AB189" s="17">
        <f t="shared" si="5"/>
        <v>0</v>
      </c>
      <c r="AC189" s="17">
        <f t="shared" si="6"/>
        <v>0.1190814738</v>
      </c>
      <c r="AD189" s="2"/>
      <c r="AE189" s="17">
        <v>715.0705430329361</v>
      </c>
      <c r="AF189" s="17">
        <f t="shared" si="7"/>
        <v>113.0440437</v>
      </c>
      <c r="AG189" s="17">
        <f t="shared" si="8"/>
        <v>13.23210079</v>
      </c>
      <c r="AH189" s="17">
        <f t="shared" si="9"/>
        <v>1.72608186</v>
      </c>
      <c r="AI189" s="17">
        <v>0.11908147383585853</v>
      </c>
      <c r="AJ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19">
        <f t="shared" si="10"/>
        <v>29.35</v>
      </c>
      <c r="X190" s="20">
        <f t="shared" si="1"/>
        <v>0</v>
      </c>
      <c r="Y190" s="20">
        <f t="shared" si="2"/>
        <v>0</v>
      </c>
      <c r="Z190" s="20">
        <f t="shared" si="3"/>
        <v>988.8218887</v>
      </c>
      <c r="AA190" s="20">
        <f t="shared" si="4"/>
        <v>0</v>
      </c>
      <c r="AB190" s="20">
        <f t="shared" si="5"/>
        <v>0</v>
      </c>
      <c r="AC190" s="20">
        <f t="shared" si="6"/>
        <v>0.190217892</v>
      </c>
      <c r="AD190" s="2"/>
      <c r="AE190" s="20">
        <v>988.8218886940706</v>
      </c>
      <c r="AF190" s="20">
        <f t="shared" si="7"/>
        <v>161.9453576</v>
      </c>
      <c r="AG190" s="20">
        <f t="shared" si="8"/>
        <v>19.64735581</v>
      </c>
      <c r="AH190" s="20">
        <f t="shared" si="9"/>
        <v>2.657648897</v>
      </c>
      <c r="AI190" s="20">
        <v>0.19021789202637904</v>
      </c>
      <c r="AJ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16">
        <f t="shared" si="10"/>
        <v>29.4</v>
      </c>
      <c r="X191" s="17">
        <f t="shared" si="1"/>
        <v>0</v>
      </c>
      <c r="Y191" s="17">
        <f t="shared" si="2"/>
        <v>0</v>
      </c>
      <c r="Z191" s="17">
        <f t="shared" si="3"/>
        <v>1357.382626</v>
      </c>
      <c r="AA191" s="17">
        <f t="shared" si="4"/>
        <v>0</v>
      </c>
      <c r="AB191" s="17">
        <f t="shared" si="5"/>
        <v>0</v>
      </c>
      <c r="AC191" s="17">
        <f t="shared" si="6"/>
        <v>0.3016403716</v>
      </c>
      <c r="AD191" s="2"/>
      <c r="AE191" s="17">
        <v>1357.3826264092777</v>
      </c>
      <c r="AF191" s="17">
        <f t="shared" si="7"/>
        <v>230.3075606</v>
      </c>
      <c r="AG191" s="17">
        <f t="shared" si="8"/>
        <v>28.96024451</v>
      </c>
      <c r="AH191" s="17">
        <f t="shared" si="9"/>
        <v>4.062193881</v>
      </c>
      <c r="AI191" s="17">
        <v>0.30164037158596074</v>
      </c>
      <c r="AJ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19">
        <f t="shared" si="10"/>
        <v>29.45</v>
      </c>
      <c r="X192" s="20">
        <f t="shared" si="1"/>
        <v>0</v>
      </c>
      <c r="Y192" s="20">
        <f t="shared" si="2"/>
        <v>0</v>
      </c>
      <c r="Z192" s="20">
        <f t="shared" si="3"/>
        <v>1849.701003</v>
      </c>
      <c r="AA192" s="20">
        <f t="shared" si="4"/>
        <v>0</v>
      </c>
      <c r="AB192" s="20">
        <f t="shared" si="5"/>
        <v>0</v>
      </c>
      <c r="AC192" s="20">
        <f t="shared" si="6"/>
        <v>0.4748522594</v>
      </c>
      <c r="AD192" s="2"/>
      <c r="AE192" s="20">
        <v>1849.7010033928425</v>
      </c>
      <c r="AF192" s="20">
        <f t="shared" si="7"/>
        <v>325.1372749</v>
      </c>
      <c r="AG192" s="20">
        <f t="shared" si="8"/>
        <v>42.3763105</v>
      </c>
      <c r="AH192" s="20">
        <f t="shared" si="9"/>
        <v>6.163828046</v>
      </c>
      <c r="AI192" s="20">
        <v>0.47485225944397086</v>
      </c>
      <c r="AJ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16">
        <f t="shared" si="10"/>
        <v>29.5</v>
      </c>
      <c r="X193" s="17">
        <f t="shared" si="1"/>
        <v>0</v>
      </c>
      <c r="Y193" s="17">
        <f t="shared" si="2"/>
        <v>0</v>
      </c>
      <c r="Z193" s="17">
        <f t="shared" si="3"/>
        <v>2502.164218</v>
      </c>
      <c r="AA193" s="17">
        <f t="shared" si="4"/>
        <v>0</v>
      </c>
      <c r="AB193" s="17">
        <f t="shared" si="5"/>
        <v>0</v>
      </c>
      <c r="AC193" s="17">
        <f t="shared" si="6"/>
        <v>0.7420932642</v>
      </c>
      <c r="AD193" s="2"/>
      <c r="AE193" s="17">
        <v>2502.164218317445</v>
      </c>
      <c r="AF193" s="17">
        <f t="shared" si="7"/>
        <v>455.6634575</v>
      </c>
      <c r="AG193" s="17">
        <f t="shared" si="8"/>
        <v>61.55550009</v>
      </c>
      <c r="AH193" s="17">
        <f t="shared" si="9"/>
        <v>9.284685691</v>
      </c>
      <c r="AI193" s="17">
        <v>0.7420932642157185</v>
      </c>
      <c r="AJ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19">
        <f t="shared" si="10"/>
        <v>29.55</v>
      </c>
      <c r="X194" s="20">
        <f t="shared" si="1"/>
        <v>0</v>
      </c>
      <c r="Y194" s="20">
        <f t="shared" si="2"/>
        <v>0</v>
      </c>
      <c r="Z194" s="20">
        <f t="shared" si="3"/>
        <v>3360.045184</v>
      </c>
      <c r="AA194" s="20">
        <f t="shared" si="4"/>
        <v>0</v>
      </c>
      <c r="AB194" s="20">
        <f t="shared" si="5"/>
        <v>0</v>
      </c>
      <c r="AC194" s="20">
        <f t="shared" si="6"/>
        <v>1.151302399</v>
      </c>
      <c r="AD194" s="2"/>
      <c r="AE194" s="20">
        <v>3360.045183803895</v>
      </c>
      <c r="AF194" s="20">
        <f t="shared" si="7"/>
        <v>633.9288465</v>
      </c>
      <c r="AG194" s="20">
        <f t="shared" si="8"/>
        <v>88.76328976</v>
      </c>
      <c r="AH194" s="20">
        <f t="shared" si="9"/>
        <v>13.8838759</v>
      </c>
      <c r="AI194" s="20">
        <v>1.1513023989338158</v>
      </c>
      <c r="AJ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16">
        <f t="shared" si="10"/>
        <v>29.6</v>
      </c>
      <c r="X195" s="17">
        <f t="shared" si="1"/>
        <v>0</v>
      </c>
      <c r="Y195" s="17">
        <f t="shared" si="2"/>
        <v>0</v>
      </c>
      <c r="Z195" s="17">
        <f t="shared" si="3"/>
        <v>4479.086576</v>
      </c>
      <c r="AA195" s="17">
        <f t="shared" si="4"/>
        <v>0</v>
      </c>
      <c r="AB195" s="17">
        <f t="shared" si="5"/>
        <v>0</v>
      </c>
      <c r="AC195" s="17">
        <f t="shared" si="6"/>
        <v>1.773173649</v>
      </c>
      <c r="AD195" s="2"/>
      <c r="AE195" s="17">
        <v>4479.086576420956</v>
      </c>
      <c r="AF195" s="17">
        <f t="shared" si="7"/>
        <v>875.4990948</v>
      </c>
      <c r="AG195" s="17">
        <f t="shared" si="8"/>
        <v>127.0640575</v>
      </c>
      <c r="AH195" s="17">
        <f t="shared" si="9"/>
        <v>20.61014582</v>
      </c>
      <c r="AI195" s="17">
        <v>1.7731736491003531</v>
      </c>
      <c r="AJ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19">
        <f t="shared" si="10"/>
        <v>29.65</v>
      </c>
      <c r="X196" s="20">
        <f t="shared" si="1"/>
        <v>0</v>
      </c>
      <c r="Y196" s="20">
        <f t="shared" si="2"/>
        <v>0</v>
      </c>
      <c r="Z196" s="20">
        <f t="shared" si="3"/>
        <v>5927.189708</v>
      </c>
      <c r="AA196" s="20">
        <f t="shared" si="4"/>
        <v>0</v>
      </c>
      <c r="AB196" s="20">
        <f t="shared" si="5"/>
        <v>0</v>
      </c>
      <c r="AC196" s="20">
        <f t="shared" si="6"/>
        <v>2.711090823</v>
      </c>
      <c r="AD196" s="2"/>
      <c r="AE196" s="20">
        <v>5927.189707984945</v>
      </c>
      <c r="AF196" s="20">
        <f t="shared" si="7"/>
        <v>1200.299878</v>
      </c>
      <c r="AG196" s="20">
        <f t="shared" si="8"/>
        <v>180.5655325</v>
      </c>
      <c r="AH196" s="20">
        <f t="shared" si="9"/>
        <v>30.37233845</v>
      </c>
      <c r="AI196" s="20">
        <v>2.7110908229185773</v>
      </c>
      <c r="AJ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16">
        <f t="shared" si="10"/>
        <v>29.7</v>
      </c>
      <c r="X197" s="17">
        <f t="shared" si="1"/>
        <v>0</v>
      </c>
      <c r="Y197" s="17">
        <f t="shared" si="2"/>
        <v>0</v>
      </c>
      <c r="Z197" s="17">
        <f t="shared" si="3"/>
        <v>7786.158307</v>
      </c>
      <c r="AA197" s="17">
        <f t="shared" si="4"/>
        <v>0</v>
      </c>
      <c r="AB197" s="17">
        <f t="shared" si="5"/>
        <v>0</v>
      </c>
      <c r="AC197" s="17">
        <f t="shared" si="6"/>
        <v>4.114980716</v>
      </c>
      <c r="AD197" s="2"/>
      <c r="AE197" s="17">
        <v>7786.158307029493</v>
      </c>
      <c r="AF197" s="17">
        <f t="shared" si="7"/>
        <v>1633.588608</v>
      </c>
      <c r="AG197" s="17">
        <f t="shared" si="8"/>
        <v>254.7239559</v>
      </c>
      <c r="AH197" s="17">
        <f t="shared" si="9"/>
        <v>44.43265064</v>
      </c>
      <c r="AI197" s="17">
        <v>4.114980715519663</v>
      </c>
      <c r="AJ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19">
        <f t="shared" si="10"/>
        <v>29.75</v>
      </c>
      <c r="X198" s="20">
        <f t="shared" si="1"/>
        <v>0</v>
      </c>
      <c r="Y198" s="20">
        <f t="shared" si="2"/>
        <v>0</v>
      </c>
      <c r="Z198" s="20">
        <f t="shared" si="3"/>
        <v>10153.42727</v>
      </c>
      <c r="AA198" s="20">
        <f t="shared" si="4"/>
        <v>0</v>
      </c>
      <c r="AB198" s="20">
        <f t="shared" si="5"/>
        <v>0</v>
      </c>
      <c r="AC198" s="20">
        <f t="shared" si="6"/>
        <v>6.200439593</v>
      </c>
      <c r="AD198" s="2"/>
      <c r="AE198" s="20">
        <v>10153.42727494037</v>
      </c>
      <c r="AF198" s="20">
        <f t="shared" si="7"/>
        <v>2207.06185</v>
      </c>
      <c r="AG198" s="20">
        <f t="shared" si="8"/>
        <v>356.7200599</v>
      </c>
      <c r="AH198" s="20">
        <f t="shared" si="9"/>
        <v>64.52871814</v>
      </c>
      <c r="AI198" s="20">
        <v>6.200439592601827</v>
      </c>
      <c r="AJ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16">
        <f t="shared" si="10"/>
        <v>29.8</v>
      </c>
      <c r="X199" s="17">
        <f t="shared" si="1"/>
        <v>0</v>
      </c>
      <c r="Y199" s="17">
        <f t="shared" si="2"/>
        <v>0</v>
      </c>
      <c r="Z199" s="17">
        <f t="shared" si="3"/>
        <v>13143.68453</v>
      </c>
      <c r="AA199" s="17">
        <f t="shared" si="4"/>
        <v>0</v>
      </c>
      <c r="AB199" s="17">
        <f t="shared" si="5"/>
        <v>0</v>
      </c>
      <c r="AC199" s="17">
        <f t="shared" si="6"/>
        <v>9.274875666</v>
      </c>
      <c r="AD199" s="2"/>
      <c r="AE199" s="17">
        <v>13143.684526485129</v>
      </c>
      <c r="AF199" s="17">
        <f t="shared" si="7"/>
        <v>2960.091837</v>
      </c>
      <c r="AG199" s="17">
        <f t="shared" si="8"/>
        <v>495.9159513</v>
      </c>
      <c r="AH199" s="17">
        <f t="shared" si="9"/>
        <v>93.03164039</v>
      </c>
      <c r="AI199" s="17">
        <v>9.27487566581797</v>
      </c>
      <c r="AJ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19">
        <f t="shared" si="10"/>
        <v>29.85</v>
      </c>
      <c r="X200" s="20">
        <f t="shared" si="1"/>
        <v>0</v>
      </c>
      <c r="Y200" s="20">
        <f t="shared" si="2"/>
        <v>0</v>
      </c>
      <c r="Z200" s="20">
        <f t="shared" si="3"/>
        <v>16890.27116</v>
      </c>
      <c r="AA200" s="20">
        <f t="shared" si="4"/>
        <v>0</v>
      </c>
      <c r="AB200" s="20">
        <f t="shared" si="5"/>
        <v>0</v>
      </c>
      <c r="AC200" s="20">
        <f t="shared" si="6"/>
        <v>13.77287643</v>
      </c>
      <c r="AD200" s="2"/>
      <c r="AE200" s="20">
        <v>16890.271164824797</v>
      </c>
      <c r="AF200" s="20">
        <f t="shared" si="7"/>
        <v>3941.075368</v>
      </c>
      <c r="AG200" s="20">
        <f t="shared" si="8"/>
        <v>684.4022476</v>
      </c>
      <c r="AH200" s="20">
        <f t="shared" si="9"/>
        <v>133.1481524</v>
      </c>
      <c r="AI200" s="20">
        <v>13.772876434554309</v>
      </c>
      <c r="AJ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16">
        <f t="shared" si="10"/>
        <v>29.9</v>
      </c>
      <c r="X201" s="17">
        <f t="shared" si="1"/>
        <v>0</v>
      </c>
      <c r="Y201" s="17">
        <f t="shared" si="2"/>
        <v>0</v>
      </c>
      <c r="Z201" s="17">
        <f t="shared" si="3"/>
        <v>21546.22291</v>
      </c>
      <c r="AA201" s="17">
        <f t="shared" si="4"/>
        <v>0</v>
      </c>
      <c r="AB201" s="17">
        <f t="shared" si="5"/>
        <v>0</v>
      </c>
      <c r="AC201" s="17">
        <f t="shared" si="6"/>
        <v>20.30355775</v>
      </c>
      <c r="AD201" s="2"/>
      <c r="AE201" s="17">
        <v>21546.222906867264</v>
      </c>
      <c r="AF201" s="17">
        <f t="shared" si="7"/>
        <v>5208.865805</v>
      </c>
      <c r="AG201" s="17">
        <f t="shared" si="8"/>
        <v>937.6431398</v>
      </c>
      <c r="AH201" s="17">
        <f t="shared" si="9"/>
        <v>189.1761728</v>
      </c>
      <c r="AI201" s="17">
        <v>20.303557748516944</v>
      </c>
      <c r="AJ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19">
        <f t="shared" si="10"/>
        <v>29.95</v>
      </c>
      <c r="X202" s="20">
        <f t="shared" si="1"/>
        <v>0</v>
      </c>
      <c r="Y202" s="20">
        <f t="shared" si="2"/>
        <v>0</v>
      </c>
      <c r="Z202" s="20">
        <f t="shared" si="3"/>
        <v>27284.7957</v>
      </c>
      <c r="AA202" s="20">
        <f t="shared" si="4"/>
        <v>0</v>
      </c>
      <c r="AB202" s="20">
        <f t="shared" si="5"/>
        <v>0</v>
      </c>
      <c r="AC202" s="20">
        <f t="shared" si="6"/>
        <v>29.71327881</v>
      </c>
      <c r="AD202" s="2"/>
      <c r="AE202" s="20">
        <v>27284.795698084345</v>
      </c>
      <c r="AF202" s="20">
        <f t="shared" si="7"/>
        <v>6834.243858</v>
      </c>
      <c r="AG202" s="20">
        <f t="shared" si="8"/>
        <v>1275.224177</v>
      </c>
      <c r="AH202" s="20">
        <f t="shared" si="9"/>
        <v>266.8237911</v>
      </c>
      <c r="AI202" s="20">
        <v>29.71327880931699</v>
      </c>
      <c r="AJ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16">
        <f t="shared" si="10"/>
        <v>30</v>
      </c>
      <c r="X203" s="17">
        <f t="shared" si="1"/>
        <v>0</v>
      </c>
      <c r="Y203" s="17">
        <f t="shared" si="2"/>
        <v>0</v>
      </c>
      <c r="Z203" s="17">
        <f t="shared" si="3"/>
        <v>34299.30303</v>
      </c>
      <c r="AA203" s="17">
        <f t="shared" si="4"/>
        <v>0</v>
      </c>
      <c r="AB203" s="17">
        <f t="shared" si="5"/>
        <v>0</v>
      </c>
      <c r="AC203" s="17">
        <f t="shared" si="6"/>
        <v>43.16780342</v>
      </c>
      <c r="AD203" s="2"/>
      <c r="AE203" s="17">
        <v>34299.303026556736</v>
      </c>
      <c r="AF203" s="17">
        <f t="shared" si="7"/>
        <v>8901.365767</v>
      </c>
      <c r="AG203" s="17">
        <f t="shared" si="8"/>
        <v>1721.703249</v>
      </c>
      <c r="AH203" s="17">
        <f t="shared" si="9"/>
        <v>373.6022565</v>
      </c>
      <c r="AI203" s="17">
        <v>43.16780341861598</v>
      </c>
      <c r="AJ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19">
        <f t="shared" si="10"/>
        <v>30.05</v>
      </c>
      <c r="X204" s="20">
        <f t="shared" si="1"/>
        <v>0</v>
      </c>
      <c r="Y204" s="20">
        <f t="shared" si="2"/>
        <v>0</v>
      </c>
      <c r="Z204" s="20">
        <f t="shared" si="3"/>
        <v>42802.08402</v>
      </c>
      <c r="AA204" s="20">
        <f t="shared" si="4"/>
        <v>0</v>
      </c>
      <c r="AB204" s="20">
        <f t="shared" si="5"/>
        <v>0</v>
      </c>
      <c r="AC204" s="20">
        <f t="shared" si="6"/>
        <v>62.2587306</v>
      </c>
      <c r="AD204" s="2"/>
      <c r="AE204" s="20">
        <v>42802.08401907134</v>
      </c>
      <c r="AF204" s="20">
        <f t="shared" si="7"/>
        <v>11509.10882</v>
      </c>
      <c r="AG204" s="20">
        <f t="shared" si="8"/>
        <v>2307.559267</v>
      </c>
      <c r="AH204" s="20">
        <f t="shared" si="9"/>
        <v>519.3035072</v>
      </c>
      <c r="AI204" s="20">
        <v>62.25873060160327</v>
      </c>
      <c r="AJ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16">
        <f t="shared" si="10"/>
        <v>30.1</v>
      </c>
      <c r="X205" s="17">
        <f t="shared" si="1"/>
        <v>0</v>
      </c>
      <c r="Y205" s="17">
        <f t="shared" si="2"/>
        <v>0</v>
      </c>
      <c r="Z205" s="17">
        <f t="shared" si="3"/>
        <v>53022.42255</v>
      </c>
      <c r="AA205" s="17">
        <f t="shared" si="4"/>
        <v>0</v>
      </c>
      <c r="AB205" s="17">
        <f t="shared" si="5"/>
        <v>0</v>
      </c>
      <c r="AC205" s="17">
        <f t="shared" si="6"/>
        <v>89.13977058</v>
      </c>
      <c r="AD205" s="2"/>
      <c r="AE205" s="17">
        <v>53022.42255179837</v>
      </c>
      <c r="AF205" s="17">
        <f t="shared" si="7"/>
        <v>14772.21499</v>
      </c>
      <c r="AG205" s="17">
        <f t="shared" si="8"/>
        <v>3070.225209</v>
      </c>
      <c r="AH205" s="17">
        <f t="shared" si="9"/>
        <v>716.5720188</v>
      </c>
      <c r="AI205" s="17">
        <v>89.13977058109182</v>
      </c>
      <c r="AJ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19">
        <f t="shared" si="10"/>
        <v>30.15</v>
      </c>
      <c r="X206" s="20">
        <f t="shared" si="1"/>
        <v>0</v>
      </c>
      <c r="Y206" s="20">
        <f t="shared" si="2"/>
        <v>0</v>
      </c>
      <c r="Z206" s="20">
        <f t="shared" si="3"/>
        <v>65203.25083</v>
      </c>
      <c r="AA206" s="20">
        <f t="shared" si="4"/>
        <v>0</v>
      </c>
      <c r="AB206" s="20">
        <f t="shared" si="5"/>
        <v>0</v>
      </c>
      <c r="AC206" s="20">
        <f t="shared" si="6"/>
        <v>126.6991501</v>
      </c>
      <c r="AD206" s="2"/>
      <c r="AE206" s="20">
        <v>65203.25082889551</v>
      </c>
      <c r="AF206" s="20">
        <f t="shared" si="7"/>
        <v>18822.11473</v>
      </c>
      <c r="AG206" s="20">
        <f t="shared" si="8"/>
        <v>4055.182521</v>
      </c>
      <c r="AH206" s="20">
        <f t="shared" si="9"/>
        <v>981.5790041</v>
      </c>
      <c r="AI206" s="20">
        <v>126.69915008309495</v>
      </c>
      <c r="AJ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16">
        <f t="shared" si="10"/>
        <v>30.2</v>
      </c>
      <c r="X207" s="17">
        <f t="shared" si="1"/>
        <v>0</v>
      </c>
      <c r="Y207" s="17">
        <f t="shared" si="2"/>
        <v>0</v>
      </c>
      <c r="Z207" s="17">
        <f t="shared" si="3"/>
        <v>79596.49834</v>
      </c>
      <c r="AA207" s="17">
        <f t="shared" si="4"/>
        <v>0</v>
      </c>
      <c r="AB207" s="17">
        <f t="shared" si="5"/>
        <v>0</v>
      </c>
      <c r="AC207" s="17">
        <f t="shared" si="6"/>
        <v>178.7750179</v>
      </c>
      <c r="AD207" s="2"/>
      <c r="AE207" s="17">
        <v>79596.49834354068</v>
      </c>
      <c r="AF207" s="17">
        <f t="shared" si="7"/>
        <v>23807.29682</v>
      </c>
      <c r="AG207" s="17">
        <f t="shared" si="8"/>
        <v>5317.082309</v>
      </c>
      <c r="AH207" s="17">
        <f t="shared" si="9"/>
        <v>1334.804001</v>
      </c>
      <c r="AI207" s="17">
        <v>178.7750179371916</v>
      </c>
      <c r="AJ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19">
        <f t="shared" si="10"/>
        <v>30.25</v>
      </c>
      <c r="X208" s="20">
        <f t="shared" si="1"/>
        <v>0</v>
      </c>
      <c r="Y208" s="20">
        <f t="shared" si="2"/>
        <v>0</v>
      </c>
      <c r="Z208" s="20">
        <f t="shared" si="3"/>
        <v>96456.9904</v>
      </c>
      <c r="AA208" s="20">
        <f t="shared" si="4"/>
        <v>0</v>
      </c>
      <c r="AB208" s="20">
        <f t="shared" si="5"/>
        <v>0</v>
      </c>
      <c r="AC208" s="20">
        <f t="shared" si="6"/>
        <v>250.421088</v>
      </c>
      <c r="AD208" s="2"/>
      <c r="AE208" s="20">
        <v>96456.9904027465</v>
      </c>
      <c r="AF208" s="20">
        <f t="shared" si="7"/>
        <v>29893.07768</v>
      </c>
      <c r="AG208" s="20">
        <f t="shared" si="8"/>
        <v>6920.84566</v>
      </c>
      <c r="AH208" s="20">
        <f t="shared" si="9"/>
        <v>1801.924393</v>
      </c>
      <c r="AI208" s="20">
        <v>250.42108802431207</v>
      </c>
      <c r="AJ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16">
        <f t="shared" si="10"/>
        <v>30.3</v>
      </c>
      <c r="X209" s="17">
        <f t="shared" si="1"/>
        <v>0</v>
      </c>
      <c r="Y209" s="17">
        <f t="shared" si="2"/>
        <v>0</v>
      </c>
      <c r="Z209" s="17">
        <f t="shared" si="3"/>
        <v>116034.8601</v>
      </c>
      <c r="AA209" s="17">
        <f t="shared" si="4"/>
        <v>0</v>
      </c>
      <c r="AB209" s="17">
        <f t="shared" si="5"/>
        <v>0</v>
      </c>
      <c r="AC209" s="17">
        <f t="shared" si="6"/>
        <v>348.2297773</v>
      </c>
      <c r="AD209" s="2"/>
      <c r="AE209" s="17">
        <v>116034.86014050004</v>
      </c>
      <c r="AF209" s="17">
        <f t="shared" si="7"/>
        <v>37260.61752</v>
      </c>
      <c r="AG209" s="17">
        <f t="shared" si="8"/>
        <v>8942.681207</v>
      </c>
      <c r="AH209" s="17">
        <f t="shared" si="9"/>
        <v>2414.807153</v>
      </c>
      <c r="AI209" s="17">
        <v>348.2297772996826</v>
      </c>
      <c r="AJ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19">
        <f t="shared" si="10"/>
        <v>30.35</v>
      </c>
      <c r="X210" s="20">
        <f t="shared" si="1"/>
        <v>0</v>
      </c>
      <c r="Y210" s="20">
        <f t="shared" si="2"/>
        <v>0</v>
      </c>
      <c r="Z210" s="20">
        <f t="shared" si="3"/>
        <v>138566.5137</v>
      </c>
      <c r="AA210" s="20">
        <f t="shared" si="4"/>
        <v>0</v>
      </c>
      <c r="AB210" s="20">
        <f t="shared" si="5"/>
        <v>0</v>
      </c>
      <c r="AC210" s="20">
        <f t="shared" si="6"/>
        <v>480.7196239</v>
      </c>
      <c r="AD210" s="2"/>
      <c r="AE210" s="20">
        <v>138566.51366356658</v>
      </c>
      <c r="AF210" s="20">
        <f t="shared" si="7"/>
        <v>46105.03323</v>
      </c>
      <c r="AG210" s="20">
        <f t="shared" si="8"/>
        <v>11470.94343</v>
      </c>
      <c r="AH210" s="20">
        <f t="shared" si="9"/>
        <v>3212.588998</v>
      </c>
      <c r="AI210" s="20">
        <v>480.71962388597944</v>
      </c>
      <c r="AJ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16">
        <f t="shared" si="10"/>
        <v>30.4</v>
      </c>
      <c r="X211" s="17">
        <f t="shared" si="1"/>
        <v>0</v>
      </c>
      <c r="Y211" s="17">
        <f t="shared" si="2"/>
        <v>0</v>
      </c>
      <c r="Z211" s="17">
        <f t="shared" si="3"/>
        <v>164264.2778</v>
      </c>
      <c r="AA211" s="17">
        <f t="shared" si="4"/>
        <v>0</v>
      </c>
      <c r="AB211" s="17">
        <f t="shared" si="5"/>
        <v>0</v>
      </c>
      <c r="AC211" s="17">
        <f t="shared" si="6"/>
        <v>658.7926367</v>
      </c>
      <c r="AD211" s="2"/>
      <c r="AE211" s="17">
        <v>164264.27777267905</v>
      </c>
      <c r="AF211" s="17">
        <f t="shared" si="7"/>
        <v>56632.47008</v>
      </c>
      <c r="AG211" s="17">
        <f t="shared" si="8"/>
        <v>14606.74107</v>
      </c>
      <c r="AH211" s="17">
        <f t="shared" si="9"/>
        <v>4242.82097</v>
      </c>
      <c r="AI211" s="17">
        <v>658.7926367404915</v>
      </c>
      <c r="AJ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19">
        <f t="shared" si="10"/>
        <v>30.45</v>
      </c>
      <c r="X212" s="20">
        <f t="shared" si="1"/>
        <v>0</v>
      </c>
      <c r="Y212" s="20">
        <f t="shared" si="2"/>
        <v>0</v>
      </c>
      <c r="Z212" s="20">
        <f t="shared" si="3"/>
        <v>193304.9601</v>
      </c>
      <c r="AA212" s="20">
        <f t="shared" si="4"/>
        <v>0</v>
      </c>
      <c r="AB212" s="20">
        <f t="shared" si="5"/>
        <v>0</v>
      </c>
      <c r="AC212" s="20">
        <f t="shared" si="6"/>
        <v>896.2652553</v>
      </c>
      <c r="AD212" s="2"/>
      <c r="AE212" s="20">
        <v>193304.96013719117</v>
      </c>
      <c r="AF212" s="20">
        <f t="shared" si="7"/>
        <v>69056.01971</v>
      </c>
      <c r="AG212" s="20">
        <f t="shared" si="8"/>
        <v>18464.19284</v>
      </c>
      <c r="AH212" s="20">
        <f t="shared" si="9"/>
        <v>5562.641487</v>
      </c>
      <c r="AI212" s="20">
        <v>896.2652552745337</v>
      </c>
      <c r="AJ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16">
        <f t="shared" si="10"/>
        <v>30.5</v>
      </c>
      <c r="X213" s="17">
        <f t="shared" si="1"/>
        <v>0</v>
      </c>
      <c r="Y213" s="17">
        <f t="shared" si="2"/>
        <v>0</v>
      </c>
      <c r="Z213" s="17">
        <f t="shared" si="3"/>
        <v>225817.6579</v>
      </c>
      <c r="AA213" s="17">
        <f t="shared" si="4"/>
        <v>0</v>
      </c>
      <c r="AB213" s="17">
        <f t="shared" si="5"/>
        <v>0</v>
      </c>
      <c r="AC213" s="17">
        <f t="shared" si="6"/>
        <v>1210.473606</v>
      </c>
      <c r="AD213" s="2"/>
      <c r="AE213" s="17">
        <v>225817.65785922942</v>
      </c>
      <c r="AF213" s="17">
        <f t="shared" si="7"/>
        <v>83590.40986</v>
      </c>
      <c r="AG213" s="17">
        <f t="shared" si="8"/>
        <v>23170.21843</v>
      </c>
      <c r="AH213" s="17">
        <f t="shared" si="9"/>
        <v>7239.928199</v>
      </c>
      <c r="AI213" s="17">
        <v>1210.4736063519276</v>
      </c>
      <c r="AJ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19">
        <f t="shared" si="10"/>
        <v>30.55</v>
      </c>
      <c r="X214" s="20">
        <f t="shared" si="1"/>
        <v>0</v>
      </c>
      <c r="Y214" s="20">
        <f t="shared" si="2"/>
        <v>0.000000001938416722</v>
      </c>
      <c r="Z214" s="20">
        <f t="shared" si="3"/>
        <v>261871.2556</v>
      </c>
      <c r="AA214" s="20">
        <f t="shared" si="4"/>
        <v>0</v>
      </c>
      <c r="AB214" s="20">
        <f t="shared" si="5"/>
        <v>0</v>
      </c>
      <c r="AC214" s="20">
        <f t="shared" si="6"/>
        <v>1622.949577</v>
      </c>
      <c r="AD214" s="2"/>
      <c r="AE214" s="20">
        <v>261871.2555716873</v>
      </c>
      <c r="AF214" s="20">
        <f t="shared" si="7"/>
        <v>100445.4434</v>
      </c>
      <c r="AG214" s="20">
        <f t="shared" si="8"/>
        <v>28863.74856</v>
      </c>
      <c r="AH214" s="20">
        <f t="shared" si="9"/>
        <v>9354.364158</v>
      </c>
      <c r="AI214" s="20">
        <v>1622.949576799075</v>
      </c>
      <c r="AJ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16">
        <f t="shared" si="10"/>
        <v>30.6</v>
      </c>
      <c r="X215" s="17">
        <f t="shared" si="1"/>
        <v>0</v>
      </c>
      <c r="Y215" s="17">
        <f t="shared" si="2"/>
        <v>0.00000006547435409</v>
      </c>
      <c r="Z215" s="17">
        <f t="shared" si="3"/>
        <v>301462.1509</v>
      </c>
      <c r="AA215" s="17">
        <f t="shared" si="4"/>
        <v>0</v>
      </c>
      <c r="AB215" s="17">
        <f t="shared" si="5"/>
        <v>0</v>
      </c>
      <c r="AC215" s="17">
        <f t="shared" si="6"/>
        <v>2160.158751</v>
      </c>
      <c r="AD215" s="2"/>
      <c r="AE215" s="17">
        <v>301462.15091965965</v>
      </c>
      <c r="AF215" s="17">
        <f t="shared" si="7"/>
        <v>119818.23</v>
      </c>
      <c r="AG215" s="17">
        <f t="shared" si="8"/>
        <v>35694.24014</v>
      </c>
      <c r="AH215" s="17">
        <f t="shared" si="9"/>
        <v>11998.33852</v>
      </c>
      <c r="AI215" s="17">
        <v>2160.158750845096</v>
      </c>
      <c r="AJ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19">
        <f t="shared" si="10"/>
        <v>30.65</v>
      </c>
      <c r="X216" s="20">
        <f t="shared" si="1"/>
        <v>0</v>
      </c>
      <c r="Y216" s="20">
        <f t="shared" si="2"/>
        <v>0.000001841073289</v>
      </c>
      <c r="Z216" s="20">
        <f t="shared" si="3"/>
        <v>344502.8251</v>
      </c>
      <c r="AA216" s="20">
        <f t="shared" si="4"/>
        <v>0</v>
      </c>
      <c r="AB216" s="20">
        <f t="shared" si="5"/>
        <v>0</v>
      </c>
      <c r="AC216" s="20">
        <f t="shared" si="6"/>
        <v>2854.284438</v>
      </c>
      <c r="AD216" s="2"/>
      <c r="AE216" s="20">
        <v>344502.8250845287</v>
      </c>
      <c r="AF216" s="20">
        <f t="shared" si="7"/>
        <v>141884.3296</v>
      </c>
      <c r="AG216" s="20">
        <f t="shared" si="8"/>
        <v>43819.39262</v>
      </c>
      <c r="AH216" s="20">
        <f t="shared" si="9"/>
        <v>15277.5873</v>
      </c>
      <c r="AI216" s="20">
        <v>2854.2844381087484</v>
      </c>
      <c r="AJ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16">
        <f t="shared" si="10"/>
        <v>30.7</v>
      </c>
      <c r="X217" s="17">
        <f t="shared" si="1"/>
        <v>0</v>
      </c>
      <c r="Y217" s="17">
        <f t="shared" si="2"/>
        <v>0.00004309696739</v>
      </c>
      <c r="Z217" s="17">
        <f t="shared" si="3"/>
        <v>390811.9304</v>
      </c>
      <c r="AA217" s="17">
        <f t="shared" si="4"/>
        <v>0</v>
      </c>
      <c r="AB217" s="17">
        <f t="shared" si="5"/>
        <v>0</v>
      </c>
      <c r="AC217" s="17">
        <f t="shared" si="6"/>
        <v>3744.033877</v>
      </c>
      <c r="AD217" s="2"/>
      <c r="AE217" s="17">
        <v>390811.93038520036</v>
      </c>
      <c r="AF217" s="17">
        <f t="shared" si="7"/>
        <v>166788.0146</v>
      </c>
      <c r="AG217" s="17">
        <f t="shared" si="8"/>
        <v>53401.98124</v>
      </c>
      <c r="AH217" s="17">
        <f t="shared" si="9"/>
        <v>19311.46682</v>
      </c>
      <c r="AI217" s="17">
        <v>3744.0338774818492</v>
      </c>
      <c r="AJ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19">
        <f t="shared" si="10"/>
        <v>30.75</v>
      </c>
      <c r="X218" s="20">
        <f t="shared" si="1"/>
        <v>0</v>
      </c>
      <c r="Y218" s="20">
        <f t="shared" si="2"/>
        <v>0.0008398430344</v>
      </c>
      <c r="Z218" s="20">
        <f t="shared" si="3"/>
        <v>440106.588</v>
      </c>
      <c r="AA218" s="20">
        <f t="shared" si="4"/>
        <v>0</v>
      </c>
      <c r="AB218" s="20">
        <f t="shared" si="5"/>
        <v>0</v>
      </c>
      <c r="AC218" s="20">
        <f t="shared" si="6"/>
        <v>4875.433408</v>
      </c>
      <c r="AD218" s="2"/>
      <c r="AE218" s="20">
        <v>440106.58795800916</v>
      </c>
      <c r="AF218" s="20">
        <f t="shared" si="7"/>
        <v>194631.9434</v>
      </c>
      <c r="AG218" s="20">
        <f t="shared" si="8"/>
        <v>64605.75263</v>
      </c>
      <c r="AH218" s="20">
        <f t="shared" si="9"/>
        <v>24232.74292</v>
      </c>
      <c r="AI218" s="20">
        <v>4875.433408133354</v>
      </c>
      <c r="AJ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16">
        <f t="shared" si="10"/>
        <v>30.8</v>
      </c>
      <c r="X219" s="17">
        <f t="shared" si="1"/>
        <v>0</v>
      </c>
      <c r="Y219" s="17">
        <f t="shared" si="2"/>
        <v>0.01362464883</v>
      </c>
      <c r="Z219" s="17">
        <f t="shared" si="3"/>
        <v>491997.5694</v>
      </c>
      <c r="AA219" s="17">
        <f t="shared" si="4"/>
        <v>0</v>
      </c>
      <c r="AB219" s="17">
        <f t="shared" si="5"/>
        <v>0</v>
      </c>
      <c r="AC219" s="17">
        <f t="shared" si="6"/>
        <v>6302.569265</v>
      </c>
      <c r="AD219" s="2"/>
      <c r="AE219" s="17">
        <v>491997.5694429287</v>
      </c>
      <c r="AF219" s="17">
        <f t="shared" si="7"/>
        <v>225466.6297</v>
      </c>
      <c r="AG219" s="17">
        <f t="shared" si="8"/>
        <v>77590.3685</v>
      </c>
      <c r="AH219" s="17">
        <f t="shared" si="9"/>
        <v>30186.77466</v>
      </c>
      <c r="AI219" s="17">
        <v>6302.56926502117</v>
      </c>
      <c r="AJ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19">
        <f t="shared" si="10"/>
        <v>30.85</v>
      </c>
      <c r="X220" s="20">
        <f t="shared" si="1"/>
        <v>0</v>
      </c>
      <c r="Y220" s="20">
        <f t="shared" si="2"/>
        <v>0.1840044345</v>
      </c>
      <c r="Z220" s="20">
        <f t="shared" si="3"/>
        <v>545987.973</v>
      </c>
      <c r="AA220" s="20">
        <f t="shared" si="4"/>
        <v>0</v>
      </c>
      <c r="AB220" s="20">
        <f t="shared" si="5"/>
        <v>0</v>
      </c>
      <c r="AC220" s="20">
        <f t="shared" si="6"/>
        <v>8088.22017</v>
      </c>
      <c r="AD220" s="2"/>
      <c r="AE220" s="20">
        <v>545987.972971896</v>
      </c>
      <c r="AF220" s="20">
        <f t="shared" si="7"/>
        <v>259280.1685</v>
      </c>
      <c r="AG220" s="20">
        <f t="shared" si="8"/>
        <v>92505.4335</v>
      </c>
      <c r="AH220" s="20">
        <f t="shared" si="9"/>
        <v>37329.97296</v>
      </c>
      <c r="AI220" s="20">
        <v>8088.220170132297</v>
      </c>
      <c r="AJ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16">
        <f t="shared" si="10"/>
        <v>30.9</v>
      </c>
      <c r="X221" s="17">
        <f t="shared" si="1"/>
        <v>0</v>
      </c>
      <c r="Y221" s="17">
        <f t="shared" si="2"/>
        <v>2.06874538</v>
      </c>
      <c r="Z221" s="17">
        <f t="shared" si="3"/>
        <v>601475.8939</v>
      </c>
      <c r="AA221" s="17">
        <f t="shared" si="4"/>
        <v>0</v>
      </c>
      <c r="AB221" s="17">
        <f t="shared" si="5"/>
        <v>0</v>
      </c>
      <c r="AC221" s="17">
        <f t="shared" si="6"/>
        <v>10304.31772</v>
      </c>
      <c r="AD221" s="2"/>
      <c r="AE221" s="17">
        <v>601475.8938575072</v>
      </c>
      <c r="AF221" s="17">
        <f t="shared" si="7"/>
        <v>295988.7477</v>
      </c>
      <c r="AG221" s="17">
        <f t="shared" si="8"/>
        <v>109483.7022</v>
      </c>
      <c r="AH221" s="17">
        <f t="shared" si="9"/>
        <v>45827.42578</v>
      </c>
      <c r="AI221" s="17">
        <v>10304.317724330951</v>
      </c>
      <c r="AJ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19">
        <f t="shared" si="10"/>
        <v>30.95</v>
      </c>
      <c r="X222" s="20">
        <f t="shared" si="1"/>
        <v>0</v>
      </c>
      <c r="Y222" s="20">
        <f t="shared" si="2"/>
        <v>19.3625063</v>
      </c>
      <c r="Z222" s="20">
        <f t="shared" si="3"/>
        <v>657761.4359</v>
      </c>
      <c r="AA222" s="20">
        <f t="shared" si="4"/>
        <v>0</v>
      </c>
      <c r="AB222" s="20">
        <f t="shared" si="5"/>
        <v>0</v>
      </c>
      <c r="AC222" s="20">
        <f t="shared" si="6"/>
        <v>13032.16161</v>
      </c>
      <c r="AD222" s="2"/>
      <c r="AE222" s="20">
        <v>657761.4358500778</v>
      </c>
      <c r="AF222" s="20">
        <f t="shared" si="7"/>
        <v>335428.5122</v>
      </c>
      <c r="AG222" s="20">
        <f t="shared" si="8"/>
        <v>128633.6257</v>
      </c>
      <c r="AH222" s="20">
        <f t="shared" si="9"/>
        <v>55849.60103</v>
      </c>
      <c r="AI222" s="20">
        <v>13032.161611966507</v>
      </c>
      <c r="AJ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16">
        <f t="shared" si="10"/>
        <v>31</v>
      </c>
      <c r="X223" s="17">
        <f t="shared" si="1"/>
        <v>0</v>
      </c>
      <c r="Y223" s="17">
        <f t="shared" si="2"/>
        <v>150.8661761</v>
      </c>
      <c r="Z223" s="17">
        <f t="shared" si="3"/>
        <v>714058.2149</v>
      </c>
      <c r="AA223" s="17">
        <f t="shared" si="4"/>
        <v>0</v>
      </c>
      <c r="AB223" s="17">
        <f t="shared" si="5"/>
        <v>0</v>
      </c>
      <c r="AC223" s="17">
        <f t="shared" si="6"/>
        <v>16362.30982</v>
      </c>
      <c r="AD223" s="2"/>
      <c r="AE223" s="17">
        <v>714058.21493592</v>
      </c>
      <c r="AF223" s="17">
        <f t="shared" si="7"/>
        <v>377349.3655</v>
      </c>
      <c r="AG223" s="17">
        <f t="shared" si="8"/>
        <v>150031.4653</v>
      </c>
      <c r="AH223" s="17">
        <f t="shared" si="9"/>
        <v>67568.0697</v>
      </c>
      <c r="AI223" s="17">
        <v>16362.30982459869</v>
      </c>
      <c r="AJ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19">
        <f t="shared" si="10"/>
        <v>31.05</v>
      </c>
      <c r="X224" s="20">
        <f t="shared" si="1"/>
        <v>0.00000001144318833</v>
      </c>
      <c r="Y224" s="20">
        <f t="shared" si="2"/>
        <v>978.5836887</v>
      </c>
      <c r="Z224" s="20">
        <f t="shared" si="3"/>
        <v>769509.2833</v>
      </c>
      <c r="AA224" s="20">
        <f t="shared" si="4"/>
        <v>0</v>
      </c>
      <c r="AB224" s="20">
        <f t="shared" si="5"/>
        <v>0</v>
      </c>
      <c r="AC224" s="20">
        <f t="shared" si="6"/>
        <v>20394.06062</v>
      </c>
      <c r="AD224" s="2"/>
      <c r="AE224" s="20">
        <v>769509.2832886358</v>
      </c>
      <c r="AF224" s="20">
        <f t="shared" si="7"/>
        <v>421411.2699</v>
      </c>
      <c r="AG224" s="20">
        <f t="shared" si="8"/>
        <v>173713.2697</v>
      </c>
      <c r="AH224" s="20">
        <f t="shared" si="9"/>
        <v>81150.23354</v>
      </c>
      <c r="AI224" s="20">
        <v>20394.060619748027</v>
      </c>
      <c r="AJ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16">
        <f t="shared" si="10"/>
        <v>31.1</v>
      </c>
      <c r="X225" s="17">
        <f t="shared" si="1"/>
        <v>0.000009729141563</v>
      </c>
      <c r="Y225" s="17">
        <f t="shared" si="2"/>
        <v>5284.207241</v>
      </c>
      <c r="Z225" s="17">
        <f t="shared" si="3"/>
        <v>823207.1584</v>
      </c>
      <c r="AA225" s="17">
        <f t="shared" si="4"/>
        <v>0</v>
      </c>
      <c r="AB225" s="17">
        <f t="shared" si="5"/>
        <v>0</v>
      </c>
      <c r="AC225" s="17">
        <f t="shared" si="6"/>
        <v>25234.44393</v>
      </c>
      <c r="AD225" s="2"/>
      <c r="AE225" s="17">
        <v>823207.1583516398</v>
      </c>
      <c r="AF225" s="17">
        <f t="shared" si="7"/>
        <v>467183.5489</v>
      </c>
      <c r="AG225" s="17">
        <f t="shared" si="8"/>
        <v>199667.069</v>
      </c>
      <c r="AH225" s="17">
        <f t="shared" si="9"/>
        <v>96753.09375</v>
      </c>
      <c r="AI225" s="17">
        <v>25234.44393031696</v>
      </c>
      <c r="AJ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19">
        <f t="shared" si="10"/>
        <v>31.15</v>
      </c>
      <c r="X226" s="20">
        <f t="shared" si="1"/>
        <v>0.003972876981</v>
      </c>
      <c r="Y226" s="20">
        <f t="shared" si="2"/>
        <v>23754.04039</v>
      </c>
      <c r="Z226" s="20">
        <f t="shared" si="3"/>
        <v>874217.3959</v>
      </c>
      <c r="AA226" s="20">
        <f t="shared" si="4"/>
        <v>0</v>
      </c>
      <c r="AB226" s="20">
        <f t="shared" si="5"/>
        <v>0</v>
      </c>
      <c r="AC226" s="20">
        <f t="shared" si="6"/>
        <v>30996.64656</v>
      </c>
      <c r="AD226" s="2"/>
      <c r="AE226" s="20">
        <v>874217.3959373542</v>
      </c>
      <c r="AF226" s="20">
        <f t="shared" si="7"/>
        <v>514147.5971</v>
      </c>
      <c r="AG226" s="20">
        <f t="shared" si="8"/>
        <v>227825.6902</v>
      </c>
      <c r="AH226" s="20">
        <f t="shared" si="9"/>
        <v>114516.1589</v>
      </c>
      <c r="AI226" s="20">
        <v>30996.646559030185</v>
      </c>
      <c r="AJ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16">
        <f t="shared" si="10"/>
        <v>31.2</v>
      </c>
      <c r="X227" s="17">
        <f t="shared" si="1"/>
        <v>0.7791818543</v>
      </c>
      <c r="Y227" s="17">
        <f t="shared" si="2"/>
        <v>88893.68682</v>
      </c>
      <c r="Z227" s="17">
        <f t="shared" si="3"/>
        <v>921604.9131</v>
      </c>
      <c r="AA227" s="17">
        <f t="shared" si="4"/>
        <v>0</v>
      </c>
      <c r="AB227" s="17">
        <f t="shared" si="5"/>
        <v>0</v>
      </c>
      <c r="AC227" s="17">
        <f t="shared" si="6"/>
        <v>37797.8087</v>
      </c>
      <c r="AD227" s="2"/>
      <c r="AE227" s="17">
        <v>921604.9131292707</v>
      </c>
      <c r="AF227" s="17">
        <f t="shared" si="7"/>
        <v>561703.2712</v>
      </c>
      <c r="AG227" s="17">
        <f t="shared" si="8"/>
        <v>258060.6284</v>
      </c>
      <c r="AH227" s="17">
        <f t="shared" si="9"/>
        <v>134553.6579</v>
      </c>
      <c r="AI227" s="17">
        <v>37797.80869948965</v>
      </c>
      <c r="AJ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19">
        <f t="shared" si="10"/>
        <v>31.25</v>
      </c>
      <c r="X228" s="20">
        <f t="shared" si="1"/>
        <v>73.39655236</v>
      </c>
      <c r="Y228" s="20">
        <f t="shared" si="2"/>
        <v>276936.4535</v>
      </c>
      <c r="Z228" s="20">
        <f t="shared" si="3"/>
        <v>964462.0635</v>
      </c>
      <c r="AA228" s="20">
        <f t="shared" si="4"/>
        <v>0</v>
      </c>
      <c r="AB228" s="20">
        <f t="shared" si="5"/>
        <v>0</v>
      </c>
      <c r="AC228" s="20">
        <f t="shared" si="6"/>
        <v>45756.1498</v>
      </c>
      <c r="AD228" s="2"/>
      <c r="AE228" s="20">
        <v>964462.0635390237</v>
      </c>
      <c r="AF228" s="20">
        <f t="shared" si="7"/>
        <v>609179.0642</v>
      </c>
      <c r="AG228" s="20">
        <f t="shared" si="8"/>
        <v>290177.4168</v>
      </c>
      <c r="AH228" s="20">
        <f t="shared" si="9"/>
        <v>156946.2958</v>
      </c>
      <c r="AI228" s="20">
        <v>45756.14980422702</v>
      </c>
      <c r="AJ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16">
        <f t="shared" si="10"/>
        <v>31.3</v>
      </c>
      <c r="X229" s="17">
        <f t="shared" si="1"/>
        <v>3320.592696</v>
      </c>
      <c r="Y229" s="17">
        <f t="shared" si="2"/>
        <v>718232.5996</v>
      </c>
      <c r="Z229" s="17">
        <f t="shared" si="3"/>
        <v>1001937.31</v>
      </c>
      <c r="AA229" s="17">
        <f t="shared" si="4"/>
        <v>0</v>
      </c>
      <c r="AB229" s="17">
        <f t="shared" si="5"/>
        <v>0</v>
      </c>
      <c r="AC229" s="17">
        <f t="shared" si="6"/>
        <v>54987.40983</v>
      </c>
      <c r="AD229" s="2"/>
      <c r="AE229" s="17">
        <v>1001937.3100305585</v>
      </c>
      <c r="AF229" s="17">
        <f t="shared" si="7"/>
        <v>655845.9777</v>
      </c>
      <c r="AG229" s="17">
        <f t="shared" si="8"/>
        <v>323912.922</v>
      </c>
      <c r="AH229" s="17">
        <f t="shared" si="9"/>
        <v>181732.8579</v>
      </c>
      <c r="AI229" s="17">
        <v>54987.40983494018</v>
      </c>
      <c r="AJ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19">
        <f t="shared" si="10"/>
        <v>31.35</v>
      </c>
      <c r="X230" s="20">
        <f t="shared" si="1"/>
        <v>72153.71122</v>
      </c>
      <c r="Y230" s="20">
        <f t="shared" si="2"/>
        <v>1550693.19</v>
      </c>
      <c r="Z230" s="20">
        <f t="shared" si="3"/>
        <v>1033263.242</v>
      </c>
      <c r="AA230" s="20">
        <f t="shared" si="4"/>
        <v>0</v>
      </c>
      <c r="AB230" s="20">
        <f t="shared" si="5"/>
        <v>0</v>
      </c>
      <c r="AC230" s="20">
        <f t="shared" si="6"/>
        <v>65600.6272</v>
      </c>
      <c r="AD230" s="2"/>
      <c r="AE230" s="20">
        <v>1033263.2419813796</v>
      </c>
      <c r="AF230" s="20">
        <f t="shared" si="7"/>
        <v>700934.8009</v>
      </c>
      <c r="AG230" s="20">
        <f t="shared" si="8"/>
        <v>358934.9444</v>
      </c>
      <c r="AH230" s="20">
        <f t="shared" si="9"/>
        <v>208902.0334</v>
      </c>
      <c r="AI230" s="20">
        <v>65600.62720304867</v>
      </c>
      <c r="AJ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16">
        <f t="shared" si="10"/>
        <v>31.4</v>
      </c>
      <c r="X231" s="17">
        <f t="shared" si="1"/>
        <v>753017.1324</v>
      </c>
      <c r="Y231" s="17">
        <f t="shared" si="2"/>
        <v>2787163.369</v>
      </c>
      <c r="Z231" s="17">
        <f t="shared" si="3"/>
        <v>1057782.656</v>
      </c>
      <c r="AA231" s="17">
        <f t="shared" si="4"/>
        <v>0</v>
      </c>
      <c r="AB231" s="17">
        <f t="shared" si="5"/>
        <v>0</v>
      </c>
      <c r="AC231" s="17">
        <f t="shared" si="6"/>
        <v>77693.31632</v>
      </c>
      <c r="AD231" s="2"/>
      <c r="AE231" s="17">
        <v>1057782.6555165653</v>
      </c>
      <c r="AF231" s="17">
        <f t="shared" si="7"/>
        <v>743656.2976</v>
      </c>
      <c r="AG231" s="17">
        <f t="shared" si="8"/>
        <v>394844.4274</v>
      </c>
      <c r="AH231" s="17">
        <f t="shared" si="9"/>
        <v>238384.8784</v>
      </c>
      <c r="AI231" s="17">
        <v>77693.31631866738</v>
      </c>
      <c r="AJ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19">
        <f t="shared" si="10"/>
        <v>31.45</v>
      </c>
      <c r="X232" s="20">
        <f t="shared" si="1"/>
        <v>3774454.185</v>
      </c>
      <c r="Y232" s="20">
        <f t="shared" si="2"/>
        <v>4170371.565</v>
      </c>
      <c r="Z232" s="20">
        <f t="shared" si="3"/>
        <v>1074971.461</v>
      </c>
      <c r="AA232" s="20">
        <f t="shared" si="4"/>
        <v>0</v>
      </c>
      <c r="AB232" s="20">
        <f t="shared" si="5"/>
        <v>0</v>
      </c>
      <c r="AC232" s="20">
        <f t="shared" si="6"/>
        <v>91346.15399</v>
      </c>
      <c r="AD232" s="2"/>
      <c r="AE232" s="20">
        <v>1074971.4613141876</v>
      </c>
      <c r="AF232" s="20">
        <f t="shared" si="7"/>
        <v>783223.6103</v>
      </c>
      <c r="AG232" s="20">
        <f t="shared" si="8"/>
        <v>431180.4768</v>
      </c>
      <c r="AH232" s="20">
        <f t="shared" si="9"/>
        <v>270048.3722</v>
      </c>
      <c r="AI232" s="20">
        <v>91346.15398650912</v>
      </c>
      <c r="AJ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16">
        <f t="shared" si="10"/>
        <v>31.5</v>
      </c>
      <c r="X233" s="17">
        <f t="shared" si="1"/>
        <v>9086708.097</v>
      </c>
      <c r="Y233" s="17">
        <f t="shared" si="2"/>
        <v>5194728.513</v>
      </c>
      <c r="Z233" s="17">
        <f t="shared" si="3"/>
        <v>1084457.306</v>
      </c>
      <c r="AA233" s="17">
        <f t="shared" si="4"/>
        <v>0</v>
      </c>
      <c r="AB233" s="17">
        <f t="shared" si="5"/>
        <v>0</v>
      </c>
      <c r="AC233" s="17">
        <f t="shared" si="6"/>
        <v>106617.3326</v>
      </c>
      <c r="AD233" s="2"/>
      <c r="AE233" s="17">
        <v>1084457.3056395722</v>
      </c>
      <c r="AF233" s="17">
        <f t="shared" si="7"/>
        <v>818876.0235</v>
      </c>
      <c r="AG233" s="17">
        <f t="shared" si="8"/>
        <v>467428.2624</v>
      </c>
      <c r="AH233" s="17">
        <f t="shared" si="9"/>
        <v>303690.5299</v>
      </c>
      <c r="AI233" s="17">
        <v>106617.33257755225</v>
      </c>
      <c r="AJ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19">
        <f t="shared" si="10"/>
        <v>31.55</v>
      </c>
      <c r="X234" s="20">
        <f t="shared" si="1"/>
        <v>10506597.94</v>
      </c>
      <c r="Y234" s="20">
        <f t="shared" si="2"/>
        <v>5386748.997</v>
      </c>
      <c r="Z234" s="20">
        <f t="shared" si="3"/>
        <v>1086032.981</v>
      </c>
      <c r="AA234" s="20">
        <f t="shared" si="4"/>
        <v>0</v>
      </c>
      <c r="AB234" s="20">
        <f t="shared" si="5"/>
        <v>0.000000001132906833</v>
      </c>
      <c r="AC234" s="20">
        <f t="shared" si="6"/>
        <v>123536.786</v>
      </c>
      <c r="AD234" s="2"/>
      <c r="AE234" s="20">
        <v>1086032.9807960668</v>
      </c>
      <c r="AF234" s="20">
        <f t="shared" si="7"/>
        <v>849903.0999</v>
      </c>
      <c r="AG234" s="20">
        <f t="shared" si="8"/>
        <v>503029.7275</v>
      </c>
      <c r="AH234" s="20">
        <f t="shared" si="9"/>
        <v>339037.5178</v>
      </c>
      <c r="AI234" s="20">
        <v>123536.78596863142</v>
      </c>
      <c r="AJ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16">
        <f t="shared" si="10"/>
        <v>31.6</v>
      </c>
      <c r="X235" s="17">
        <f t="shared" si="1"/>
        <v>5834730.045</v>
      </c>
      <c r="Y235" s="17">
        <f t="shared" si="2"/>
        <v>4650144.013</v>
      </c>
      <c r="Z235" s="17">
        <f t="shared" si="3"/>
        <v>1079663.95</v>
      </c>
      <c r="AA235" s="17">
        <f t="shared" si="4"/>
        <v>0</v>
      </c>
      <c r="AB235" s="17">
        <f t="shared" si="5"/>
        <v>0.00000003751282818</v>
      </c>
      <c r="AC235" s="17">
        <f t="shared" si="6"/>
        <v>142100.5382</v>
      </c>
      <c r="AD235" s="2"/>
      <c r="AE235" s="17">
        <v>1079663.9504808534</v>
      </c>
      <c r="AF235" s="17">
        <f t="shared" si="7"/>
        <v>875668.1321</v>
      </c>
      <c r="AG235" s="17">
        <f t="shared" si="8"/>
        <v>537396.8774</v>
      </c>
      <c r="AH235" s="17">
        <f t="shared" si="9"/>
        <v>375743.17</v>
      </c>
      <c r="AI235" s="17">
        <v>142100.53815625285</v>
      </c>
      <c r="AJ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19">
        <f t="shared" si="10"/>
        <v>31.65</v>
      </c>
      <c r="X236" s="20">
        <f t="shared" si="1"/>
        <v>1556261.376</v>
      </c>
      <c r="Y236" s="20">
        <f t="shared" si="2"/>
        <v>3341810.705</v>
      </c>
      <c r="Z236" s="20">
        <f t="shared" si="3"/>
        <v>1065489.608</v>
      </c>
      <c r="AA236" s="20">
        <f t="shared" si="4"/>
        <v>0</v>
      </c>
      <c r="AB236" s="20">
        <f t="shared" si="5"/>
        <v>0.00000103499654</v>
      </c>
      <c r="AC236" s="20">
        <f t="shared" si="6"/>
        <v>162265.4604</v>
      </c>
      <c r="AD236" s="2"/>
      <c r="AE236" s="20">
        <v>1065489.608347445</v>
      </c>
      <c r="AF236" s="20">
        <f t="shared" si="7"/>
        <v>895629.8306</v>
      </c>
      <c r="AG236" s="20">
        <f t="shared" si="8"/>
        <v>569927.2596</v>
      </c>
      <c r="AH236" s="20">
        <f t="shared" si="9"/>
        <v>413391.2263</v>
      </c>
      <c r="AI236" s="20">
        <v>162265.4603742819</v>
      </c>
      <c r="AJ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16">
        <f t="shared" si="10"/>
        <v>31.7</v>
      </c>
      <c r="X237" s="17">
        <f t="shared" si="1"/>
        <v>199364.3167</v>
      </c>
      <c r="Y237" s="17">
        <f t="shared" si="2"/>
        <v>1999277.453</v>
      </c>
      <c r="Z237" s="17">
        <f t="shared" si="3"/>
        <v>1043818.206</v>
      </c>
      <c r="AA237" s="17">
        <f t="shared" si="4"/>
        <v>0</v>
      </c>
      <c r="AB237" s="17">
        <f t="shared" si="5"/>
        <v>0.00002379421966</v>
      </c>
      <c r="AC237" s="17">
        <f t="shared" si="6"/>
        <v>183944.7466</v>
      </c>
      <c r="AD237" s="2"/>
      <c r="AE237" s="17">
        <v>1043818.2057211417</v>
      </c>
      <c r="AF237" s="17">
        <f t="shared" si="7"/>
        <v>909361.2186</v>
      </c>
      <c r="AG237" s="17">
        <f t="shared" si="8"/>
        <v>600021.103</v>
      </c>
      <c r="AH237" s="17">
        <f t="shared" si="9"/>
        <v>451500.5045</v>
      </c>
      <c r="AI237" s="17">
        <v>183944.74659005745</v>
      </c>
      <c r="AJ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19">
        <f t="shared" si="10"/>
        <v>31.75</v>
      </c>
      <c r="X238" s="20">
        <f t="shared" si="1"/>
        <v>12266.35235</v>
      </c>
      <c r="Y238" s="20">
        <f t="shared" si="2"/>
        <v>995726.5105</v>
      </c>
      <c r="Z238" s="20">
        <f t="shared" si="3"/>
        <v>1015115.706</v>
      </c>
      <c r="AA238" s="20">
        <f t="shared" si="4"/>
        <v>0</v>
      </c>
      <c r="AB238" s="20">
        <f t="shared" si="5"/>
        <v>0.0004558033507</v>
      </c>
      <c r="AC238" s="20">
        <f t="shared" si="6"/>
        <v>207004.4258</v>
      </c>
      <c r="AD238" s="2"/>
      <c r="AE238" s="20">
        <v>1015115.7062395934</v>
      </c>
      <c r="AF238" s="20">
        <f t="shared" si="7"/>
        <v>916564.8148</v>
      </c>
      <c r="AG238" s="20">
        <f t="shared" si="8"/>
        <v>627099.4561</v>
      </c>
      <c r="AH238" s="20">
        <f t="shared" si="9"/>
        <v>489533.0859</v>
      </c>
      <c r="AI238" s="20">
        <v>207004.4258117004</v>
      </c>
      <c r="AJ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16">
        <f t="shared" si="10"/>
        <v>31.8</v>
      </c>
      <c r="X239" s="17">
        <f t="shared" si="1"/>
        <v>362.482096</v>
      </c>
      <c r="Y239" s="17">
        <f t="shared" si="2"/>
        <v>412841.0285</v>
      </c>
      <c r="Z239" s="17">
        <f t="shared" si="3"/>
        <v>979989.1302</v>
      </c>
      <c r="AA239" s="17">
        <f t="shared" si="4"/>
        <v>0</v>
      </c>
      <c r="AB239" s="17">
        <f t="shared" si="5"/>
        <v>0.00727540273</v>
      </c>
      <c r="AC239" s="17">
        <f t="shared" si="6"/>
        <v>231261.2197</v>
      </c>
      <c r="AD239" s="2"/>
      <c r="AE239" s="17">
        <v>979989.1302145674</v>
      </c>
      <c r="AF239" s="17">
        <f t="shared" si="7"/>
        <v>917083.3475</v>
      </c>
      <c r="AG239" s="17">
        <f t="shared" si="8"/>
        <v>650622.5735</v>
      </c>
      <c r="AH239" s="17">
        <f t="shared" si="9"/>
        <v>526905.4422</v>
      </c>
      <c r="AI239" s="17">
        <v>231261.2197353676</v>
      </c>
      <c r="AJ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19">
        <f t="shared" si="10"/>
        <v>31.85</v>
      </c>
      <c r="X240" s="20">
        <f t="shared" si="1"/>
        <v>5.144708858</v>
      </c>
      <c r="Y240" s="20">
        <f t="shared" si="2"/>
        <v>142495.5861</v>
      </c>
      <c r="Z240" s="20">
        <f t="shared" si="3"/>
        <v>939165.2201</v>
      </c>
      <c r="AA240" s="20">
        <f t="shared" si="4"/>
        <v>0</v>
      </c>
      <c r="AB240" s="20">
        <f t="shared" si="5"/>
        <v>0.09676315991</v>
      </c>
      <c r="AC240" s="20">
        <f t="shared" si="6"/>
        <v>256482.0239</v>
      </c>
      <c r="AD240" s="2"/>
      <c r="AE240" s="20">
        <v>939165.2200853055</v>
      </c>
      <c r="AF240" s="20">
        <f t="shared" si="7"/>
        <v>910905.4643</v>
      </c>
      <c r="AG240" s="20">
        <f t="shared" si="8"/>
        <v>670107.7399</v>
      </c>
      <c r="AH240" s="20">
        <f t="shared" si="9"/>
        <v>563002.2671</v>
      </c>
      <c r="AI240" s="20">
        <v>256482.0239023446</v>
      </c>
      <c r="AJ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16">
        <f t="shared" si="10"/>
        <v>31.9</v>
      </c>
      <c r="X241" s="17">
        <f t="shared" si="1"/>
        <v>0.03507019357</v>
      </c>
      <c r="Y241" s="17">
        <f t="shared" si="2"/>
        <v>40944.51696</v>
      </c>
      <c r="Z241" s="17">
        <f t="shared" si="3"/>
        <v>893465.4737</v>
      </c>
      <c r="AA241" s="17">
        <f t="shared" si="4"/>
        <v>0</v>
      </c>
      <c r="AB241" s="17">
        <f t="shared" si="5"/>
        <v>1.072349921</v>
      </c>
      <c r="AC241" s="17">
        <f t="shared" si="6"/>
        <v>282385.239</v>
      </c>
      <c r="AD241" s="2"/>
      <c r="AE241" s="17">
        <v>893465.4736888804</v>
      </c>
      <c r="AF241" s="17">
        <f t="shared" si="7"/>
        <v>898166.1443</v>
      </c>
      <c r="AG241" s="17">
        <f t="shared" si="8"/>
        <v>685145.7137</v>
      </c>
      <c r="AH241" s="17">
        <f t="shared" si="9"/>
        <v>597192.6142</v>
      </c>
      <c r="AI241" s="17">
        <v>282385.23902397783</v>
      </c>
      <c r="AJ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19">
        <f t="shared" si="10"/>
        <v>31.95</v>
      </c>
      <c r="X242" s="20">
        <f t="shared" si="1"/>
        <v>0.0001148202904</v>
      </c>
      <c r="Y242" s="20">
        <f t="shared" si="2"/>
        <v>9794.130162</v>
      </c>
      <c r="Z242" s="20">
        <f t="shared" si="3"/>
        <v>843778.7416</v>
      </c>
      <c r="AA242" s="20">
        <f t="shared" si="4"/>
        <v>0</v>
      </c>
      <c r="AB242" s="20">
        <f t="shared" si="5"/>
        <v>9.902309235</v>
      </c>
      <c r="AC242" s="20">
        <f t="shared" si="6"/>
        <v>308644.1073</v>
      </c>
      <c r="AD242" s="2"/>
      <c r="AE242" s="20">
        <v>843778.7415924568</v>
      </c>
      <c r="AF242" s="20">
        <f t="shared" si="7"/>
        <v>879141.7958</v>
      </c>
      <c r="AG242" s="20">
        <f t="shared" si="8"/>
        <v>695415.0094</v>
      </c>
      <c r="AH242" s="20">
        <f t="shared" si="9"/>
        <v>628847.7872</v>
      </c>
      <c r="AI242" s="20">
        <v>308644.10729970044</v>
      </c>
      <c r="AJ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16">
        <f t="shared" si="10"/>
        <v>32</v>
      </c>
      <c r="X243" s="17">
        <f t="shared" si="1"/>
        <v>0.0000001805519721</v>
      </c>
      <c r="Y243" s="17">
        <f t="shared" si="2"/>
        <v>1950.346477</v>
      </c>
      <c r="Z243" s="17">
        <f t="shared" si="3"/>
        <v>791032.6608</v>
      </c>
      <c r="AA243" s="17">
        <f t="shared" si="4"/>
        <v>0</v>
      </c>
      <c r="AB243" s="17">
        <f t="shared" si="5"/>
        <v>76.19209642</v>
      </c>
      <c r="AC243" s="17">
        <f t="shared" si="6"/>
        <v>334892.1189</v>
      </c>
      <c r="AD243" s="2"/>
      <c r="AE243" s="17">
        <v>791032.6608462513</v>
      </c>
      <c r="AF243" s="17">
        <f t="shared" si="7"/>
        <v>854240.2845</v>
      </c>
      <c r="AG243" s="17">
        <f t="shared" si="8"/>
        <v>700693.3226</v>
      </c>
      <c r="AH243" s="17">
        <f t="shared" si="9"/>
        <v>657360.2983</v>
      </c>
      <c r="AI243" s="17">
        <v>334892.1188891477</v>
      </c>
      <c r="AJ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19">
        <f t="shared" si="10"/>
        <v>32.05</v>
      </c>
      <c r="X244" s="20">
        <f t="shared" si="1"/>
        <v>0.0000000001363606145</v>
      </c>
      <c r="Y244" s="20">
        <f t="shared" si="2"/>
        <v>323.320654</v>
      </c>
      <c r="Z244" s="20">
        <f t="shared" si="3"/>
        <v>736165.1981</v>
      </c>
      <c r="AA244" s="20">
        <f t="shared" si="4"/>
        <v>0.000000006951634601</v>
      </c>
      <c r="AB244" s="20">
        <f t="shared" si="5"/>
        <v>488.4913079</v>
      </c>
      <c r="AC244" s="20">
        <f t="shared" si="6"/>
        <v>360730.4503</v>
      </c>
      <c r="AD244" s="2"/>
      <c r="AE244" s="20">
        <v>736165.1981375151</v>
      </c>
      <c r="AF244" s="20">
        <f t="shared" si="7"/>
        <v>823986.3975</v>
      </c>
      <c r="AG244" s="20">
        <f t="shared" si="8"/>
        <v>700865.5309</v>
      </c>
      <c r="AH244" s="20">
        <f t="shared" si="9"/>
        <v>682163.1099</v>
      </c>
      <c r="AI244" s="20">
        <v>360730.4503408575</v>
      </c>
      <c r="AJ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16">
        <f t="shared" si="10"/>
        <v>32.1</v>
      </c>
      <c r="X245" s="17">
        <f t="shared" si="1"/>
        <v>0</v>
      </c>
      <c r="Y245" s="17">
        <f t="shared" si="2"/>
        <v>44.62013771</v>
      </c>
      <c r="Z245" s="17">
        <f t="shared" si="3"/>
        <v>680097.5038</v>
      </c>
      <c r="AA245" s="17">
        <f t="shared" si="4"/>
        <v>0.000005661982436</v>
      </c>
      <c r="AB245" s="17">
        <f t="shared" si="5"/>
        <v>2609.619782</v>
      </c>
      <c r="AC245" s="17">
        <f t="shared" si="6"/>
        <v>385737.2854</v>
      </c>
      <c r="AD245" s="2"/>
      <c r="AE245" s="17">
        <v>680097.5038067475</v>
      </c>
      <c r="AF245" s="17">
        <f t="shared" si="7"/>
        <v>789003.4644</v>
      </c>
      <c r="AG245" s="17">
        <f t="shared" si="8"/>
        <v>695927.8686</v>
      </c>
      <c r="AH245" s="17">
        <f t="shared" si="9"/>
        <v>702748.3159</v>
      </c>
      <c r="AI245" s="17">
        <v>385737.2853521544</v>
      </c>
      <c r="AJ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19">
        <f t="shared" si="10"/>
        <v>32.15</v>
      </c>
      <c r="X246" s="20">
        <f t="shared" si="1"/>
        <v>0</v>
      </c>
      <c r="Y246" s="20">
        <f t="shared" si="2"/>
        <v>5.126301478</v>
      </c>
      <c r="Z246" s="20">
        <f t="shared" si="3"/>
        <v>623709.1428</v>
      </c>
      <c r="AA246" s="20">
        <f t="shared" si="4"/>
        <v>0.002223023291</v>
      </c>
      <c r="AB246" s="20">
        <f t="shared" si="5"/>
        <v>11616.388</v>
      </c>
      <c r="AC246" s="20">
        <f t="shared" si="6"/>
        <v>409478.7555</v>
      </c>
      <c r="AD246" s="2"/>
      <c r="AE246" s="20">
        <v>623709.1428132015</v>
      </c>
      <c r="AF246" s="20">
        <f t="shared" si="7"/>
        <v>749992.0357</v>
      </c>
      <c r="AG246" s="20">
        <f t="shared" si="8"/>
        <v>685988.0636</v>
      </c>
      <c r="AH246" s="20">
        <f t="shared" si="9"/>
        <v>718684.4066</v>
      </c>
      <c r="AI246" s="20">
        <v>409478.75553679577</v>
      </c>
      <c r="AJ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16">
        <f t="shared" si="10"/>
        <v>32.2</v>
      </c>
      <c r="X247" s="17">
        <f t="shared" si="1"/>
        <v>0</v>
      </c>
      <c r="Y247" s="17">
        <f t="shared" si="2"/>
        <v>0.4902901406</v>
      </c>
      <c r="Z247" s="17">
        <f t="shared" si="3"/>
        <v>567816.5818</v>
      </c>
      <c r="AA247" s="17">
        <f t="shared" si="4"/>
        <v>0.4207396308</v>
      </c>
      <c r="AB247" s="17">
        <f t="shared" si="5"/>
        <v>43086.22665</v>
      </c>
      <c r="AC247" s="17">
        <f t="shared" si="6"/>
        <v>431521.1324</v>
      </c>
      <c r="AD247" s="2"/>
      <c r="AE247" s="17">
        <v>567816.5818293012</v>
      </c>
      <c r="AF247" s="17">
        <f t="shared" si="7"/>
        <v>707706.6339</v>
      </c>
      <c r="AG247" s="17">
        <f t="shared" si="8"/>
        <v>671261.4295</v>
      </c>
      <c r="AH247" s="17">
        <f t="shared" si="9"/>
        <v>729631.2985</v>
      </c>
      <c r="AI247" s="17">
        <v>431521.1324322321</v>
      </c>
      <c r="AJ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19">
        <f t="shared" si="10"/>
        <v>32.25</v>
      </c>
      <c r="X248" s="20">
        <f t="shared" si="1"/>
        <v>0</v>
      </c>
      <c r="Y248" s="20">
        <f t="shared" si="2"/>
        <v>0.03903713674</v>
      </c>
      <c r="Z248" s="20">
        <f t="shared" si="3"/>
        <v>513155.5884</v>
      </c>
      <c r="AA248" s="20">
        <f t="shared" si="4"/>
        <v>38.38634334</v>
      </c>
      <c r="AB248" s="20">
        <f t="shared" si="5"/>
        <v>133161.6881</v>
      </c>
      <c r="AC248" s="20">
        <f t="shared" si="6"/>
        <v>451443.8095</v>
      </c>
      <c r="AD248" s="2"/>
      <c r="AE248" s="20">
        <v>513155.5883733486</v>
      </c>
      <c r="AF248" s="20">
        <f t="shared" si="7"/>
        <v>662931.6522</v>
      </c>
      <c r="AG248" s="20">
        <f t="shared" si="8"/>
        <v>652063.1115</v>
      </c>
      <c r="AH248" s="20">
        <f t="shared" si="9"/>
        <v>735352.3989</v>
      </c>
      <c r="AI248" s="20">
        <v>451443.8094765038</v>
      </c>
      <c r="AJ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16">
        <f t="shared" si="10"/>
        <v>32.3</v>
      </c>
      <c r="X249" s="17">
        <f t="shared" si="1"/>
        <v>0</v>
      </c>
      <c r="Y249" s="17">
        <f t="shared" si="2"/>
        <v>0.002587489114</v>
      </c>
      <c r="Z249" s="17">
        <f t="shared" si="3"/>
        <v>460367.9549</v>
      </c>
      <c r="AA249" s="17">
        <f t="shared" si="4"/>
        <v>1688.239195</v>
      </c>
      <c r="AB249" s="17">
        <f t="shared" si="5"/>
        <v>342920.6206</v>
      </c>
      <c r="AC249" s="17">
        <f t="shared" si="6"/>
        <v>468852.5414</v>
      </c>
      <c r="AD249" s="2"/>
      <c r="AE249" s="17">
        <v>460367.95492186735</v>
      </c>
      <c r="AF249" s="17">
        <f t="shared" si="7"/>
        <v>616457.4671</v>
      </c>
      <c r="AG249" s="17">
        <f t="shared" si="8"/>
        <v>628796.8747</v>
      </c>
      <c r="AH249" s="17">
        <f t="shared" si="9"/>
        <v>735723.1075</v>
      </c>
      <c r="AI249" s="17">
        <v>468852.5413626908</v>
      </c>
      <c r="AJ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19">
        <f t="shared" si="10"/>
        <v>32.35</v>
      </c>
      <c r="X250" s="20">
        <f t="shared" si="1"/>
        <v>0</v>
      </c>
      <c r="Y250" s="20">
        <f t="shared" si="2"/>
        <v>0.0001427758933</v>
      </c>
      <c r="Z250" s="20">
        <f t="shared" si="3"/>
        <v>409992.7151</v>
      </c>
      <c r="AA250" s="20">
        <f t="shared" si="4"/>
        <v>35791.93086</v>
      </c>
      <c r="AB250" s="20">
        <f t="shared" si="5"/>
        <v>735836.6046</v>
      </c>
      <c r="AC250" s="20">
        <f t="shared" si="6"/>
        <v>483392.3642</v>
      </c>
      <c r="AD250" s="2"/>
      <c r="AE250" s="20">
        <v>409992.71505210665</v>
      </c>
      <c r="AF250" s="20">
        <f t="shared" si="7"/>
        <v>569057.7645</v>
      </c>
      <c r="AG250" s="20">
        <f t="shared" si="8"/>
        <v>601940.9936</v>
      </c>
      <c r="AH250" s="20">
        <f t="shared" si="9"/>
        <v>730735.3284</v>
      </c>
      <c r="AI250" s="20">
        <v>483392.3641937098</v>
      </c>
      <c r="AJ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16">
        <f t="shared" si="10"/>
        <v>32.4</v>
      </c>
      <c r="X251" s="17">
        <f t="shared" si="1"/>
        <v>0</v>
      </c>
      <c r="Y251" s="17">
        <f t="shared" si="2"/>
        <v>0.000006558537717</v>
      </c>
      <c r="Z251" s="17">
        <f t="shared" si="3"/>
        <v>362461.7854</v>
      </c>
      <c r="AA251" s="17">
        <f t="shared" si="4"/>
        <v>365788.6201</v>
      </c>
      <c r="AB251" s="17">
        <f t="shared" si="5"/>
        <v>1315656.919</v>
      </c>
      <c r="AC251" s="17">
        <f t="shared" si="6"/>
        <v>494759.6077</v>
      </c>
      <c r="AD251" s="2"/>
      <c r="AE251" s="17">
        <v>362461.7854465256</v>
      </c>
      <c r="AF251" s="17">
        <f t="shared" si="7"/>
        <v>521468.9605</v>
      </c>
      <c r="AG251" s="17">
        <f t="shared" si="8"/>
        <v>572031.93</v>
      </c>
      <c r="AH251" s="17">
        <f t="shared" si="9"/>
        <v>720497.7636</v>
      </c>
      <c r="AI251" s="17">
        <v>494759.6077168554</v>
      </c>
      <c r="AJ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19">
        <f t="shared" si="10"/>
        <v>32.45</v>
      </c>
      <c r="X252" s="20">
        <f t="shared" si="1"/>
        <v>0</v>
      </c>
      <c r="Y252" s="20">
        <f t="shared" si="2"/>
        <v>0.0000002508042746</v>
      </c>
      <c r="Z252" s="20">
        <f t="shared" si="3"/>
        <v>318099.7604</v>
      </c>
      <c r="AA252" s="20">
        <f t="shared" si="4"/>
        <v>1802059.665</v>
      </c>
      <c r="AB252" s="20">
        <f t="shared" si="5"/>
        <v>1960096.25</v>
      </c>
      <c r="AC252" s="20">
        <f t="shared" si="6"/>
        <v>502712.433</v>
      </c>
      <c r="AD252" s="2"/>
      <c r="AE252" s="20">
        <v>318099.76037403254</v>
      </c>
      <c r="AF252" s="20">
        <f t="shared" si="7"/>
        <v>474372.4362</v>
      </c>
      <c r="AG252" s="20">
        <f t="shared" si="8"/>
        <v>539646.5755</v>
      </c>
      <c r="AH252" s="20">
        <f t="shared" si="9"/>
        <v>705231.9747</v>
      </c>
      <c r="AI252" s="20">
        <v>502712.43300654384</v>
      </c>
      <c r="AJ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16">
        <f t="shared" si="10"/>
        <v>32.5</v>
      </c>
      <c r="X253" s="17">
        <f t="shared" si="1"/>
        <v>0</v>
      </c>
      <c r="Y253" s="17">
        <f t="shared" si="2"/>
        <v>0.000000007984332735</v>
      </c>
      <c r="Z253" s="17">
        <f t="shared" si="3"/>
        <v>277127.4143</v>
      </c>
      <c r="AA253" s="17">
        <f t="shared" si="4"/>
        <v>4279588.927</v>
      </c>
      <c r="AB253" s="17">
        <f t="shared" si="5"/>
        <v>2433243.77</v>
      </c>
      <c r="AC253" s="17">
        <f t="shared" si="6"/>
        <v>507079.3853</v>
      </c>
      <c r="AD253" s="2"/>
      <c r="AE253" s="17">
        <v>277127.41431012</v>
      </c>
      <c r="AF253" s="17">
        <f t="shared" si="7"/>
        <v>428380.1147</v>
      </c>
      <c r="AG253" s="17">
        <f t="shared" si="8"/>
        <v>505383.8781</v>
      </c>
      <c r="AH253" s="17">
        <f t="shared" si="9"/>
        <v>685264.4104</v>
      </c>
      <c r="AI253" s="17">
        <v>507079.38526315766</v>
      </c>
      <c r="AJ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19">
        <f t="shared" si="10"/>
        <v>32.55</v>
      </c>
      <c r="X254" s="20">
        <f t="shared" si="1"/>
        <v>0</v>
      </c>
      <c r="Y254" s="20">
        <f t="shared" si="2"/>
        <v>0.0000000002116011871</v>
      </c>
      <c r="Z254" s="20">
        <f t="shared" si="3"/>
        <v>239668.3404</v>
      </c>
      <c r="AA254" s="20">
        <f t="shared" si="4"/>
        <v>4899241.614</v>
      </c>
      <c r="AB254" s="20">
        <f t="shared" si="5"/>
        <v>2516907.882</v>
      </c>
      <c r="AC254" s="20">
        <f t="shared" si="6"/>
        <v>507765.5394</v>
      </c>
      <c r="AD254" s="2"/>
      <c r="AE254" s="20">
        <v>239668.34039391432</v>
      </c>
      <c r="AF254" s="20">
        <f t="shared" si="7"/>
        <v>384023.7049</v>
      </c>
      <c r="AG254" s="20">
        <f t="shared" si="8"/>
        <v>469846.662</v>
      </c>
      <c r="AH254" s="20">
        <f t="shared" si="9"/>
        <v>661014.8014</v>
      </c>
      <c r="AI254" s="20">
        <v>507765.53937105526</v>
      </c>
      <c r="AJ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16">
        <f t="shared" si="10"/>
        <v>32.6</v>
      </c>
      <c r="X255" s="17">
        <f t="shared" si="1"/>
        <v>0</v>
      </c>
      <c r="Y255" s="17">
        <f t="shared" si="2"/>
        <v>0</v>
      </c>
      <c r="Z255" s="17">
        <f t="shared" si="3"/>
        <v>205758.0705</v>
      </c>
      <c r="AA255" s="17">
        <f t="shared" si="4"/>
        <v>2703644.425</v>
      </c>
      <c r="AB255" s="17">
        <f t="shared" si="5"/>
        <v>2169314.403</v>
      </c>
      <c r="AC255" s="17">
        <f t="shared" si="6"/>
        <v>504755.9306</v>
      </c>
      <c r="AD255" s="2"/>
      <c r="AE255" s="17">
        <v>205758.07049705385</v>
      </c>
      <c r="AF255" s="17">
        <f t="shared" si="7"/>
        <v>341747.7289</v>
      </c>
      <c r="AG255" s="17">
        <f t="shared" si="8"/>
        <v>433624.4</v>
      </c>
      <c r="AH255" s="17">
        <f t="shared" si="9"/>
        <v>632981.4989</v>
      </c>
      <c r="AI255" s="17">
        <v>504755.93057977915</v>
      </c>
      <c r="AJ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19">
        <f t="shared" si="10"/>
        <v>32.65</v>
      </c>
      <c r="X256" s="20">
        <f t="shared" si="1"/>
        <v>0</v>
      </c>
      <c r="Y256" s="20">
        <f t="shared" si="2"/>
        <v>0</v>
      </c>
      <c r="Z256" s="20">
        <f t="shared" si="3"/>
        <v>175354.9864</v>
      </c>
      <c r="AA256" s="20">
        <f t="shared" si="4"/>
        <v>719224.0538</v>
      </c>
      <c r="AB256" s="20">
        <f t="shared" si="5"/>
        <v>1557941.54</v>
      </c>
      <c r="AC256" s="20">
        <f t="shared" si="6"/>
        <v>498116.0971</v>
      </c>
      <c r="AD256" s="2"/>
      <c r="AE256" s="20">
        <v>175354.98636038537</v>
      </c>
      <c r="AF256" s="20">
        <f t="shared" si="7"/>
        <v>301906.2576</v>
      </c>
      <c r="AG256" s="20">
        <f t="shared" si="8"/>
        <v>397277.6031</v>
      </c>
      <c r="AH256" s="20">
        <f t="shared" si="9"/>
        <v>601724.4704</v>
      </c>
      <c r="AI256" s="20">
        <v>498116.09714472684</v>
      </c>
      <c r="AJ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16">
        <f t="shared" si="10"/>
        <v>32.7</v>
      </c>
      <c r="X257" s="17">
        <f t="shared" si="1"/>
        <v>0</v>
      </c>
      <c r="Y257" s="17">
        <f t="shared" si="2"/>
        <v>0</v>
      </c>
      <c r="Z257" s="17">
        <f t="shared" si="3"/>
        <v>148352.3371</v>
      </c>
      <c r="AA257" s="17">
        <f t="shared" si="4"/>
        <v>92230.11425</v>
      </c>
      <c r="AB257" s="17">
        <f t="shared" si="5"/>
        <v>932294.8667</v>
      </c>
      <c r="AC257" s="17">
        <f t="shared" si="6"/>
        <v>487989.7074</v>
      </c>
      <c r="AD257" s="2"/>
      <c r="AE257" s="17">
        <v>148352.33705925284</v>
      </c>
      <c r="AF257" s="17">
        <f t="shared" si="7"/>
        <v>264763.1052</v>
      </c>
      <c r="AG257" s="17">
        <f t="shared" si="8"/>
        <v>361324.3715</v>
      </c>
      <c r="AH257" s="17">
        <f t="shared" si="9"/>
        <v>567846.7639</v>
      </c>
      <c r="AI257" s="17">
        <v>487989.70744637505</v>
      </c>
      <c r="AJ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19">
        <f t="shared" si="10"/>
        <v>32.75</v>
      </c>
      <c r="X258" s="20">
        <f t="shared" si="1"/>
        <v>0</v>
      </c>
      <c r="Y258" s="20">
        <f t="shared" si="2"/>
        <v>0</v>
      </c>
      <c r="Z258" s="20">
        <f t="shared" si="3"/>
        <v>124590.7201</v>
      </c>
      <c r="AA258" s="20">
        <f t="shared" si="4"/>
        <v>5701.317185</v>
      </c>
      <c r="AB258" s="20">
        <f t="shared" si="5"/>
        <v>464867.2029</v>
      </c>
      <c r="AC258" s="20">
        <f t="shared" si="6"/>
        <v>474593.3916</v>
      </c>
      <c r="AD258" s="2"/>
      <c r="AE258" s="20">
        <v>124590.72010180705</v>
      </c>
      <c r="AF258" s="20">
        <f t="shared" si="7"/>
        <v>230495.0965</v>
      </c>
      <c r="AG258" s="20">
        <f t="shared" si="8"/>
        <v>326229.5025</v>
      </c>
      <c r="AH258" s="20">
        <f t="shared" si="9"/>
        <v>531975.2921</v>
      </c>
      <c r="AI258" s="20">
        <v>474593.39157500246</v>
      </c>
      <c r="AJ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16">
        <f t="shared" si="10"/>
        <v>32.8</v>
      </c>
      <c r="X259" s="17">
        <f t="shared" si="1"/>
        <v>0</v>
      </c>
      <c r="Y259" s="17">
        <f t="shared" si="2"/>
        <v>0</v>
      </c>
      <c r="Z259" s="17">
        <f t="shared" si="3"/>
        <v>103870.4542</v>
      </c>
      <c r="AA259" s="17">
        <f t="shared" si="4"/>
        <v>169.8914696</v>
      </c>
      <c r="AB259" s="17">
        <f t="shared" si="5"/>
        <v>193142.5672</v>
      </c>
      <c r="AC259" s="17">
        <f t="shared" si="6"/>
        <v>458209.0371</v>
      </c>
      <c r="AD259" s="2"/>
      <c r="AE259" s="17">
        <v>103870.45421000963</v>
      </c>
      <c r="AF259" s="17">
        <f t="shared" si="7"/>
        <v>199197.9154</v>
      </c>
      <c r="AG259" s="17">
        <f t="shared" si="8"/>
        <v>292396.3963</v>
      </c>
      <c r="AH259" s="17">
        <f t="shared" si="9"/>
        <v>494741.7867</v>
      </c>
      <c r="AI259" s="17">
        <v>458209.03705377993</v>
      </c>
      <c r="AJ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19">
        <f t="shared" si="10"/>
        <v>32.85</v>
      </c>
      <c r="X260" s="20">
        <f t="shared" si="1"/>
        <v>0</v>
      </c>
      <c r="Y260" s="20">
        <f t="shared" si="2"/>
        <v>0</v>
      </c>
      <c r="Z260" s="20">
        <f t="shared" si="3"/>
        <v>85963.36287</v>
      </c>
      <c r="AA260" s="20">
        <f t="shared" si="4"/>
        <v>2.44040472</v>
      </c>
      <c r="AB260" s="20">
        <f t="shared" si="5"/>
        <v>66865.26504</v>
      </c>
      <c r="AC260" s="20">
        <f t="shared" si="6"/>
        <v>439173.9313</v>
      </c>
      <c r="AD260" s="2"/>
      <c r="AE260" s="20">
        <v>85963.36287479085</v>
      </c>
      <c r="AF260" s="20">
        <f t="shared" si="7"/>
        <v>170893.9788</v>
      </c>
      <c r="AG260" s="20">
        <f t="shared" si="8"/>
        <v>260161.8436</v>
      </c>
      <c r="AH260" s="20">
        <f t="shared" si="9"/>
        <v>456764.7172</v>
      </c>
      <c r="AI260" s="20">
        <v>439173.9313255295</v>
      </c>
      <c r="AJ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16">
        <f t="shared" si="10"/>
        <v>32.9</v>
      </c>
      <c r="X261" s="17">
        <f t="shared" si="1"/>
        <v>0</v>
      </c>
      <c r="Y261" s="17">
        <f t="shared" si="2"/>
        <v>0</v>
      </c>
      <c r="Z261" s="17">
        <f t="shared" si="3"/>
        <v>70623.59059</v>
      </c>
      <c r="AA261" s="17">
        <f t="shared" si="4"/>
        <v>0.01689841818</v>
      </c>
      <c r="AB261" s="17">
        <f t="shared" si="5"/>
        <v>19288.41847</v>
      </c>
      <c r="AC261" s="17">
        <f t="shared" si="6"/>
        <v>417869.2322</v>
      </c>
      <c r="AD261" s="2"/>
      <c r="AE261" s="17">
        <v>70623.59058625068</v>
      </c>
      <c r="AF261" s="17">
        <f t="shared" si="7"/>
        <v>145541.7548</v>
      </c>
      <c r="AG261" s="17">
        <f t="shared" si="8"/>
        <v>229793.633</v>
      </c>
      <c r="AH261" s="17">
        <f t="shared" si="9"/>
        <v>418632.8754</v>
      </c>
      <c r="AI261" s="17">
        <v>417869.2322105766</v>
      </c>
      <c r="AJ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19">
        <f t="shared" si="10"/>
        <v>32.95</v>
      </c>
      <c r="X262" s="20">
        <f t="shared" si="1"/>
        <v>0</v>
      </c>
      <c r="Y262" s="20">
        <f t="shared" si="2"/>
        <v>0</v>
      </c>
      <c r="Z262" s="20">
        <f t="shared" si="3"/>
        <v>57597.18021</v>
      </c>
      <c r="AA262" s="20">
        <f t="shared" si="4"/>
        <v>0.00005640585198</v>
      </c>
      <c r="AB262" s="20">
        <f t="shared" si="5"/>
        <v>4636.242536</v>
      </c>
      <c r="AC262" s="20">
        <f t="shared" si="6"/>
        <v>394707.316</v>
      </c>
      <c r="AD262" s="2"/>
      <c r="AE262" s="20">
        <v>57597.18020901976</v>
      </c>
      <c r="AF262" s="20">
        <f t="shared" si="7"/>
        <v>123045.9508</v>
      </c>
      <c r="AG262" s="20">
        <f t="shared" si="8"/>
        <v>201490.7832</v>
      </c>
      <c r="AH262" s="20">
        <f t="shared" si="9"/>
        <v>380891.1979</v>
      </c>
      <c r="AI262" s="20">
        <v>394707.3160104625</v>
      </c>
      <c r="AJ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16">
        <f t="shared" si="10"/>
        <v>33</v>
      </c>
      <c r="X263" s="17">
        <f t="shared" si="1"/>
        <v>0</v>
      </c>
      <c r="Y263" s="17">
        <f t="shared" si="2"/>
        <v>0</v>
      </c>
      <c r="Z263" s="17">
        <f t="shared" si="3"/>
        <v>46630.24332</v>
      </c>
      <c r="AA263" s="17">
        <f t="shared" si="4"/>
        <v>0.00000009076035525</v>
      </c>
      <c r="AB263" s="17">
        <f t="shared" si="5"/>
        <v>928.5582503</v>
      </c>
      <c r="AC263" s="17">
        <f t="shared" si="6"/>
        <v>370118.5878</v>
      </c>
      <c r="AD263" s="2"/>
      <c r="AE263" s="17">
        <v>46630.24331958015</v>
      </c>
      <c r="AF263" s="17">
        <f t="shared" si="7"/>
        <v>103268.0364</v>
      </c>
      <c r="AG263" s="17">
        <f t="shared" si="8"/>
        <v>175386.1047</v>
      </c>
      <c r="AH263" s="17">
        <f t="shared" si="9"/>
        <v>344029.249</v>
      </c>
      <c r="AI263" s="17">
        <v>370118.58783709496</v>
      </c>
      <c r="AJ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19">
        <f t="shared" si="10"/>
        <v>33.05</v>
      </c>
      <c r="X264" s="20">
        <f t="shared" si="1"/>
        <v>0</v>
      </c>
      <c r="Y264" s="20">
        <f t="shared" si="2"/>
        <v>0</v>
      </c>
      <c r="Z264" s="20">
        <f t="shared" si="3"/>
        <v>37475.64983</v>
      </c>
      <c r="AA264" s="20">
        <f t="shared" si="4"/>
        <v>0</v>
      </c>
      <c r="AB264" s="20">
        <f t="shared" si="5"/>
        <v>154.9621515</v>
      </c>
      <c r="AC264" s="20">
        <f t="shared" si="6"/>
        <v>344538.3391</v>
      </c>
      <c r="AD264" s="2"/>
      <c r="AE264" s="20">
        <v>37475.64983238572</v>
      </c>
      <c r="AF264" s="20">
        <f t="shared" si="7"/>
        <v>86036.62897</v>
      </c>
      <c r="AG264" s="20">
        <f t="shared" si="8"/>
        <v>151550.713</v>
      </c>
      <c r="AH264" s="20">
        <f t="shared" si="9"/>
        <v>308472.6207</v>
      </c>
      <c r="AI264" s="20">
        <v>344538.33913611807</v>
      </c>
      <c r="AJ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16">
        <f t="shared" si="10"/>
        <v>33.1</v>
      </c>
      <c r="X265" s="17">
        <f t="shared" si="1"/>
        <v>0</v>
      </c>
      <c r="Y265" s="17">
        <f t="shared" si="2"/>
        <v>0</v>
      </c>
      <c r="Z265" s="17">
        <f t="shared" si="3"/>
        <v>29898.24485</v>
      </c>
      <c r="AA265" s="17">
        <f t="shared" si="4"/>
        <v>0</v>
      </c>
      <c r="AB265" s="17">
        <f t="shared" si="5"/>
        <v>21.54842835</v>
      </c>
      <c r="AC265" s="17">
        <f t="shared" si="6"/>
        <v>318394.2048</v>
      </c>
      <c r="AD265" s="2"/>
      <c r="AE265" s="17">
        <v>29898.244846658385</v>
      </c>
      <c r="AF265" s="17">
        <f t="shared" si="7"/>
        <v>71157.34345</v>
      </c>
      <c r="AG265" s="17">
        <f t="shared" si="8"/>
        <v>130000.071</v>
      </c>
      <c r="AH265" s="17">
        <f t="shared" si="9"/>
        <v>274577.3465</v>
      </c>
      <c r="AI265" s="17">
        <v>318394.20476824103</v>
      </c>
      <c r="AJ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19">
        <f t="shared" si="10"/>
        <v>33.15</v>
      </c>
      <c r="X266" s="20">
        <f t="shared" si="1"/>
        <v>0</v>
      </c>
      <c r="Y266" s="20">
        <f t="shared" si="2"/>
        <v>0</v>
      </c>
      <c r="Z266" s="20">
        <f t="shared" si="3"/>
        <v>23678.66685</v>
      </c>
      <c r="AA266" s="20">
        <f t="shared" si="4"/>
        <v>0</v>
      </c>
      <c r="AB266" s="20">
        <f t="shared" si="5"/>
        <v>2.496772895</v>
      </c>
      <c r="AC266" s="20">
        <f t="shared" si="6"/>
        <v>292094.7102</v>
      </c>
      <c r="AD266" s="2"/>
      <c r="AE266" s="20">
        <v>23678.666848180834</v>
      </c>
      <c r="AF266" s="20">
        <f t="shared" si="7"/>
        <v>58421.80082</v>
      </c>
      <c r="AG266" s="20">
        <f t="shared" si="8"/>
        <v>110701.116</v>
      </c>
      <c r="AH266" s="20">
        <f t="shared" si="9"/>
        <v>242627.2685</v>
      </c>
      <c r="AI266" s="20">
        <v>292094.7101803282</v>
      </c>
      <c r="AJ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16">
        <f t="shared" si="10"/>
        <v>33.2</v>
      </c>
      <c r="X267" s="17">
        <f t="shared" si="1"/>
        <v>0</v>
      </c>
      <c r="Y267" s="17">
        <f t="shared" si="2"/>
        <v>0</v>
      </c>
      <c r="Z267" s="17">
        <f t="shared" si="3"/>
        <v>18615.89117</v>
      </c>
      <c r="AA267" s="17">
        <f t="shared" si="4"/>
        <v>0</v>
      </c>
      <c r="AB267" s="17">
        <f t="shared" si="5"/>
        <v>0.241054898</v>
      </c>
      <c r="AC267" s="17">
        <f t="shared" si="6"/>
        <v>266019.3137</v>
      </c>
      <c r="AD267" s="2"/>
      <c r="AE267" s="17">
        <v>18615.89117030804</v>
      </c>
      <c r="AF267" s="17">
        <f t="shared" si="7"/>
        <v>47615.57434</v>
      </c>
      <c r="AG267" s="17">
        <f t="shared" si="8"/>
        <v>93580.03696</v>
      </c>
      <c r="AH267" s="17">
        <f t="shared" si="9"/>
        <v>212834.1627</v>
      </c>
      <c r="AI267" s="17">
        <v>266019.31374615605</v>
      </c>
      <c r="AJ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19">
        <f t="shared" si="10"/>
        <v>33.25</v>
      </c>
      <c r="X268" s="20">
        <f t="shared" si="1"/>
        <v>0</v>
      </c>
      <c r="Y268" s="20">
        <f t="shared" si="2"/>
        <v>0</v>
      </c>
      <c r="Z268" s="20">
        <f t="shared" si="3"/>
        <v>14528.65619</v>
      </c>
      <c r="AA268" s="20">
        <f t="shared" si="4"/>
        <v>0</v>
      </c>
      <c r="AB268" s="20">
        <f t="shared" si="5"/>
        <v>0.0193921677</v>
      </c>
      <c r="AC268" s="20">
        <f t="shared" si="6"/>
        <v>240510.2472</v>
      </c>
      <c r="AD268" s="2"/>
      <c r="AE268" s="20">
        <v>14528.656194069468</v>
      </c>
      <c r="AF268" s="20">
        <f t="shared" si="7"/>
        <v>38524.94152</v>
      </c>
      <c r="AG268" s="20">
        <f t="shared" si="8"/>
        <v>78530.29514</v>
      </c>
      <c r="AH268" s="20">
        <f t="shared" si="9"/>
        <v>185340.3139</v>
      </c>
      <c r="AI268" s="20">
        <v>240510.24719309693</v>
      </c>
      <c r="AJ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16">
        <f t="shared" si="10"/>
        <v>33.3</v>
      </c>
      <c r="X269" s="17">
        <f t="shared" si="1"/>
        <v>0</v>
      </c>
      <c r="Y269" s="17">
        <f t="shared" si="2"/>
        <v>0</v>
      </c>
      <c r="Z269" s="17">
        <f t="shared" si="3"/>
        <v>11255.94839</v>
      </c>
      <c r="AA269" s="17">
        <f t="shared" si="4"/>
        <v>0</v>
      </c>
      <c r="AB269" s="17">
        <f t="shared" si="5"/>
        <v>0.001299900869</v>
      </c>
      <c r="AC269" s="17">
        <f t="shared" si="6"/>
        <v>215866.3458</v>
      </c>
      <c r="AD269" s="2"/>
      <c r="AE269" s="17">
        <v>11255.948394346682</v>
      </c>
      <c r="AF269" s="17">
        <f t="shared" si="7"/>
        <v>30942.38765</v>
      </c>
      <c r="AG269" s="17">
        <f t="shared" si="8"/>
        <v>65420.5289</v>
      </c>
      <c r="AH269" s="17">
        <f t="shared" si="9"/>
        <v>160223.1531</v>
      </c>
      <c r="AI269" s="17">
        <v>215866.3457513195</v>
      </c>
      <c r="AJ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19">
        <f t="shared" si="10"/>
        <v>33.35</v>
      </c>
      <c r="X270" s="20">
        <f t="shared" si="1"/>
        <v>0</v>
      </c>
      <c r="Y270" s="20">
        <f t="shared" si="2"/>
        <v>0</v>
      </c>
      <c r="Z270" s="20">
        <f t="shared" si="3"/>
        <v>8656.727982</v>
      </c>
      <c r="AA270" s="20">
        <f t="shared" si="4"/>
        <v>0</v>
      </c>
      <c r="AB270" s="20">
        <f t="shared" si="5"/>
        <v>0.00007260517703</v>
      </c>
      <c r="AC270" s="20">
        <f t="shared" si="6"/>
        <v>192338.9469</v>
      </c>
      <c r="AD270" s="2"/>
      <c r="AE270" s="20">
        <v>8656.72798233521</v>
      </c>
      <c r="AF270" s="20">
        <f t="shared" si="7"/>
        <v>24670.87376</v>
      </c>
      <c r="AG270" s="20">
        <f t="shared" si="8"/>
        <v>54102.04436</v>
      </c>
      <c r="AH270" s="20">
        <f t="shared" si="9"/>
        <v>137501.5136</v>
      </c>
      <c r="AI270" s="20">
        <v>192338.9469208125</v>
      </c>
      <c r="AJ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16">
        <f t="shared" si="10"/>
        <v>33.4</v>
      </c>
      <c r="X271" s="17">
        <f t="shared" si="1"/>
        <v>0</v>
      </c>
      <c r="Y271" s="17">
        <f t="shared" si="2"/>
        <v>0</v>
      </c>
      <c r="Z271" s="17">
        <f t="shared" si="3"/>
        <v>6609.071951</v>
      </c>
      <c r="AA271" s="17">
        <f t="shared" si="4"/>
        <v>0</v>
      </c>
      <c r="AB271" s="17">
        <f t="shared" si="5"/>
        <v>0.000003379079593</v>
      </c>
      <c r="AC271" s="17">
        <f t="shared" si="6"/>
        <v>170129.8297</v>
      </c>
      <c r="AD271" s="2"/>
      <c r="AE271" s="17">
        <v>6609.071951109712</v>
      </c>
      <c r="AF271" s="17">
        <f t="shared" si="7"/>
        <v>19526.93645</v>
      </c>
      <c r="AG271" s="17">
        <f t="shared" si="8"/>
        <v>44415.6585</v>
      </c>
      <c r="AH271" s="17">
        <f t="shared" si="9"/>
        <v>117143.0449</v>
      </c>
      <c r="AI271" s="17">
        <v>170129.82967538576</v>
      </c>
      <c r="AJ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19">
        <f t="shared" si="10"/>
        <v>33.45</v>
      </c>
      <c r="X272" s="20">
        <f t="shared" si="1"/>
        <v>0</v>
      </c>
      <c r="Y272" s="20">
        <f t="shared" si="2"/>
        <v>0</v>
      </c>
      <c r="Z272" s="20">
        <f t="shared" si="3"/>
        <v>5008.89837</v>
      </c>
      <c r="AA272" s="20">
        <f t="shared" si="4"/>
        <v>0</v>
      </c>
      <c r="AB272" s="20">
        <f t="shared" si="5"/>
        <v>0.0000001310396525</v>
      </c>
      <c r="AC272" s="20">
        <f t="shared" si="6"/>
        <v>149391.0706</v>
      </c>
      <c r="AD272" s="2"/>
      <c r="AE272" s="20">
        <v>5008.898370349048</v>
      </c>
      <c r="AF272" s="20">
        <f t="shared" si="7"/>
        <v>15342.72738</v>
      </c>
      <c r="AG272" s="20">
        <f t="shared" si="8"/>
        <v>36197.73017</v>
      </c>
      <c r="AH272" s="20">
        <f t="shared" si="9"/>
        <v>99072.32681</v>
      </c>
      <c r="AI272" s="20">
        <v>149391.0706162181</v>
      </c>
      <c r="AJ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16">
        <f t="shared" si="10"/>
        <v>33.5</v>
      </c>
      <c r="X273" s="17">
        <f t="shared" si="1"/>
        <v>0</v>
      </c>
      <c r="Y273" s="17">
        <f t="shared" si="2"/>
        <v>0</v>
      </c>
      <c r="Z273" s="17">
        <f t="shared" si="3"/>
        <v>3768.417321</v>
      </c>
      <c r="AA273" s="17">
        <f t="shared" si="4"/>
        <v>0</v>
      </c>
      <c r="AB273" s="17">
        <f t="shared" si="5"/>
        <v>0.000000004234289253</v>
      </c>
      <c r="AC273" s="17">
        <f t="shared" si="6"/>
        <v>130226.6148</v>
      </c>
      <c r="AD273" s="2"/>
      <c r="AE273" s="17">
        <v>3768.4173208418197</v>
      </c>
      <c r="AF273" s="17">
        <f t="shared" si="7"/>
        <v>11967.12693</v>
      </c>
      <c r="AG273" s="17">
        <f t="shared" si="8"/>
        <v>29285.27964</v>
      </c>
      <c r="AH273" s="17">
        <f t="shared" si="9"/>
        <v>83179.25805</v>
      </c>
      <c r="AI273" s="17">
        <v>130226.614766099</v>
      </c>
      <c r="AJ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19">
        <f t="shared" si="10"/>
        <v>33.55</v>
      </c>
      <c r="X274" s="20">
        <f t="shared" si="1"/>
        <v>0</v>
      </c>
      <c r="Y274" s="20">
        <f t="shared" si="2"/>
        <v>0</v>
      </c>
      <c r="Z274" s="20">
        <f t="shared" si="3"/>
        <v>2814.432218</v>
      </c>
      <c r="AA274" s="20">
        <f t="shared" si="4"/>
        <v>0</v>
      </c>
      <c r="AB274" s="20">
        <f t="shared" si="5"/>
        <v>0.0000000001140070715</v>
      </c>
      <c r="AC274" s="20">
        <f t="shared" si="6"/>
        <v>112695.2995</v>
      </c>
      <c r="AD274" s="2"/>
      <c r="AE274" s="20">
        <v>2814.4322181553675</v>
      </c>
      <c r="AF274" s="20">
        <f t="shared" si="7"/>
        <v>9266.081168</v>
      </c>
      <c r="AG274" s="20">
        <f t="shared" si="8"/>
        <v>23520.15699</v>
      </c>
      <c r="AH274" s="20">
        <f t="shared" si="9"/>
        <v>69327.34146</v>
      </c>
      <c r="AI274" s="20">
        <v>112695.2994682674</v>
      </c>
      <c r="AJ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16">
        <f t="shared" si="10"/>
        <v>33.6</v>
      </c>
      <c r="X275" s="17">
        <f t="shared" si="1"/>
        <v>0</v>
      </c>
      <c r="Y275" s="17">
        <f t="shared" si="2"/>
        <v>0</v>
      </c>
      <c r="Z275" s="17">
        <f t="shared" si="3"/>
        <v>2086.592429</v>
      </c>
      <c r="AA275" s="17">
        <f t="shared" si="4"/>
        <v>0</v>
      </c>
      <c r="AB275" s="17">
        <f t="shared" si="5"/>
        <v>0</v>
      </c>
      <c r="AC275" s="17">
        <f t="shared" si="6"/>
        <v>96815.03166</v>
      </c>
      <c r="AD275" s="2"/>
      <c r="AE275" s="17">
        <v>2086.592429383807</v>
      </c>
      <c r="AF275" s="17">
        <f t="shared" si="7"/>
        <v>7122.314986</v>
      </c>
      <c r="AG275" s="17">
        <f t="shared" si="8"/>
        <v>18752.27059</v>
      </c>
      <c r="AH275" s="17">
        <f t="shared" si="9"/>
        <v>57361.54962</v>
      </c>
      <c r="AI275" s="17">
        <v>96815.03165905835</v>
      </c>
      <c r="AJ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19">
        <f t="shared" si="10"/>
        <v>33.65</v>
      </c>
      <c r="X276" s="20">
        <f t="shared" si="1"/>
        <v>0</v>
      </c>
      <c r="Y276" s="20">
        <f t="shared" si="2"/>
        <v>0</v>
      </c>
      <c r="Z276" s="20">
        <f t="shared" si="3"/>
        <v>1535.675629</v>
      </c>
      <c r="AA276" s="20">
        <f t="shared" si="4"/>
        <v>0</v>
      </c>
      <c r="AB276" s="20">
        <f t="shared" si="5"/>
        <v>0</v>
      </c>
      <c r="AC276" s="20">
        <f t="shared" si="6"/>
        <v>82567.80147</v>
      </c>
      <c r="AD276" s="2"/>
      <c r="AE276" s="20">
        <v>1535.6756290139556</v>
      </c>
      <c r="AF276" s="20">
        <f t="shared" si="7"/>
        <v>5434.569242</v>
      </c>
      <c r="AG276" s="20">
        <f t="shared" si="8"/>
        <v>14841.92764</v>
      </c>
      <c r="AH276" s="20">
        <f t="shared" si="9"/>
        <v>47115.52438</v>
      </c>
      <c r="AI276" s="20">
        <v>82567.80146802962</v>
      </c>
      <c r="AJ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16">
        <f t="shared" si="10"/>
        <v>33.7</v>
      </c>
      <c r="X277" s="17">
        <f t="shared" si="1"/>
        <v>0</v>
      </c>
      <c r="Y277" s="17">
        <f t="shared" si="2"/>
        <v>0</v>
      </c>
      <c r="Z277" s="17">
        <f t="shared" si="3"/>
        <v>1121.957454</v>
      </c>
      <c r="AA277" s="17">
        <f t="shared" si="4"/>
        <v>0</v>
      </c>
      <c r="AB277" s="17">
        <f t="shared" si="5"/>
        <v>0</v>
      </c>
      <c r="AC277" s="17">
        <f t="shared" si="6"/>
        <v>69905.21712</v>
      </c>
      <c r="AD277" s="2"/>
      <c r="AE277" s="17">
        <v>1121.9574535799968</v>
      </c>
      <c r="AF277" s="17">
        <f t="shared" si="7"/>
        <v>4116.498391</v>
      </c>
      <c r="AG277" s="17">
        <f t="shared" si="8"/>
        <v>11661.36967</v>
      </c>
      <c r="AH277" s="17">
        <f t="shared" si="9"/>
        <v>38417.93414</v>
      </c>
      <c r="AI277" s="17">
        <v>69905.21711690568</v>
      </c>
      <c r="AJ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19">
        <f t="shared" si="10"/>
        <v>33.75</v>
      </c>
      <c r="X278" s="20">
        <f t="shared" si="1"/>
        <v>0</v>
      </c>
      <c r="Y278" s="20">
        <f t="shared" si="2"/>
        <v>0</v>
      </c>
      <c r="Z278" s="20">
        <f t="shared" si="3"/>
        <v>813.7074931</v>
      </c>
      <c r="AA278" s="20">
        <f t="shared" si="4"/>
        <v>0</v>
      </c>
      <c r="AB278" s="20">
        <f t="shared" si="5"/>
        <v>0</v>
      </c>
      <c r="AC278" s="20">
        <f t="shared" si="6"/>
        <v>58754.26479</v>
      </c>
      <c r="AD278" s="2"/>
      <c r="AE278" s="20">
        <v>813.7074930651326</v>
      </c>
      <c r="AF278" s="20">
        <f t="shared" si="7"/>
        <v>3095.349175</v>
      </c>
      <c r="AG278" s="20">
        <f t="shared" si="8"/>
        <v>9095.605581</v>
      </c>
      <c r="AH278" s="20">
        <f t="shared" si="9"/>
        <v>31097.88199</v>
      </c>
      <c r="AI278" s="20">
        <v>58754.26478872613</v>
      </c>
      <c r="AJ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16">
        <f t="shared" si="10"/>
        <v>33.8</v>
      </c>
      <c r="X279" s="17">
        <f t="shared" si="1"/>
        <v>0</v>
      </c>
      <c r="Y279" s="17">
        <f t="shared" si="2"/>
        <v>0</v>
      </c>
      <c r="Z279" s="17">
        <f t="shared" si="3"/>
        <v>585.8349447</v>
      </c>
      <c r="AA279" s="17">
        <f t="shared" si="4"/>
        <v>0</v>
      </c>
      <c r="AB279" s="17">
        <f t="shared" si="5"/>
        <v>0</v>
      </c>
      <c r="AC279" s="17">
        <f t="shared" si="6"/>
        <v>49023.02911</v>
      </c>
      <c r="AD279" s="2"/>
      <c r="AE279" s="17">
        <v>585.834944748515</v>
      </c>
      <c r="AF279" s="17">
        <f t="shared" si="7"/>
        <v>2310.522585</v>
      </c>
      <c r="AG279" s="17">
        <f t="shared" si="8"/>
        <v>7042.656072</v>
      </c>
      <c r="AH279" s="17">
        <f t="shared" si="9"/>
        <v>24989.32006</v>
      </c>
      <c r="AI279" s="17">
        <v>49023.02910548053</v>
      </c>
      <c r="AJ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19">
        <f t="shared" si="10"/>
        <v>33.85</v>
      </c>
      <c r="X280" s="20">
        <f t="shared" si="1"/>
        <v>0</v>
      </c>
      <c r="Y280" s="20">
        <f t="shared" si="2"/>
        <v>0</v>
      </c>
      <c r="Z280" s="20">
        <f t="shared" si="3"/>
        <v>418.6945068</v>
      </c>
      <c r="AA280" s="20">
        <f t="shared" si="4"/>
        <v>0</v>
      </c>
      <c r="AB280" s="20">
        <f t="shared" si="5"/>
        <v>0</v>
      </c>
      <c r="AC280" s="20">
        <f t="shared" si="6"/>
        <v>40606.15126</v>
      </c>
      <c r="AD280" s="2"/>
      <c r="AE280" s="20">
        <v>418.6945067960291</v>
      </c>
      <c r="AF280" s="20">
        <f t="shared" si="7"/>
        <v>1712.10211</v>
      </c>
      <c r="AG280" s="20">
        <f t="shared" si="8"/>
        <v>5413.325537</v>
      </c>
      <c r="AH280" s="20">
        <f t="shared" si="9"/>
        <v>19934.47914</v>
      </c>
      <c r="AI280" s="20">
        <v>40606.15126212574</v>
      </c>
      <c r="AJ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16">
        <f t="shared" si="10"/>
        <v>33.9</v>
      </c>
      <c r="X281" s="17">
        <f t="shared" si="1"/>
        <v>0</v>
      </c>
      <c r="Y281" s="17">
        <f t="shared" si="2"/>
        <v>0</v>
      </c>
      <c r="Z281" s="17">
        <f t="shared" si="3"/>
        <v>297.0532332</v>
      </c>
      <c r="AA281" s="17">
        <f t="shared" si="4"/>
        <v>0</v>
      </c>
      <c r="AB281" s="17">
        <f t="shared" si="5"/>
        <v>0</v>
      </c>
      <c r="AC281" s="17">
        <f t="shared" si="6"/>
        <v>33389.84882</v>
      </c>
      <c r="AD281" s="2"/>
      <c r="AE281" s="17">
        <v>297.0532332170674</v>
      </c>
      <c r="AF281" s="17">
        <f t="shared" si="7"/>
        <v>1259.412445</v>
      </c>
      <c r="AG281" s="17">
        <f t="shared" si="8"/>
        <v>4130.614005</v>
      </c>
      <c r="AH281" s="17">
        <f t="shared" si="9"/>
        <v>15786.36612</v>
      </c>
      <c r="AI281" s="17">
        <v>33389.84882343858</v>
      </c>
      <c r="AJ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19">
        <f t="shared" si="10"/>
        <v>33.95</v>
      </c>
      <c r="X282" s="20">
        <f t="shared" si="1"/>
        <v>0</v>
      </c>
      <c r="Y282" s="20">
        <f t="shared" si="2"/>
        <v>0</v>
      </c>
      <c r="Z282" s="20">
        <f t="shared" si="3"/>
        <v>209.2118769</v>
      </c>
      <c r="AA282" s="20">
        <f t="shared" si="4"/>
        <v>0</v>
      </c>
      <c r="AB282" s="20">
        <f t="shared" si="5"/>
        <v>0</v>
      </c>
      <c r="AC282" s="20">
        <f t="shared" si="6"/>
        <v>27256.37003</v>
      </c>
      <c r="AD282" s="2"/>
      <c r="AE282" s="20">
        <v>209.2118768572118</v>
      </c>
      <c r="AF282" s="20">
        <f t="shared" si="7"/>
        <v>919.6554993</v>
      </c>
      <c r="AG282" s="20">
        <f t="shared" si="8"/>
        <v>3128.87264</v>
      </c>
      <c r="AH282" s="20">
        <f t="shared" si="9"/>
        <v>12410.41412</v>
      </c>
      <c r="AI282" s="20">
        <v>27256.370029249138</v>
      </c>
      <c r="AJ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16">
        <f t="shared" si="10"/>
        <v>34</v>
      </c>
      <c r="X283" s="17">
        <f t="shared" si="1"/>
        <v>0</v>
      </c>
      <c r="Y283" s="17">
        <f t="shared" si="2"/>
        <v>0</v>
      </c>
      <c r="Z283" s="17">
        <f t="shared" si="3"/>
        <v>146.2693794</v>
      </c>
      <c r="AA283" s="17">
        <f t="shared" si="4"/>
        <v>0</v>
      </c>
      <c r="AB283" s="17">
        <f t="shared" si="5"/>
        <v>0</v>
      </c>
      <c r="AC283" s="17">
        <f t="shared" si="6"/>
        <v>22087.80296</v>
      </c>
      <c r="AD283" s="2"/>
      <c r="AE283" s="17">
        <v>146.26937935507735</v>
      </c>
      <c r="AF283" s="17">
        <f t="shared" si="7"/>
        <v>666.6551484</v>
      </c>
      <c r="AG283" s="17">
        <f t="shared" si="8"/>
        <v>2352.794315</v>
      </c>
      <c r="AH283" s="17">
        <f t="shared" si="9"/>
        <v>9685.391968</v>
      </c>
      <c r="AI283" s="17">
        <v>22087.8029623038</v>
      </c>
      <c r="AJ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19">
        <f t="shared" si="10"/>
        <v>34.05</v>
      </c>
      <c r="X284" s="20">
        <f t="shared" si="1"/>
        <v>0</v>
      </c>
      <c r="Y284" s="20">
        <f t="shared" si="2"/>
        <v>0</v>
      </c>
      <c r="Z284" s="20">
        <f t="shared" si="3"/>
        <v>101.5162421</v>
      </c>
      <c r="AA284" s="20">
        <f t="shared" si="4"/>
        <v>0</v>
      </c>
      <c r="AB284" s="20">
        <f t="shared" si="5"/>
        <v>0</v>
      </c>
      <c r="AC284" s="20">
        <f t="shared" si="6"/>
        <v>17769.20352</v>
      </c>
      <c r="AD284" s="2"/>
      <c r="AE284" s="20">
        <v>101.51624210740479</v>
      </c>
      <c r="AF284" s="20">
        <f t="shared" si="7"/>
        <v>479.7292249</v>
      </c>
      <c r="AG284" s="20">
        <f t="shared" si="8"/>
        <v>1756.316747</v>
      </c>
      <c r="AH284" s="20">
        <f t="shared" si="9"/>
        <v>7503.691212</v>
      </c>
      <c r="AI284" s="20">
        <v>17769.203516983875</v>
      </c>
      <c r="AJ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16">
        <f t="shared" si="10"/>
        <v>34.1</v>
      </c>
      <c r="X285" s="17">
        <f t="shared" si="1"/>
        <v>0</v>
      </c>
      <c r="Y285" s="17">
        <f t="shared" si="2"/>
        <v>0</v>
      </c>
      <c r="Z285" s="17">
        <f t="shared" si="3"/>
        <v>69.9411354</v>
      </c>
      <c r="AA285" s="17">
        <f t="shared" si="4"/>
        <v>0</v>
      </c>
      <c r="AB285" s="17">
        <f t="shared" si="5"/>
        <v>0</v>
      </c>
      <c r="AC285" s="17">
        <f t="shared" si="6"/>
        <v>14191.04387</v>
      </c>
      <c r="AD285" s="2"/>
      <c r="AE285" s="17">
        <v>69.94113540061261</v>
      </c>
      <c r="AF285" s="17">
        <f t="shared" si="7"/>
        <v>342.6967524</v>
      </c>
      <c r="AG285" s="17">
        <f t="shared" si="8"/>
        <v>1301.501062</v>
      </c>
      <c r="AH285" s="17">
        <f t="shared" si="9"/>
        <v>5771.112379</v>
      </c>
      <c r="AI285" s="17">
        <v>14191.043872879476</v>
      </c>
      <c r="AJ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19">
        <f t="shared" si="10"/>
        <v>34.15</v>
      </c>
      <c r="X286" s="20">
        <f t="shared" si="1"/>
        <v>0</v>
      </c>
      <c r="Y286" s="20">
        <f t="shared" si="2"/>
        <v>0</v>
      </c>
      <c r="Z286" s="20">
        <f t="shared" si="3"/>
        <v>47.83489828</v>
      </c>
      <c r="AA286" s="20">
        <f t="shared" si="4"/>
        <v>0</v>
      </c>
      <c r="AB286" s="20">
        <f t="shared" si="5"/>
        <v>0</v>
      </c>
      <c r="AC286" s="20">
        <f t="shared" si="6"/>
        <v>11251.01395</v>
      </c>
      <c r="AD286" s="2"/>
      <c r="AE286" s="20">
        <v>47.834898284009775</v>
      </c>
      <c r="AF286" s="20">
        <f t="shared" si="7"/>
        <v>243.0203684</v>
      </c>
      <c r="AG286" s="20">
        <f t="shared" si="8"/>
        <v>957.4343727</v>
      </c>
      <c r="AH286" s="20">
        <f t="shared" si="9"/>
        <v>4406.268254</v>
      </c>
      <c r="AI286" s="20">
        <v>11251.013946899355</v>
      </c>
      <c r="AJ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16">
        <f t="shared" si="10"/>
        <v>34.2</v>
      </c>
      <c r="X287" s="17">
        <f t="shared" si="1"/>
        <v>0</v>
      </c>
      <c r="Y287" s="17">
        <f t="shared" si="2"/>
        <v>0</v>
      </c>
      <c r="Z287" s="17">
        <f t="shared" si="3"/>
        <v>32.47671264</v>
      </c>
      <c r="AA287" s="17">
        <f t="shared" si="4"/>
        <v>0</v>
      </c>
      <c r="AB287" s="17">
        <f t="shared" si="5"/>
        <v>0</v>
      </c>
      <c r="AC287" s="17">
        <f t="shared" si="6"/>
        <v>8855.231565</v>
      </c>
      <c r="AD287" s="2"/>
      <c r="AE287" s="17">
        <v>32.47671264408351</v>
      </c>
      <c r="AF287" s="17">
        <f t="shared" si="7"/>
        <v>171.0780277</v>
      </c>
      <c r="AG287" s="17">
        <f t="shared" si="8"/>
        <v>699.1917691</v>
      </c>
      <c r="AH287" s="17">
        <f t="shared" si="9"/>
        <v>3339.713104</v>
      </c>
      <c r="AI287" s="17">
        <v>8855.231564958702</v>
      </c>
      <c r="AJ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19">
        <f t="shared" si="10"/>
        <v>34.25</v>
      </c>
      <c r="X288" s="20">
        <f t="shared" si="1"/>
        <v>0</v>
      </c>
      <c r="Y288" s="20">
        <f t="shared" si="2"/>
        <v>0</v>
      </c>
      <c r="Z288" s="20">
        <f t="shared" si="3"/>
        <v>21.88841438</v>
      </c>
      <c r="AA288" s="20">
        <f t="shared" si="4"/>
        <v>0</v>
      </c>
      <c r="AB288" s="20">
        <f t="shared" si="5"/>
        <v>0</v>
      </c>
      <c r="AC288" s="20">
        <f t="shared" si="6"/>
        <v>6918.932936</v>
      </c>
      <c r="AD288" s="2"/>
      <c r="AE288" s="20">
        <v>21.888414376810037</v>
      </c>
      <c r="AF288" s="20">
        <f t="shared" si="7"/>
        <v>119.5541533</v>
      </c>
      <c r="AG288" s="20">
        <f t="shared" si="8"/>
        <v>506.8814562</v>
      </c>
      <c r="AH288" s="20">
        <f t="shared" si="9"/>
        <v>2512.89425</v>
      </c>
      <c r="AI288" s="20">
        <v>6918.932936355065</v>
      </c>
      <c r="AJ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16">
        <f t="shared" si="10"/>
        <v>34.3</v>
      </c>
      <c r="X289" s="17">
        <f t="shared" si="1"/>
        <v>0</v>
      </c>
      <c r="Y289" s="17">
        <f t="shared" si="2"/>
        <v>0</v>
      </c>
      <c r="Z289" s="17">
        <f t="shared" si="3"/>
        <v>14.64439967</v>
      </c>
      <c r="AA289" s="17">
        <f t="shared" si="4"/>
        <v>0</v>
      </c>
      <c r="AB289" s="17">
        <f t="shared" si="5"/>
        <v>0</v>
      </c>
      <c r="AC289" s="17">
        <f t="shared" si="6"/>
        <v>5366.723974</v>
      </c>
      <c r="AD289" s="2"/>
      <c r="AE289" s="17">
        <v>14.644399666266702</v>
      </c>
      <c r="AF289" s="17">
        <f t="shared" si="7"/>
        <v>82.93807957</v>
      </c>
      <c r="AG289" s="17">
        <f t="shared" si="8"/>
        <v>364.7869583</v>
      </c>
      <c r="AH289" s="17">
        <f t="shared" si="9"/>
        <v>1877.007852</v>
      </c>
      <c r="AI289" s="17">
        <v>5366.723973855494</v>
      </c>
      <c r="AJ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19">
        <f t="shared" si="10"/>
        <v>34.35</v>
      </c>
      <c r="X290" s="20">
        <f t="shared" si="1"/>
        <v>0</v>
      </c>
      <c r="Y290" s="20">
        <f t="shared" si="2"/>
        <v>0</v>
      </c>
      <c r="Z290" s="20">
        <f t="shared" si="3"/>
        <v>9.726215251</v>
      </c>
      <c r="AA290" s="20">
        <f t="shared" si="4"/>
        <v>0</v>
      </c>
      <c r="AB290" s="20">
        <f t="shared" si="5"/>
        <v>0</v>
      </c>
      <c r="AC290" s="20">
        <f t="shared" si="6"/>
        <v>4132.475959</v>
      </c>
      <c r="AD290" s="2"/>
      <c r="AE290" s="20">
        <v>9.7262152509762</v>
      </c>
      <c r="AF290" s="20">
        <f t="shared" si="7"/>
        <v>57.11657482</v>
      </c>
      <c r="AG290" s="20">
        <f t="shared" si="8"/>
        <v>260.6123589</v>
      </c>
      <c r="AH290" s="20">
        <f t="shared" si="9"/>
        <v>1391.825506</v>
      </c>
      <c r="AI290" s="20">
        <v>4132.475958983682</v>
      </c>
      <c r="AJ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16">
        <f t="shared" si="10"/>
        <v>34.4</v>
      </c>
      <c r="X291" s="17">
        <f t="shared" si="1"/>
        <v>0</v>
      </c>
      <c r="Y291" s="17">
        <f t="shared" si="2"/>
        <v>0</v>
      </c>
      <c r="Z291" s="17">
        <f t="shared" si="3"/>
        <v>6.412556675</v>
      </c>
      <c r="AA291" s="17">
        <f t="shared" si="4"/>
        <v>0</v>
      </c>
      <c r="AB291" s="17">
        <f t="shared" si="5"/>
        <v>0</v>
      </c>
      <c r="AC291" s="17">
        <f t="shared" si="6"/>
        <v>3158.947089</v>
      </c>
      <c r="AD291" s="2"/>
      <c r="AE291" s="17">
        <v>6.412556675286919</v>
      </c>
      <c r="AF291" s="17">
        <f t="shared" si="7"/>
        <v>39.04713823</v>
      </c>
      <c r="AG291" s="17">
        <f t="shared" si="8"/>
        <v>184.8304476</v>
      </c>
      <c r="AH291" s="17">
        <f t="shared" si="9"/>
        <v>1024.543299</v>
      </c>
      <c r="AI291" s="17">
        <v>3158.9470889162135</v>
      </c>
      <c r="AJ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19">
        <f t="shared" si="10"/>
        <v>34.45</v>
      </c>
      <c r="X292" s="20">
        <f t="shared" si="1"/>
        <v>0</v>
      </c>
      <c r="Y292" s="20">
        <f t="shared" si="2"/>
        <v>0</v>
      </c>
      <c r="Z292" s="20">
        <f t="shared" si="3"/>
        <v>4.196948124</v>
      </c>
      <c r="AA292" s="20">
        <f t="shared" si="4"/>
        <v>0</v>
      </c>
      <c r="AB292" s="20">
        <f t="shared" si="5"/>
        <v>0</v>
      </c>
      <c r="AC292" s="20">
        <f t="shared" si="6"/>
        <v>2397.205729</v>
      </c>
      <c r="AD292" s="2"/>
      <c r="AE292" s="20">
        <v>4.19694812366677</v>
      </c>
      <c r="AF292" s="20">
        <f t="shared" si="7"/>
        <v>26.4993449</v>
      </c>
      <c r="AG292" s="20">
        <f t="shared" si="8"/>
        <v>130.1292201</v>
      </c>
      <c r="AH292" s="20">
        <f t="shared" si="9"/>
        <v>748.6910968</v>
      </c>
      <c r="AI292" s="20">
        <v>2397.2057285305914</v>
      </c>
      <c r="AJ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16">
        <f t="shared" si="10"/>
        <v>34.5</v>
      </c>
      <c r="X293" s="17">
        <f t="shared" si="1"/>
        <v>0</v>
      </c>
      <c r="Y293" s="17">
        <f t="shared" si="2"/>
        <v>0</v>
      </c>
      <c r="Z293" s="17">
        <f t="shared" si="3"/>
        <v>2.726786004</v>
      </c>
      <c r="AA293" s="17">
        <f t="shared" si="4"/>
        <v>0</v>
      </c>
      <c r="AB293" s="17">
        <f t="shared" si="5"/>
        <v>0</v>
      </c>
      <c r="AC293" s="17">
        <f t="shared" si="6"/>
        <v>1805.922883</v>
      </c>
      <c r="AD293" s="2"/>
      <c r="AE293" s="17">
        <v>2.72678600354776</v>
      </c>
      <c r="AF293" s="17">
        <f t="shared" si="7"/>
        <v>17.8525369</v>
      </c>
      <c r="AG293" s="17">
        <f t="shared" si="8"/>
        <v>90.94921247</v>
      </c>
      <c r="AH293" s="17">
        <f t="shared" si="9"/>
        <v>543.127565</v>
      </c>
      <c r="AI293" s="17">
        <v>1805.922883426527</v>
      </c>
      <c r="AJ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19">
        <f t="shared" si="10"/>
        <v>34.55</v>
      </c>
      <c r="X294" s="20">
        <f t="shared" si="1"/>
        <v>0</v>
      </c>
      <c r="Y294" s="20">
        <f t="shared" si="2"/>
        <v>0</v>
      </c>
      <c r="Z294" s="20">
        <f t="shared" si="3"/>
        <v>1.758667161</v>
      </c>
      <c r="AA294" s="20">
        <f t="shared" si="4"/>
        <v>0</v>
      </c>
      <c r="AB294" s="20">
        <f t="shared" si="5"/>
        <v>0</v>
      </c>
      <c r="AC294" s="20">
        <f t="shared" si="6"/>
        <v>1350.59157</v>
      </c>
      <c r="AD294" s="2"/>
      <c r="AE294" s="20">
        <v>1.7586671614842133</v>
      </c>
      <c r="AF294" s="20">
        <f t="shared" si="7"/>
        <v>11.93943059</v>
      </c>
      <c r="AG294" s="20">
        <f t="shared" si="8"/>
        <v>63.10239787</v>
      </c>
      <c r="AH294" s="20">
        <f t="shared" si="9"/>
        <v>391.1360502</v>
      </c>
      <c r="AI294" s="20">
        <v>1350.5915695966892</v>
      </c>
      <c r="AJ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16">
        <f t="shared" si="10"/>
        <v>34.6</v>
      </c>
      <c r="X295" s="17">
        <f t="shared" si="1"/>
        <v>0</v>
      </c>
      <c r="Y295" s="17">
        <f t="shared" si="2"/>
        <v>0</v>
      </c>
      <c r="Z295" s="17">
        <f t="shared" si="3"/>
        <v>1.125982407</v>
      </c>
      <c r="AA295" s="17">
        <f t="shared" si="4"/>
        <v>0</v>
      </c>
      <c r="AB295" s="17">
        <f t="shared" si="5"/>
        <v>0</v>
      </c>
      <c r="AC295" s="17">
        <f t="shared" si="6"/>
        <v>1002.720299</v>
      </c>
      <c r="AD295" s="2"/>
      <c r="AE295" s="17">
        <v>1.1259824066065949</v>
      </c>
      <c r="AF295" s="17">
        <f t="shared" si="7"/>
        <v>7.926585801</v>
      </c>
      <c r="AG295" s="17">
        <f t="shared" si="8"/>
        <v>43.46258833</v>
      </c>
      <c r="AH295" s="17">
        <f t="shared" si="9"/>
        <v>279.6280097</v>
      </c>
      <c r="AI295" s="17">
        <v>1002.7202994743774</v>
      </c>
      <c r="AJ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19">
        <f t="shared" si="10"/>
        <v>34.65</v>
      </c>
      <c r="X296" s="20">
        <f t="shared" si="1"/>
        <v>0</v>
      </c>
      <c r="Y296" s="20">
        <f t="shared" si="2"/>
        <v>0</v>
      </c>
      <c r="Z296" s="20">
        <f t="shared" si="3"/>
        <v>0.7156414812</v>
      </c>
      <c r="AA296" s="20">
        <f t="shared" si="4"/>
        <v>0</v>
      </c>
      <c r="AB296" s="20">
        <f t="shared" si="5"/>
        <v>0</v>
      </c>
      <c r="AC296" s="20">
        <f t="shared" si="6"/>
        <v>739.0375731</v>
      </c>
      <c r="AD296" s="2"/>
      <c r="AE296" s="20">
        <v>0.7156414811993919</v>
      </c>
      <c r="AF296" s="20">
        <f t="shared" si="7"/>
        <v>5.224053203</v>
      </c>
      <c r="AG296" s="20">
        <f t="shared" si="8"/>
        <v>29.71721552</v>
      </c>
      <c r="AH296" s="20">
        <f t="shared" si="9"/>
        <v>198.4542127</v>
      </c>
      <c r="AI296" s="20">
        <v>739.0375730959129</v>
      </c>
      <c r="AJ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16">
        <f t="shared" si="10"/>
        <v>34.7</v>
      </c>
      <c r="X297" s="17">
        <f t="shared" si="1"/>
        <v>0</v>
      </c>
      <c r="Y297" s="17">
        <f t="shared" si="2"/>
        <v>0</v>
      </c>
      <c r="Z297" s="17">
        <f t="shared" si="3"/>
        <v>0.4515200846</v>
      </c>
      <c r="AA297" s="17">
        <f t="shared" si="4"/>
        <v>0</v>
      </c>
      <c r="AB297" s="17">
        <f t="shared" si="5"/>
        <v>0</v>
      </c>
      <c r="AC297" s="17">
        <f t="shared" si="6"/>
        <v>540.7346123</v>
      </c>
      <c r="AD297" s="2"/>
      <c r="AE297" s="17">
        <v>0.45152008464888554</v>
      </c>
      <c r="AF297" s="17">
        <f t="shared" si="7"/>
        <v>3.417809861</v>
      </c>
      <c r="AG297" s="17">
        <f t="shared" si="8"/>
        <v>20.17081497</v>
      </c>
      <c r="AH297" s="17">
        <f t="shared" si="9"/>
        <v>139.8191951</v>
      </c>
      <c r="AI297" s="17">
        <v>540.7346122876306</v>
      </c>
      <c r="AJ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19">
        <f t="shared" si="10"/>
        <v>34.75</v>
      </c>
      <c r="X298" s="20">
        <f t="shared" si="1"/>
        <v>0</v>
      </c>
      <c r="Y298" s="20">
        <f t="shared" si="2"/>
        <v>0</v>
      </c>
      <c r="Z298" s="20">
        <f t="shared" si="3"/>
        <v>0.2828011856</v>
      </c>
      <c r="AA298" s="20">
        <f t="shared" si="4"/>
        <v>0</v>
      </c>
      <c r="AB298" s="20">
        <f t="shared" si="5"/>
        <v>0</v>
      </c>
      <c r="AC298" s="20">
        <f t="shared" si="6"/>
        <v>392.7649814</v>
      </c>
      <c r="AD298" s="2"/>
      <c r="AE298" s="20">
        <v>0.2828011856325713</v>
      </c>
      <c r="AF298" s="20">
        <f t="shared" si="7"/>
        <v>2.219765518</v>
      </c>
      <c r="AG298" s="20">
        <f t="shared" si="8"/>
        <v>13.59131822</v>
      </c>
      <c r="AH298" s="20">
        <f t="shared" si="9"/>
        <v>97.79127268</v>
      </c>
      <c r="AI298" s="20">
        <v>392.7649813865966</v>
      </c>
      <c r="AJ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16">
        <f t="shared" si="10"/>
        <v>34.8</v>
      </c>
      <c r="X299" s="17">
        <f t="shared" si="1"/>
        <v>0</v>
      </c>
      <c r="Y299" s="17">
        <f t="shared" si="2"/>
        <v>0</v>
      </c>
      <c r="Z299" s="17">
        <f t="shared" si="3"/>
        <v>0.1758417781</v>
      </c>
      <c r="AA299" s="17">
        <f t="shared" si="4"/>
        <v>0</v>
      </c>
      <c r="AB299" s="17">
        <f t="shared" si="5"/>
        <v>0</v>
      </c>
      <c r="AC299" s="17">
        <f t="shared" si="6"/>
        <v>283.2124158</v>
      </c>
      <c r="AD299" s="2"/>
      <c r="AE299" s="17">
        <v>0.1758417781341293</v>
      </c>
      <c r="AF299" s="17">
        <f t="shared" si="7"/>
        <v>1.431150275</v>
      </c>
      <c r="AG299" s="17">
        <f t="shared" si="8"/>
        <v>9.091227396</v>
      </c>
      <c r="AH299" s="17">
        <f t="shared" si="9"/>
        <v>67.89850678</v>
      </c>
      <c r="AI299" s="17">
        <v>283.2124158126737</v>
      </c>
      <c r="AJ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19">
        <f t="shared" si="10"/>
        <v>34.85</v>
      </c>
      <c r="X300" s="20">
        <f t="shared" si="1"/>
        <v>0</v>
      </c>
      <c r="Y300" s="20">
        <f t="shared" si="2"/>
        <v>0</v>
      </c>
      <c r="Z300" s="20">
        <f t="shared" si="3"/>
        <v>0.1085525533</v>
      </c>
      <c r="AA300" s="20">
        <f t="shared" si="4"/>
        <v>0</v>
      </c>
      <c r="AB300" s="20">
        <f t="shared" si="5"/>
        <v>0</v>
      </c>
      <c r="AC300" s="20">
        <f t="shared" si="6"/>
        <v>202.732211</v>
      </c>
      <c r="AD300" s="2"/>
      <c r="AE300" s="20">
        <v>0.10855255328231685</v>
      </c>
      <c r="AF300" s="20">
        <f t="shared" si="7"/>
        <v>0.9159724827</v>
      </c>
      <c r="AG300" s="20">
        <f t="shared" si="8"/>
        <v>6.036792729</v>
      </c>
      <c r="AH300" s="20">
        <f t="shared" si="9"/>
        <v>46.80014228</v>
      </c>
      <c r="AI300" s="20">
        <v>202.73221097979973</v>
      </c>
      <c r="AJ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16">
        <f t="shared" si="10"/>
        <v>34.9</v>
      </c>
      <c r="X301" s="17">
        <f t="shared" si="1"/>
        <v>0</v>
      </c>
      <c r="Y301" s="17">
        <f t="shared" si="2"/>
        <v>0</v>
      </c>
      <c r="Z301" s="17">
        <f t="shared" si="3"/>
        <v>0.06655046983</v>
      </c>
      <c r="AA301" s="17">
        <f t="shared" si="4"/>
        <v>0</v>
      </c>
      <c r="AB301" s="17">
        <f t="shared" si="5"/>
        <v>0</v>
      </c>
      <c r="AC301" s="17">
        <f t="shared" si="6"/>
        <v>144.0668844</v>
      </c>
      <c r="AD301" s="2"/>
      <c r="AE301" s="17">
        <v>0.06655046982612499</v>
      </c>
      <c r="AF301" s="17">
        <f t="shared" si="7"/>
        <v>0.5819678612</v>
      </c>
      <c r="AG301" s="17">
        <f t="shared" si="8"/>
        <v>3.979356187</v>
      </c>
      <c r="AH301" s="17">
        <f t="shared" si="9"/>
        <v>32.02292132</v>
      </c>
      <c r="AI301" s="17">
        <v>144.06688437852736</v>
      </c>
      <c r="AJ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19">
        <f t="shared" si="10"/>
        <v>34.95</v>
      </c>
      <c r="X302" s="20">
        <f t="shared" si="1"/>
        <v>0</v>
      </c>
      <c r="Y302" s="20">
        <f t="shared" si="2"/>
        <v>0</v>
      </c>
      <c r="Z302" s="20">
        <f t="shared" si="3"/>
        <v>0.04054968171</v>
      </c>
      <c r="AA302" s="20">
        <f t="shared" si="4"/>
        <v>0</v>
      </c>
      <c r="AB302" s="20">
        <f t="shared" si="5"/>
        <v>0</v>
      </c>
      <c r="AC302" s="20">
        <f t="shared" si="6"/>
        <v>101.6334131</v>
      </c>
      <c r="AD302" s="2"/>
      <c r="AE302" s="20">
        <v>0.04054968171425181</v>
      </c>
      <c r="AF302" s="20">
        <f t="shared" si="7"/>
        <v>0.3670590435</v>
      </c>
      <c r="AG302" s="20">
        <f t="shared" si="8"/>
        <v>2.60400714</v>
      </c>
      <c r="AH302" s="20">
        <f t="shared" si="9"/>
        <v>21.75211788</v>
      </c>
      <c r="AI302" s="20">
        <v>101.63341312544428</v>
      </c>
      <c r="AJ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16">
        <f t="shared" si="10"/>
        <v>35</v>
      </c>
      <c r="X303" s="17">
        <f t="shared" si="1"/>
        <v>0</v>
      </c>
      <c r="Y303" s="17">
        <f t="shared" si="2"/>
        <v>0</v>
      </c>
      <c r="Z303" s="17">
        <f t="shared" si="3"/>
        <v>0.02460914851</v>
      </c>
      <c r="AA303" s="17">
        <f t="shared" si="4"/>
        <v>0</v>
      </c>
      <c r="AB303" s="17">
        <f t="shared" si="5"/>
        <v>0</v>
      </c>
      <c r="AC303" s="17">
        <f t="shared" si="6"/>
        <v>71.17701918</v>
      </c>
      <c r="AD303" s="2"/>
      <c r="AE303" s="17">
        <v>0.02460914851000968</v>
      </c>
      <c r="AF303" s="17">
        <f t="shared" si="7"/>
        <v>0.2298243269</v>
      </c>
      <c r="AG303" s="17">
        <f t="shared" si="8"/>
        <v>1.691587011</v>
      </c>
      <c r="AH303" s="17">
        <f t="shared" si="9"/>
        <v>14.66793486</v>
      </c>
      <c r="AI303" s="17">
        <v>71.17701917681852</v>
      </c>
      <c r="AJ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19">
        <f t="shared" si="10"/>
        <v>35.05</v>
      </c>
      <c r="X304" s="20">
        <f t="shared" si="1"/>
        <v>0</v>
      </c>
      <c r="Y304" s="20">
        <f t="shared" si="2"/>
        <v>0</v>
      </c>
      <c r="Z304" s="20">
        <f t="shared" si="3"/>
        <v>0.01496756261</v>
      </c>
      <c r="AA304" s="20">
        <f t="shared" si="4"/>
        <v>0</v>
      </c>
      <c r="AB304" s="20">
        <f t="shared" si="5"/>
        <v>0</v>
      </c>
      <c r="AC304" s="20">
        <f t="shared" si="6"/>
        <v>49.48505086</v>
      </c>
      <c r="AD304" s="2"/>
      <c r="AE304" s="20">
        <v>0.014967562608835723</v>
      </c>
      <c r="AF304" s="20">
        <f t="shared" si="7"/>
        <v>0.1428523079</v>
      </c>
      <c r="AG304" s="20">
        <f t="shared" si="8"/>
        <v>1.090860828</v>
      </c>
      <c r="AH304" s="20">
        <f t="shared" si="9"/>
        <v>9.818908709</v>
      </c>
      <c r="AI304" s="20">
        <v>49.485050861488524</v>
      </c>
      <c r="AJ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16">
        <f t="shared" si="10"/>
        <v>35.1</v>
      </c>
      <c r="X305" s="17">
        <f t="shared" si="1"/>
        <v>0</v>
      </c>
      <c r="Y305" s="17">
        <f t="shared" si="2"/>
        <v>0</v>
      </c>
      <c r="Z305" s="17">
        <f t="shared" si="3"/>
        <v>0.00927779452</v>
      </c>
      <c r="AA305" s="17">
        <f t="shared" si="4"/>
        <v>0</v>
      </c>
      <c r="AB305" s="17">
        <f t="shared" si="5"/>
        <v>0</v>
      </c>
      <c r="AC305" s="17">
        <f t="shared" si="6"/>
        <v>34.15381211</v>
      </c>
      <c r="AD305" s="2"/>
      <c r="AE305" s="17">
        <v>0.009277794519866036</v>
      </c>
      <c r="AF305" s="17">
        <f t="shared" si="7"/>
        <v>0.08815216507</v>
      </c>
      <c r="AG305" s="17">
        <f t="shared" si="8"/>
        <v>0.6983405227</v>
      </c>
      <c r="AH305" s="17">
        <f t="shared" si="9"/>
        <v>6.525056804</v>
      </c>
      <c r="AI305" s="17">
        <v>34.15381210600797</v>
      </c>
      <c r="AJ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19">
        <f t="shared" si="10"/>
        <v>35.15</v>
      </c>
      <c r="X306" s="20">
        <f t="shared" si="1"/>
        <v>0</v>
      </c>
      <c r="Y306" s="20">
        <f t="shared" si="2"/>
        <v>0</v>
      </c>
      <c r="Z306" s="20">
        <f t="shared" si="3"/>
        <v>0.006111718871</v>
      </c>
      <c r="AA306" s="20">
        <f t="shared" si="4"/>
        <v>0</v>
      </c>
      <c r="AB306" s="20">
        <f t="shared" si="5"/>
        <v>0</v>
      </c>
      <c r="AC306" s="20">
        <f t="shared" si="6"/>
        <v>23.40104695</v>
      </c>
      <c r="AD306" s="2"/>
      <c r="AE306" s="20">
        <v>0.006111718871369732</v>
      </c>
      <c r="AF306" s="20">
        <f t="shared" si="7"/>
        <v>0.05401325512</v>
      </c>
      <c r="AG306" s="20">
        <f t="shared" si="8"/>
        <v>0.4438009206</v>
      </c>
      <c r="AH306" s="20">
        <f t="shared" si="9"/>
        <v>4.304594007</v>
      </c>
      <c r="AI306" s="20">
        <v>23.401046946778056</v>
      </c>
      <c r="AJ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16">
        <f t="shared" si="10"/>
        <v>35.2</v>
      </c>
      <c r="X307" s="17">
        <f t="shared" si="1"/>
        <v>0</v>
      </c>
      <c r="Y307" s="17">
        <f t="shared" si="2"/>
        <v>0</v>
      </c>
      <c r="Z307" s="17">
        <f t="shared" si="3"/>
        <v>0.004648185737</v>
      </c>
      <c r="AA307" s="17">
        <f t="shared" si="4"/>
        <v>0</v>
      </c>
      <c r="AB307" s="17">
        <f t="shared" si="5"/>
        <v>0</v>
      </c>
      <c r="AC307" s="17">
        <f t="shared" si="6"/>
        <v>15.91704082</v>
      </c>
      <c r="AD307" s="2"/>
      <c r="AE307" s="17">
        <v>0.004648185736659901</v>
      </c>
      <c r="AF307" s="17">
        <f t="shared" si="7"/>
        <v>0.03287632846</v>
      </c>
      <c r="AG307" s="17">
        <f t="shared" si="8"/>
        <v>0.2799836671</v>
      </c>
      <c r="AH307" s="17">
        <f t="shared" si="9"/>
        <v>2.819076901</v>
      </c>
      <c r="AI307" s="17">
        <v>15.917040819726381</v>
      </c>
      <c r="AJ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19">
        <f t="shared" si="10"/>
        <v>35.25</v>
      </c>
      <c r="X308" s="20">
        <f t="shared" si="1"/>
        <v>0</v>
      </c>
      <c r="Y308" s="20">
        <f t="shared" si="2"/>
        <v>0</v>
      </c>
      <c r="Z308" s="20">
        <f t="shared" si="3"/>
        <v>0.004486805215</v>
      </c>
      <c r="AA308" s="20">
        <f t="shared" si="4"/>
        <v>0</v>
      </c>
      <c r="AB308" s="20">
        <f t="shared" si="5"/>
        <v>0</v>
      </c>
      <c r="AC308" s="20">
        <f t="shared" si="6"/>
        <v>10.74781819</v>
      </c>
      <c r="AD308" s="2"/>
      <c r="AE308" s="20">
        <v>0.004486805214836625</v>
      </c>
      <c r="AF308" s="20">
        <f t="shared" si="7"/>
        <v>0.01990400833</v>
      </c>
      <c r="AG308" s="20">
        <f t="shared" si="8"/>
        <v>0.1753485382</v>
      </c>
      <c r="AH308" s="20">
        <f t="shared" si="9"/>
        <v>1.832772159</v>
      </c>
      <c r="AI308" s="20">
        <v>10.747818190966592</v>
      </c>
      <c r="AJ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16">
        <f t="shared" si="10"/>
        <v>35.3</v>
      </c>
      <c r="X309" s="17">
        <f t="shared" si="1"/>
        <v>0</v>
      </c>
      <c r="Y309" s="17">
        <f t="shared" si="2"/>
        <v>0</v>
      </c>
      <c r="Z309" s="17">
        <f t="shared" si="3"/>
        <v>0.005551781882</v>
      </c>
      <c r="AA309" s="17">
        <f t="shared" si="4"/>
        <v>0</v>
      </c>
      <c r="AB309" s="17">
        <f t="shared" si="5"/>
        <v>0</v>
      </c>
      <c r="AC309" s="17">
        <f t="shared" si="6"/>
        <v>7.204589351</v>
      </c>
      <c r="AD309" s="2"/>
      <c r="AE309" s="17">
        <v>0.005551781881732653</v>
      </c>
      <c r="AF309" s="17">
        <f t="shared" si="7"/>
        <v>0.01203014192</v>
      </c>
      <c r="AG309" s="17">
        <f t="shared" si="8"/>
        <v>0.109018614</v>
      </c>
      <c r="AH309" s="17">
        <f t="shared" si="9"/>
        <v>1.182869609</v>
      </c>
      <c r="AI309" s="17">
        <v>7.204589350518643</v>
      </c>
      <c r="AJ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19">
        <f t="shared" si="10"/>
        <v>35.35</v>
      </c>
      <c r="X310" s="20">
        <f t="shared" si="1"/>
        <v>0</v>
      </c>
      <c r="Y310" s="20">
        <f t="shared" si="2"/>
        <v>0</v>
      </c>
      <c r="Z310" s="20">
        <f t="shared" si="3"/>
        <v>0.008066098979</v>
      </c>
      <c r="AA310" s="20">
        <f t="shared" si="4"/>
        <v>0</v>
      </c>
      <c r="AB310" s="20">
        <f t="shared" si="5"/>
        <v>0</v>
      </c>
      <c r="AC310" s="20">
        <f t="shared" si="6"/>
        <v>4.79434289</v>
      </c>
      <c r="AD310" s="2"/>
      <c r="AE310" s="20">
        <v>0.008066098978973464</v>
      </c>
      <c r="AF310" s="20">
        <f t="shared" si="7"/>
        <v>0.00733432733</v>
      </c>
      <c r="AG310" s="20">
        <f t="shared" si="8"/>
        <v>0.06728839118</v>
      </c>
      <c r="AH310" s="20">
        <f t="shared" si="9"/>
        <v>0.7578654936</v>
      </c>
      <c r="AI310" s="20">
        <v>4.794342890471346</v>
      </c>
      <c r="AJ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16">
        <f t="shared" si="10"/>
        <v>35.4</v>
      </c>
      <c r="X311" s="17">
        <f t="shared" si="1"/>
        <v>0</v>
      </c>
      <c r="Y311" s="17">
        <f t="shared" si="2"/>
        <v>0</v>
      </c>
      <c r="Z311" s="17">
        <f t="shared" si="3"/>
        <v>0.01258913597</v>
      </c>
      <c r="AA311" s="17">
        <f t="shared" si="4"/>
        <v>0</v>
      </c>
      <c r="AB311" s="17">
        <f t="shared" si="5"/>
        <v>0</v>
      </c>
      <c r="AC311" s="17">
        <f t="shared" si="6"/>
        <v>3.167232101</v>
      </c>
      <c r="AD311" s="2"/>
      <c r="AE311" s="17">
        <v>0.012589135966011546</v>
      </c>
      <c r="AF311" s="17">
        <f t="shared" si="7"/>
        <v>0.004635774887</v>
      </c>
      <c r="AG311" s="17">
        <f t="shared" si="8"/>
        <v>0.04123398567</v>
      </c>
      <c r="AH311" s="17">
        <f t="shared" si="9"/>
        <v>0.4820302979</v>
      </c>
      <c r="AI311" s="17">
        <v>3.1672321008729</v>
      </c>
      <c r="AJ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19">
        <f t="shared" si="10"/>
        <v>35.45</v>
      </c>
      <c r="X312" s="20">
        <f t="shared" si="1"/>
        <v>0</v>
      </c>
      <c r="Y312" s="20">
        <f t="shared" si="2"/>
        <v>0</v>
      </c>
      <c r="Z312" s="20">
        <f t="shared" si="3"/>
        <v>0.02012213128</v>
      </c>
      <c r="AA312" s="20">
        <f t="shared" si="4"/>
        <v>0</v>
      </c>
      <c r="AB312" s="20">
        <f t="shared" si="5"/>
        <v>0</v>
      </c>
      <c r="AC312" s="20">
        <f t="shared" si="6"/>
        <v>2.0771202</v>
      </c>
      <c r="AD312" s="2"/>
      <c r="AE312" s="20">
        <v>0.02012213127572338</v>
      </c>
      <c r="AF312" s="20">
        <f t="shared" si="7"/>
        <v>0.003234711782</v>
      </c>
      <c r="AG312" s="20">
        <f t="shared" si="8"/>
        <v>0.02509268332</v>
      </c>
      <c r="AH312" s="20">
        <f t="shared" si="9"/>
        <v>0.3043572913</v>
      </c>
      <c r="AI312" s="20">
        <v>2.077120199847104</v>
      </c>
      <c r="AJ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16">
        <f t="shared" si="10"/>
        <v>35.5</v>
      </c>
      <c r="X313" s="17">
        <f t="shared" si="1"/>
        <v>0</v>
      </c>
      <c r="Y313" s="17">
        <f t="shared" si="2"/>
        <v>0</v>
      </c>
      <c r="Z313" s="17">
        <f t="shared" si="3"/>
        <v>0.03229737153</v>
      </c>
      <c r="AA313" s="17">
        <f t="shared" si="4"/>
        <v>0</v>
      </c>
      <c r="AB313" s="17">
        <f t="shared" si="5"/>
        <v>0</v>
      </c>
      <c r="AC313" s="17">
        <f t="shared" si="6"/>
        <v>1.352303926</v>
      </c>
      <c r="AD313" s="2"/>
      <c r="AE313" s="17">
        <v>0.03229737153443317</v>
      </c>
      <c r="AF313" s="17">
        <f t="shared" si="7"/>
        <v>0.002753664601</v>
      </c>
      <c r="AG313" s="17">
        <f t="shared" si="8"/>
        <v>0.01517430621</v>
      </c>
      <c r="AH313" s="17">
        <f t="shared" si="9"/>
        <v>0.1907747625</v>
      </c>
      <c r="AI313" s="17">
        <v>1.3523039262235315</v>
      </c>
      <c r="AJ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19">
        <f t="shared" si="10"/>
        <v>35.55</v>
      </c>
      <c r="X314" s="20">
        <f t="shared" si="1"/>
        <v>0</v>
      </c>
      <c r="Y314" s="20">
        <f t="shared" si="2"/>
        <v>0</v>
      </c>
      <c r="Z314" s="20">
        <f t="shared" si="3"/>
        <v>0.05168012163</v>
      </c>
      <c r="AA314" s="20">
        <f t="shared" si="4"/>
        <v>0</v>
      </c>
      <c r="AB314" s="20">
        <f t="shared" si="5"/>
        <v>0</v>
      </c>
      <c r="AC314" s="20">
        <f t="shared" si="6"/>
        <v>0.8740130821</v>
      </c>
      <c r="AD314" s="2"/>
      <c r="AE314" s="20">
        <v>0.051680121626930614</v>
      </c>
      <c r="AF314" s="20">
        <f t="shared" si="7"/>
        <v>0.003048117249</v>
      </c>
      <c r="AG314" s="20">
        <f t="shared" si="8"/>
        <v>0.009136716066</v>
      </c>
      <c r="AH314" s="20">
        <f t="shared" si="9"/>
        <v>0.1187101689</v>
      </c>
      <c r="AI314" s="20">
        <v>0.8740130821152556</v>
      </c>
      <c r="AJ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16">
        <f t="shared" si="10"/>
        <v>35.6</v>
      </c>
      <c r="X315" s="17">
        <f t="shared" si="1"/>
        <v>0</v>
      </c>
      <c r="Y315" s="17">
        <f t="shared" si="2"/>
        <v>0</v>
      </c>
      <c r="Z315" s="17">
        <f t="shared" si="3"/>
        <v>0.08222869079</v>
      </c>
      <c r="AA315" s="17">
        <f t="shared" si="4"/>
        <v>0</v>
      </c>
      <c r="AB315" s="17">
        <f t="shared" si="5"/>
        <v>0</v>
      </c>
      <c r="AC315" s="17">
        <f t="shared" si="6"/>
        <v>0.5607799948</v>
      </c>
      <c r="AD315" s="2"/>
      <c r="AE315" s="17">
        <v>0.08222869078554737</v>
      </c>
      <c r="AF315" s="17">
        <f t="shared" si="7"/>
        <v>0.004168502645</v>
      </c>
      <c r="AG315" s="17">
        <f t="shared" si="8"/>
        <v>0.005508416278</v>
      </c>
      <c r="AH315" s="17">
        <f t="shared" si="9"/>
        <v>0.07333147731</v>
      </c>
      <c r="AI315" s="17">
        <v>0.5607799947686785</v>
      </c>
      <c r="AJ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19">
        <f t="shared" si="10"/>
        <v>35.65</v>
      </c>
      <c r="X316" s="20">
        <f t="shared" si="1"/>
        <v>0</v>
      </c>
      <c r="Y316" s="20">
        <f t="shared" si="2"/>
        <v>0</v>
      </c>
      <c r="Z316" s="20">
        <f t="shared" si="3"/>
        <v>0.1299794257</v>
      </c>
      <c r="AA316" s="20">
        <f t="shared" si="4"/>
        <v>0</v>
      </c>
      <c r="AB316" s="20">
        <f t="shared" si="5"/>
        <v>0</v>
      </c>
      <c r="AC316" s="20">
        <f t="shared" si="6"/>
        <v>0.3571890008</v>
      </c>
      <c r="AD316" s="2"/>
      <c r="AE316" s="20">
        <v>0.1299794257110138</v>
      </c>
      <c r="AF316" s="20">
        <f t="shared" si="7"/>
        <v>0.006364987555</v>
      </c>
      <c r="AG316" s="20">
        <f t="shared" si="8"/>
        <v>0.003377513624</v>
      </c>
      <c r="AH316" s="20">
        <f t="shared" si="9"/>
        <v>0.04497231223</v>
      </c>
      <c r="AI316" s="20">
        <v>0.3571890008430751</v>
      </c>
      <c r="AJ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16">
        <f t="shared" si="10"/>
        <v>35.7</v>
      </c>
      <c r="X317" s="17">
        <f t="shared" si="1"/>
        <v>0</v>
      </c>
      <c r="Y317" s="17">
        <f t="shared" si="2"/>
        <v>0</v>
      </c>
      <c r="Z317" s="17">
        <f t="shared" si="3"/>
        <v>0.2040518926</v>
      </c>
      <c r="AA317" s="17">
        <f t="shared" si="4"/>
        <v>0</v>
      </c>
      <c r="AB317" s="17">
        <f t="shared" si="5"/>
        <v>0</v>
      </c>
      <c r="AC317" s="17">
        <f t="shared" si="6"/>
        <v>0.2258576045</v>
      </c>
      <c r="AD317" s="2"/>
      <c r="AE317" s="17">
        <v>0.20405189259669002</v>
      </c>
      <c r="AF317" s="17">
        <f t="shared" si="7"/>
        <v>0.01013443731</v>
      </c>
      <c r="AG317" s="17">
        <f t="shared" si="8"/>
        <v>0.002192070636</v>
      </c>
      <c r="AH317" s="17">
        <f t="shared" si="9"/>
        <v>0.02738428397</v>
      </c>
      <c r="AI317" s="17">
        <v>0.22585760448756678</v>
      </c>
      <c r="AJ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19">
        <f t="shared" si="10"/>
        <v>35.75</v>
      </c>
      <c r="X318" s="20">
        <f t="shared" si="1"/>
        <v>0</v>
      </c>
      <c r="Y318" s="20">
        <f t="shared" si="2"/>
        <v>0</v>
      </c>
      <c r="Z318" s="20">
        <f t="shared" si="3"/>
        <v>0.3181075034</v>
      </c>
      <c r="AA318" s="20">
        <f t="shared" si="4"/>
        <v>0</v>
      </c>
      <c r="AB318" s="20">
        <f t="shared" si="5"/>
        <v>0</v>
      </c>
      <c r="AC318" s="20">
        <f t="shared" si="6"/>
        <v>0.141775994</v>
      </c>
      <c r="AD318" s="2"/>
      <c r="AE318" s="20">
        <v>0.31810750343435296</v>
      </c>
      <c r="AF318" s="20">
        <f t="shared" si="7"/>
        <v>0.01631646733</v>
      </c>
      <c r="AG318" s="20">
        <f t="shared" si="8"/>
        <v>0.001635046886</v>
      </c>
      <c r="AH318" s="20">
        <f t="shared" si="9"/>
        <v>0.01656162128</v>
      </c>
      <c r="AI318" s="20">
        <v>0.1417759940214551</v>
      </c>
      <c r="AJ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16">
        <f t="shared" si="10"/>
        <v>35.8</v>
      </c>
      <c r="X319" s="17">
        <f t="shared" si="1"/>
        <v>0</v>
      </c>
      <c r="Y319" s="17">
        <f t="shared" si="2"/>
        <v>0</v>
      </c>
      <c r="Z319" s="17">
        <f t="shared" si="3"/>
        <v>0.4924452685</v>
      </c>
      <c r="AA319" s="17">
        <f t="shared" si="4"/>
        <v>0</v>
      </c>
      <c r="AB319" s="17">
        <f t="shared" si="5"/>
        <v>0</v>
      </c>
      <c r="AC319" s="17">
        <f t="shared" si="6"/>
        <v>0.08834923908</v>
      </c>
      <c r="AD319" s="2"/>
      <c r="AE319" s="17">
        <v>0.49244526846426223</v>
      </c>
      <c r="AF319" s="17">
        <f t="shared" si="7"/>
        <v>0.02625366758</v>
      </c>
      <c r="AG319" s="17">
        <f t="shared" si="8"/>
        <v>0.001549815393</v>
      </c>
      <c r="AH319" s="17">
        <f t="shared" si="9"/>
        <v>0.009957963663</v>
      </c>
      <c r="AI319" s="17">
        <v>0.0883492390758384</v>
      </c>
      <c r="AJ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19">
        <f t="shared" si="10"/>
        <v>35.85</v>
      </c>
      <c r="X320" s="20">
        <f t="shared" si="1"/>
        <v>0</v>
      </c>
      <c r="Y320" s="20">
        <f t="shared" si="2"/>
        <v>0</v>
      </c>
      <c r="Z320" s="20">
        <f t="shared" si="3"/>
        <v>0.7569846345</v>
      </c>
      <c r="AA320" s="20">
        <f t="shared" si="4"/>
        <v>0</v>
      </c>
      <c r="AB320" s="20">
        <f t="shared" si="5"/>
        <v>0</v>
      </c>
      <c r="AC320" s="20">
        <f t="shared" si="6"/>
        <v>0.05465594099</v>
      </c>
      <c r="AD320" s="2"/>
      <c r="AE320" s="20">
        <v>0.7569846344646656</v>
      </c>
      <c r="AF320" s="20">
        <f t="shared" si="7"/>
        <v>0.04204099362</v>
      </c>
      <c r="AG320" s="20">
        <f t="shared" si="8"/>
        <v>0.001901328336</v>
      </c>
      <c r="AH320" s="20">
        <f t="shared" si="9"/>
        <v>0.005969388188</v>
      </c>
      <c r="AI320" s="20">
        <v>0.05465594099457929</v>
      </c>
      <c r="AJ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16">
        <f t="shared" si="10"/>
        <v>35.9</v>
      </c>
      <c r="X321" s="17">
        <f t="shared" si="1"/>
        <v>0</v>
      </c>
      <c r="Y321" s="17">
        <f t="shared" si="2"/>
        <v>0</v>
      </c>
      <c r="Z321" s="17">
        <f t="shared" si="3"/>
        <v>1.155471425</v>
      </c>
      <c r="AA321" s="17">
        <f t="shared" si="4"/>
        <v>0</v>
      </c>
      <c r="AB321" s="17">
        <f t="shared" si="5"/>
        <v>0</v>
      </c>
      <c r="AC321" s="17">
        <f t="shared" si="6"/>
        <v>0.03356705478</v>
      </c>
      <c r="AD321" s="2"/>
      <c r="AE321" s="17">
        <v>1.1554714245318127</v>
      </c>
      <c r="AF321" s="17">
        <f t="shared" si="7"/>
        <v>0.06690212383</v>
      </c>
      <c r="AG321" s="17">
        <f t="shared" si="8"/>
        <v>0.00276466617</v>
      </c>
      <c r="AH321" s="17">
        <f t="shared" si="9"/>
        <v>0.00359662638</v>
      </c>
      <c r="AI321" s="17">
        <v>0.033567054776893805</v>
      </c>
      <c r="AJ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19">
        <f t="shared" si="10"/>
        <v>35.95</v>
      </c>
      <c r="X322" s="20">
        <f t="shared" si="1"/>
        <v>0</v>
      </c>
      <c r="Y322" s="20">
        <f t="shared" si="2"/>
        <v>0</v>
      </c>
      <c r="Z322" s="20">
        <f t="shared" si="3"/>
        <v>1.751353099</v>
      </c>
      <c r="AA322" s="20">
        <f t="shared" si="4"/>
        <v>0</v>
      </c>
      <c r="AB322" s="20">
        <f t="shared" si="5"/>
        <v>0</v>
      </c>
      <c r="AC322" s="20">
        <f t="shared" si="6"/>
        <v>0.02046683162</v>
      </c>
      <c r="AD322" s="2"/>
      <c r="AE322" s="20">
        <v>1.751353099078782</v>
      </c>
      <c r="AF322" s="20">
        <f t="shared" si="7"/>
        <v>0.1057476379</v>
      </c>
      <c r="AG322" s="20">
        <f t="shared" si="8"/>
        <v>0.004337918635</v>
      </c>
      <c r="AH322" s="20">
        <f t="shared" si="9"/>
        <v>0.002227017018</v>
      </c>
      <c r="AI322" s="20">
        <v>0.02046683162326972</v>
      </c>
      <c r="AJ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16">
        <f t="shared" si="10"/>
        <v>36</v>
      </c>
      <c r="X323" s="17">
        <f t="shared" si="1"/>
        <v>0</v>
      </c>
      <c r="Y323" s="17">
        <f t="shared" si="2"/>
        <v>0</v>
      </c>
      <c r="Z323" s="17">
        <f t="shared" si="3"/>
        <v>2.635908566</v>
      </c>
      <c r="AA323" s="17">
        <f t="shared" si="4"/>
        <v>0</v>
      </c>
      <c r="AB323" s="17">
        <f t="shared" si="5"/>
        <v>0</v>
      </c>
      <c r="AC323" s="17">
        <f t="shared" si="6"/>
        <v>0.01239108124</v>
      </c>
      <c r="AD323" s="2"/>
      <c r="AE323" s="17">
        <v>2.635908566415919</v>
      </c>
      <c r="AF323" s="17">
        <f t="shared" si="7"/>
        <v>0.1659927972</v>
      </c>
      <c r="AG323" s="17">
        <f t="shared" si="8"/>
        <v>0.006980906992</v>
      </c>
      <c r="AH323" s="17">
        <f t="shared" si="9"/>
        <v>0.001496145988</v>
      </c>
      <c r="AI323" s="17">
        <v>0.012391081243411851</v>
      </c>
      <c r="AJ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19">
        <f t="shared" si="10"/>
        <v>36.05</v>
      </c>
      <c r="X324" s="20">
        <f t="shared" si="1"/>
        <v>0</v>
      </c>
      <c r="Y324" s="20">
        <f t="shared" si="2"/>
        <v>0</v>
      </c>
      <c r="Z324" s="20">
        <f t="shared" si="3"/>
        <v>3.939390248</v>
      </c>
      <c r="AA324" s="20">
        <f t="shared" si="4"/>
        <v>0</v>
      </c>
      <c r="AB324" s="20">
        <f t="shared" si="5"/>
        <v>0</v>
      </c>
      <c r="AC324" s="20">
        <f t="shared" si="6"/>
        <v>0.007451867832</v>
      </c>
      <c r="AD324" s="2"/>
      <c r="AE324" s="20">
        <v>3.9393902482216547</v>
      </c>
      <c r="AF324" s="20">
        <f t="shared" si="7"/>
        <v>0.2587434552</v>
      </c>
      <c r="AG324" s="20">
        <f t="shared" si="8"/>
        <v>0.01128584957</v>
      </c>
      <c r="AH324" s="20">
        <f t="shared" si="9"/>
        <v>0.001202699911</v>
      </c>
      <c r="AI324" s="20">
        <v>0.007451867832089517</v>
      </c>
      <c r="AJ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16">
        <f t="shared" si="10"/>
        <v>36.1</v>
      </c>
      <c r="X325" s="17">
        <f t="shared" si="1"/>
        <v>0</v>
      </c>
      <c r="Y325" s="17">
        <f t="shared" si="2"/>
        <v>0</v>
      </c>
      <c r="Z325" s="17">
        <f t="shared" si="3"/>
        <v>5.846146286</v>
      </c>
      <c r="AA325" s="17">
        <f t="shared" si="4"/>
        <v>0</v>
      </c>
      <c r="AB325" s="17">
        <f t="shared" si="5"/>
        <v>0</v>
      </c>
      <c r="AC325" s="17">
        <f t="shared" si="6"/>
        <v>0.004456944808</v>
      </c>
      <c r="AD325" s="2"/>
      <c r="AE325" s="17">
        <v>5.846146286402164</v>
      </c>
      <c r="AF325" s="17">
        <f t="shared" si="7"/>
        <v>0.4004995365</v>
      </c>
      <c r="AG325" s="17">
        <f t="shared" si="8"/>
        <v>0.0181913496</v>
      </c>
      <c r="AH325" s="17">
        <f t="shared" si="9"/>
        <v>0.001259573165</v>
      </c>
      <c r="AI325" s="17">
        <v>0.004456944808325838</v>
      </c>
      <c r="AJ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19">
        <f t="shared" si="10"/>
        <v>36.15</v>
      </c>
      <c r="X326" s="20">
        <f t="shared" si="1"/>
        <v>0</v>
      </c>
      <c r="Y326" s="20">
        <f t="shared" si="2"/>
        <v>0</v>
      </c>
      <c r="Z326" s="20">
        <f t="shared" si="3"/>
        <v>8.614941847</v>
      </c>
      <c r="AA326" s="20">
        <f t="shared" si="4"/>
        <v>0</v>
      </c>
      <c r="AB326" s="20">
        <f t="shared" si="5"/>
        <v>0</v>
      </c>
      <c r="AC326" s="20">
        <f t="shared" si="6"/>
        <v>0.002660384732</v>
      </c>
      <c r="AD326" s="2"/>
      <c r="AE326" s="20">
        <v>8.614941846593233</v>
      </c>
      <c r="AF326" s="20">
        <f t="shared" si="7"/>
        <v>0.6155793724</v>
      </c>
      <c r="AG326" s="20">
        <f t="shared" si="8"/>
        <v>0.02915772882</v>
      </c>
      <c r="AH326" s="20">
        <f t="shared" si="9"/>
        <v>0.001671041212</v>
      </c>
      <c r="AI326" s="20">
        <v>0.0026603847322125185</v>
      </c>
      <c r="AJ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16">
        <f t="shared" si="10"/>
        <v>36.2</v>
      </c>
      <c r="X327" s="17">
        <f t="shared" si="1"/>
        <v>0</v>
      </c>
      <c r="Y327" s="17">
        <f t="shared" si="2"/>
        <v>0</v>
      </c>
      <c r="Z327" s="17">
        <f t="shared" si="3"/>
        <v>12.60599172</v>
      </c>
      <c r="AA327" s="17">
        <f t="shared" si="4"/>
        <v>0</v>
      </c>
      <c r="AB327" s="17">
        <f t="shared" si="5"/>
        <v>0</v>
      </c>
      <c r="AC327" s="17">
        <f t="shared" si="6"/>
        <v>0.001600856718</v>
      </c>
      <c r="AD327" s="2"/>
      <c r="AE327" s="17">
        <v>12.605991717140052</v>
      </c>
      <c r="AF327" s="17">
        <f t="shared" si="7"/>
        <v>0.9395381535</v>
      </c>
      <c r="AG327" s="17">
        <f t="shared" si="8"/>
        <v>0.04643051807</v>
      </c>
      <c r="AH327" s="17">
        <f t="shared" si="9"/>
        <v>0.002530846013</v>
      </c>
      <c r="AI327" s="17">
        <v>0.001600856718457826</v>
      </c>
      <c r="AJ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19">
        <f t="shared" si="10"/>
        <v>36.25</v>
      </c>
      <c r="X328" s="20">
        <f t="shared" si="1"/>
        <v>0</v>
      </c>
      <c r="Y328" s="20">
        <f t="shared" si="2"/>
        <v>0</v>
      </c>
      <c r="Z328" s="20">
        <f t="shared" si="3"/>
        <v>18.31655013</v>
      </c>
      <c r="AA328" s="20">
        <f t="shared" si="4"/>
        <v>0</v>
      </c>
      <c r="AB328" s="20">
        <f t="shared" si="5"/>
        <v>0</v>
      </c>
      <c r="AC328" s="20">
        <f t="shared" si="6"/>
        <v>0.0009980633389</v>
      </c>
      <c r="AD328" s="2"/>
      <c r="AE328" s="20">
        <v>18.316550131840902</v>
      </c>
      <c r="AF328" s="20">
        <f t="shared" si="7"/>
        <v>1.423943426</v>
      </c>
      <c r="AG328" s="20">
        <f t="shared" si="8"/>
        <v>0.07343076955</v>
      </c>
      <c r="AH328" s="20">
        <f t="shared" si="9"/>
        <v>0.004040108027</v>
      </c>
      <c r="AI328" s="20">
        <v>9.980633389473678E-4</v>
      </c>
      <c r="AJ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16">
        <f t="shared" si="10"/>
        <v>36.3</v>
      </c>
      <c r="X329" s="17">
        <f t="shared" si="1"/>
        <v>0</v>
      </c>
      <c r="Y329" s="17">
        <f t="shared" si="2"/>
        <v>0</v>
      </c>
      <c r="Z329" s="17">
        <f t="shared" si="3"/>
        <v>26.42727198</v>
      </c>
      <c r="AA329" s="17">
        <f t="shared" si="4"/>
        <v>0</v>
      </c>
      <c r="AB329" s="17">
        <f t="shared" si="5"/>
        <v>0</v>
      </c>
      <c r="AC329" s="17">
        <f t="shared" si="6"/>
        <v>0.0006876538324</v>
      </c>
      <c r="AD329" s="2"/>
      <c r="AE329" s="17">
        <v>26.427271978891614</v>
      </c>
      <c r="AF329" s="17">
        <f t="shared" si="7"/>
        <v>2.142983728</v>
      </c>
      <c r="AG329" s="17">
        <f t="shared" si="8"/>
        <v>0.1153268979</v>
      </c>
      <c r="AH329" s="17">
        <f t="shared" si="9"/>
        <v>0.006547721591</v>
      </c>
      <c r="AI329" s="17">
        <v>6.876538324027871E-4</v>
      </c>
      <c r="AJ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19">
        <f t="shared" si="10"/>
        <v>36.35</v>
      </c>
      <c r="X330" s="20">
        <f t="shared" si="1"/>
        <v>0</v>
      </c>
      <c r="Y330" s="20">
        <f t="shared" si="2"/>
        <v>0</v>
      </c>
      <c r="Z330" s="20">
        <f t="shared" si="3"/>
        <v>37.8619505</v>
      </c>
      <c r="AA330" s="20">
        <f t="shared" si="4"/>
        <v>0</v>
      </c>
      <c r="AB330" s="20">
        <f t="shared" si="5"/>
        <v>0</v>
      </c>
      <c r="AC330" s="20">
        <f t="shared" si="6"/>
        <v>0.0005817385972</v>
      </c>
      <c r="AD330" s="2"/>
      <c r="AE330" s="20">
        <v>37.861950501607396</v>
      </c>
      <c r="AF330" s="20">
        <f t="shared" si="7"/>
        <v>3.202526941</v>
      </c>
      <c r="AG330" s="20">
        <f t="shared" si="8"/>
        <v>0.1798643608</v>
      </c>
      <c r="AH330" s="20">
        <f t="shared" si="9"/>
        <v>0.01061987662</v>
      </c>
      <c r="AI330" s="20">
        <v>5.817385972465554E-4</v>
      </c>
      <c r="AJ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16">
        <f t="shared" si="10"/>
        <v>36.4</v>
      </c>
      <c r="X331" s="17">
        <f t="shared" si="1"/>
        <v>0</v>
      </c>
      <c r="Y331" s="17">
        <f t="shared" si="2"/>
        <v>0</v>
      </c>
      <c r="Z331" s="17">
        <f t="shared" si="3"/>
        <v>53.86363098</v>
      </c>
      <c r="AA331" s="17">
        <f t="shared" si="4"/>
        <v>0</v>
      </c>
      <c r="AB331" s="17">
        <f t="shared" si="5"/>
        <v>0</v>
      </c>
      <c r="AC331" s="17">
        <f t="shared" si="6"/>
        <v>0.0006468754146</v>
      </c>
      <c r="AD331" s="2"/>
      <c r="AE331" s="17">
        <v>53.86363097796866</v>
      </c>
      <c r="AF331" s="17">
        <f t="shared" si="7"/>
        <v>4.752416288</v>
      </c>
      <c r="AG331" s="17">
        <f t="shared" si="8"/>
        <v>0.2785583156</v>
      </c>
      <c r="AH331" s="17">
        <f t="shared" si="9"/>
        <v>0.01715014592</v>
      </c>
      <c r="AI331" s="17">
        <v>6.468754145830033E-4</v>
      </c>
      <c r="AJ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19">
        <f t="shared" si="10"/>
        <v>36.45</v>
      </c>
      <c r="X332" s="20">
        <f t="shared" si="1"/>
        <v>0</v>
      </c>
      <c r="Y332" s="20">
        <f t="shared" si="2"/>
        <v>0</v>
      </c>
      <c r="Z332" s="20">
        <f t="shared" si="3"/>
        <v>76.09046926</v>
      </c>
      <c r="AA332" s="20">
        <f t="shared" si="4"/>
        <v>0</v>
      </c>
      <c r="AB332" s="20">
        <f t="shared" si="5"/>
        <v>0</v>
      </c>
      <c r="AC332" s="20">
        <f t="shared" si="6"/>
        <v>0.0008947736189</v>
      </c>
      <c r="AD332" s="2"/>
      <c r="AE332" s="20">
        <v>76.09046925926476</v>
      </c>
      <c r="AF332" s="20">
        <f t="shared" si="7"/>
        <v>7.002996664</v>
      </c>
      <c r="AG332" s="20">
        <f t="shared" si="8"/>
        <v>0.4283924056</v>
      </c>
      <c r="AH332" s="20">
        <f t="shared" si="9"/>
        <v>0.02752780234</v>
      </c>
      <c r="AI332" s="20">
        <v>8.9477361890427E-4</v>
      </c>
      <c r="AJ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16">
        <f t="shared" si="10"/>
        <v>36.5</v>
      </c>
      <c r="X333" s="17">
        <f t="shared" si="1"/>
        <v>0</v>
      </c>
      <c r="Y333" s="17">
        <f t="shared" si="2"/>
        <v>0</v>
      </c>
      <c r="Z333" s="17">
        <f t="shared" si="3"/>
        <v>106.7350093</v>
      </c>
      <c r="AA333" s="17">
        <f t="shared" si="4"/>
        <v>0</v>
      </c>
      <c r="AB333" s="17">
        <f t="shared" si="5"/>
        <v>0</v>
      </c>
      <c r="AC333" s="17">
        <f t="shared" si="6"/>
        <v>0.001383489241</v>
      </c>
      <c r="AD333" s="2"/>
      <c r="AE333" s="17">
        <v>106.73500934382365</v>
      </c>
      <c r="AF333" s="17">
        <f t="shared" si="7"/>
        <v>10.24710347</v>
      </c>
      <c r="AG333" s="17">
        <f t="shared" si="8"/>
        <v>0.6542163362</v>
      </c>
      <c r="AH333" s="17">
        <f t="shared" si="9"/>
        <v>0.04389040881</v>
      </c>
      <c r="AI333" s="17">
        <v>0.0013834892413898765</v>
      </c>
      <c r="AJ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19">
        <f t="shared" si="10"/>
        <v>36.55</v>
      </c>
      <c r="X334" s="20">
        <f t="shared" si="1"/>
        <v>0</v>
      </c>
      <c r="Y334" s="20">
        <f t="shared" si="2"/>
        <v>0</v>
      </c>
      <c r="Z334" s="20">
        <f t="shared" si="3"/>
        <v>148.6707444</v>
      </c>
      <c r="AA334" s="20">
        <f t="shared" si="4"/>
        <v>0</v>
      </c>
      <c r="AB334" s="20">
        <f t="shared" si="5"/>
        <v>0</v>
      </c>
      <c r="AC334" s="20">
        <f t="shared" si="6"/>
        <v>0.002228966951</v>
      </c>
      <c r="AD334" s="2"/>
      <c r="AE334" s="20">
        <v>148.6707444325742</v>
      </c>
      <c r="AF334" s="20">
        <f t="shared" si="7"/>
        <v>14.8890189</v>
      </c>
      <c r="AG334" s="20">
        <f t="shared" si="8"/>
        <v>0.9920984528</v>
      </c>
      <c r="AH334" s="20">
        <f t="shared" si="9"/>
        <v>0.06949814032</v>
      </c>
      <c r="AI334" s="20">
        <v>0.0022289669513478076</v>
      </c>
      <c r="AJ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16">
        <f t="shared" si="10"/>
        <v>36.6</v>
      </c>
      <c r="X335" s="17">
        <f t="shared" si="1"/>
        <v>0</v>
      </c>
      <c r="Y335" s="17">
        <f t="shared" si="2"/>
        <v>0</v>
      </c>
      <c r="Z335" s="17">
        <f t="shared" si="3"/>
        <v>205.629838</v>
      </c>
      <c r="AA335" s="17">
        <f t="shared" si="4"/>
        <v>0</v>
      </c>
      <c r="AB335" s="17">
        <f t="shared" si="5"/>
        <v>0</v>
      </c>
      <c r="AC335" s="17">
        <f t="shared" si="6"/>
        <v>0.003628759342</v>
      </c>
      <c r="AD335" s="2"/>
      <c r="AE335" s="17">
        <v>205.62983796619798</v>
      </c>
      <c r="AF335" s="17">
        <f t="shared" si="7"/>
        <v>21.48220211</v>
      </c>
      <c r="AG335" s="17">
        <f t="shared" si="8"/>
        <v>1.493969915</v>
      </c>
      <c r="AH335" s="17">
        <f t="shared" si="9"/>
        <v>0.1092828427</v>
      </c>
      <c r="AI335" s="17">
        <v>0.0036287593416790614</v>
      </c>
      <c r="AJ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19">
        <f t="shared" si="10"/>
        <v>36.65</v>
      </c>
      <c r="X336" s="20">
        <f t="shared" si="1"/>
        <v>0</v>
      </c>
      <c r="Y336" s="20">
        <f t="shared" si="2"/>
        <v>0</v>
      </c>
      <c r="Z336" s="20">
        <f t="shared" si="3"/>
        <v>282.4156401</v>
      </c>
      <c r="AA336" s="20">
        <f t="shared" si="4"/>
        <v>0</v>
      </c>
      <c r="AB336" s="20">
        <f t="shared" si="5"/>
        <v>0</v>
      </c>
      <c r="AC336" s="20">
        <f t="shared" si="6"/>
        <v>0.005901927246</v>
      </c>
      <c r="AD336" s="2"/>
      <c r="AE336" s="20">
        <v>282.4156401094228</v>
      </c>
      <c r="AF336" s="20">
        <f t="shared" si="7"/>
        <v>30.77792043</v>
      </c>
      <c r="AG336" s="20">
        <f t="shared" si="8"/>
        <v>2.233997061</v>
      </c>
      <c r="AH336" s="20">
        <f t="shared" si="9"/>
        <v>0.1706458582</v>
      </c>
      <c r="AI336" s="20">
        <v>0.005901927245700342</v>
      </c>
      <c r="AJ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16">
        <f t="shared" si="10"/>
        <v>36.7</v>
      </c>
      <c r="X337" s="17">
        <f t="shared" si="1"/>
        <v>0</v>
      </c>
      <c r="Y337" s="17">
        <f t="shared" si="2"/>
        <v>0</v>
      </c>
      <c r="Z337" s="17">
        <f t="shared" si="3"/>
        <v>385.1530565</v>
      </c>
      <c r="AA337" s="17">
        <f t="shared" si="4"/>
        <v>0</v>
      </c>
      <c r="AB337" s="17">
        <f t="shared" si="5"/>
        <v>0</v>
      </c>
      <c r="AC337" s="17">
        <f t="shared" si="6"/>
        <v>0.009551808257</v>
      </c>
      <c r="AD337" s="2"/>
      <c r="AE337" s="17">
        <v>385.1530564797931</v>
      </c>
      <c r="AF337" s="17">
        <f t="shared" si="7"/>
        <v>43.7872332</v>
      </c>
      <c r="AG337" s="17">
        <f t="shared" si="8"/>
        <v>3.317240815</v>
      </c>
      <c r="AH337" s="17">
        <f t="shared" si="9"/>
        <v>0.2646067987</v>
      </c>
      <c r="AI337" s="17">
        <v>0.00955180825712754</v>
      </c>
      <c r="AJ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19">
        <f t="shared" si="10"/>
        <v>36.75</v>
      </c>
      <c r="X338" s="20">
        <f t="shared" si="1"/>
        <v>0</v>
      </c>
      <c r="Y338" s="20">
        <f t="shared" si="2"/>
        <v>0</v>
      </c>
      <c r="Z338" s="20">
        <f t="shared" si="3"/>
        <v>521.5788192</v>
      </c>
      <c r="AA338" s="20">
        <f t="shared" si="4"/>
        <v>0</v>
      </c>
      <c r="AB338" s="20">
        <f t="shared" si="5"/>
        <v>0</v>
      </c>
      <c r="AC338" s="20">
        <f t="shared" si="6"/>
        <v>0.01536188391</v>
      </c>
      <c r="AD338" s="2"/>
      <c r="AE338" s="20">
        <v>521.5788191711275</v>
      </c>
      <c r="AF338" s="20">
        <f t="shared" si="7"/>
        <v>61.85908519</v>
      </c>
      <c r="AG338" s="20">
        <f t="shared" si="8"/>
        <v>4.891308526</v>
      </c>
      <c r="AH338" s="20">
        <f t="shared" si="9"/>
        <v>0.4074426975</v>
      </c>
      <c r="AI338" s="20">
        <v>0.01536188391063123</v>
      </c>
      <c r="AJ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16">
        <f t="shared" si="10"/>
        <v>36.8</v>
      </c>
      <c r="X339" s="17">
        <f t="shared" si="1"/>
        <v>0</v>
      </c>
      <c r="Y339" s="17">
        <f t="shared" si="2"/>
        <v>0</v>
      </c>
      <c r="Z339" s="17">
        <f t="shared" si="3"/>
        <v>701.3721848</v>
      </c>
      <c r="AA339" s="17">
        <f t="shared" si="4"/>
        <v>0</v>
      </c>
      <c r="AB339" s="17">
        <f t="shared" si="5"/>
        <v>0</v>
      </c>
      <c r="AC339" s="17">
        <f t="shared" si="6"/>
        <v>0.024539797</v>
      </c>
      <c r="AD339" s="2"/>
      <c r="AE339" s="17">
        <v>701.3721848248971</v>
      </c>
      <c r="AF339" s="17">
        <f t="shared" si="7"/>
        <v>86.777521</v>
      </c>
      <c r="AG339" s="17">
        <f t="shared" si="8"/>
        <v>7.161875513</v>
      </c>
      <c r="AH339" s="17">
        <f t="shared" si="9"/>
        <v>0.6230056268</v>
      </c>
      <c r="AI339" s="17">
        <v>0.024539797000213318</v>
      </c>
      <c r="AJ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19">
        <f t="shared" si="10"/>
        <v>36.85</v>
      </c>
      <c r="X340" s="20">
        <f t="shared" si="1"/>
        <v>0</v>
      </c>
      <c r="Y340" s="20">
        <f t="shared" si="2"/>
        <v>0</v>
      </c>
      <c r="Z340" s="20">
        <f t="shared" si="3"/>
        <v>936.5244583</v>
      </c>
      <c r="AA340" s="20">
        <f t="shared" si="4"/>
        <v>0</v>
      </c>
      <c r="AB340" s="20">
        <f t="shared" si="5"/>
        <v>0</v>
      </c>
      <c r="AC340" s="20">
        <f t="shared" si="6"/>
        <v>0.03893118638</v>
      </c>
      <c r="AD340" s="2"/>
      <c r="AE340" s="20">
        <v>936.5244583223152</v>
      </c>
      <c r="AF340" s="20">
        <f t="shared" si="7"/>
        <v>120.8811945</v>
      </c>
      <c r="AG340" s="20">
        <f t="shared" si="8"/>
        <v>10.41315017</v>
      </c>
      <c r="AH340" s="20">
        <f t="shared" si="9"/>
        <v>0.9459695433</v>
      </c>
      <c r="AI340" s="20">
        <v>0.038931186380276483</v>
      </c>
      <c r="AJ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16">
        <f t="shared" si="10"/>
        <v>36.9</v>
      </c>
      <c r="X341" s="17">
        <f t="shared" si="1"/>
        <v>0</v>
      </c>
      <c r="Y341" s="17">
        <f t="shared" si="2"/>
        <v>0</v>
      </c>
      <c r="Z341" s="17">
        <f t="shared" si="3"/>
        <v>1241.74295</v>
      </c>
      <c r="AA341" s="17">
        <f t="shared" si="4"/>
        <v>0</v>
      </c>
      <c r="AB341" s="17">
        <f t="shared" si="5"/>
        <v>0</v>
      </c>
      <c r="AC341" s="17">
        <f t="shared" si="6"/>
        <v>0.06133406426</v>
      </c>
      <c r="AD341" s="2"/>
      <c r="AE341" s="17">
        <v>1241.7429498746615</v>
      </c>
      <c r="AF341" s="17">
        <f t="shared" si="7"/>
        <v>167.2083663</v>
      </c>
      <c r="AG341" s="17">
        <f t="shared" si="8"/>
        <v>15.03457471</v>
      </c>
      <c r="AH341" s="17">
        <f t="shared" si="9"/>
        <v>1.426336667</v>
      </c>
      <c r="AI341" s="17">
        <v>0.06133406425659922</v>
      </c>
      <c r="AJ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19">
        <f t="shared" si="10"/>
        <v>36.95</v>
      </c>
      <c r="X342" s="20">
        <f t="shared" si="1"/>
        <v>0</v>
      </c>
      <c r="Y342" s="20">
        <f t="shared" si="2"/>
        <v>0</v>
      </c>
      <c r="Z342" s="20">
        <f t="shared" si="3"/>
        <v>1634.881485</v>
      </c>
      <c r="AA342" s="20">
        <f t="shared" si="4"/>
        <v>0</v>
      </c>
      <c r="AB342" s="20">
        <f t="shared" si="5"/>
        <v>0</v>
      </c>
      <c r="AC342" s="20">
        <f t="shared" si="6"/>
        <v>0.09595676704</v>
      </c>
      <c r="AD342" s="2"/>
      <c r="AE342" s="20">
        <v>1634.8814852714534</v>
      </c>
      <c r="AF342" s="20">
        <f t="shared" si="7"/>
        <v>229.6703973</v>
      </c>
      <c r="AG342" s="20">
        <f t="shared" si="8"/>
        <v>21.55528734</v>
      </c>
      <c r="AH342" s="20">
        <f t="shared" si="9"/>
        <v>2.135633043</v>
      </c>
      <c r="AI342" s="20">
        <v>0.0959567670371137</v>
      </c>
      <c r="AJ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16">
        <f t="shared" si="10"/>
        <v>37</v>
      </c>
      <c r="X343" s="17">
        <f t="shared" si="1"/>
        <v>0</v>
      </c>
      <c r="Y343" s="17">
        <f t="shared" si="2"/>
        <v>0</v>
      </c>
      <c r="Z343" s="17">
        <f t="shared" si="3"/>
        <v>2137.385416</v>
      </c>
      <c r="AA343" s="17">
        <f t="shared" si="4"/>
        <v>0</v>
      </c>
      <c r="AB343" s="17">
        <f t="shared" si="5"/>
        <v>0</v>
      </c>
      <c r="AC343" s="17">
        <f t="shared" si="6"/>
        <v>0.1490790586</v>
      </c>
      <c r="AD343" s="2"/>
      <c r="AE343" s="17">
        <v>2137.3854163233846</v>
      </c>
      <c r="AF343" s="17">
        <f t="shared" si="7"/>
        <v>313.2562879</v>
      </c>
      <c r="AG343" s="17">
        <f t="shared" si="8"/>
        <v>30.68810973</v>
      </c>
      <c r="AH343" s="17">
        <f t="shared" si="9"/>
        <v>3.175344893</v>
      </c>
      <c r="AI343" s="17">
        <v>0.14907905857223902</v>
      </c>
      <c r="AJ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19">
        <f t="shared" si="10"/>
        <v>37.05</v>
      </c>
      <c r="X344" s="20">
        <f t="shared" si="1"/>
        <v>0</v>
      </c>
      <c r="Y344" s="20">
        <f t="shared" si="2"/>
        <v>0</v>
      </c>
      <c r="Z344" s="20">
        <f t="shared" si="3"/>
        <v>2774.734293</v>
      </c>
      <c r="AA344" s="20">
        <f t="shared" si="4"/>
        <v>0</v>
      </c>
      <c r="AB344" s="20">
        <f t="shared" si="5"/>
        <v>0</v>
      </c>
      <c r="AC344" s="20">
        <f t="shared" si="6"/>
        <v>0.2299979549</v>
      </c>
      <c r="AD344" s="2"/>
      <c r="AE344" s="20">
        <v>2774.7342932920055</v>
      </c>
      <c r="AF344" s="20">
        <f t="shared" si="7"/>
        <v>424.2700057</v>
      </c>
      <c r="AG344" s="20">
        <f t="shared" si="8"/>
        <v>43.38505107</v>
      </c>
      <c r="AH344" s="20">
        <f t="shared" si="9"/>
        <v>4.688294239</v>
      </c>
      <c r="AI344" s="20">
        <v>0.229997954880276</v>
      </c>
      <c r="AJ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16">
        <f t="shared" si="10"/>
        <v>37.1</v>
      </c>
      <c r="X345" s="17">
        <f t="shared" si="1"/>
        <v>0</v>
      </c>
      <c r="Y345" s="17">
        <f t="shared" si="2"/>
        <v>0</v>
      </c>
      <c r="Z345" s="17">
        <f t="shared" si="3"/>
        <v>3576.860109</v>
      </c>
      <c r="AA345" s="17">
        <f t="shared" si="4"/>
        <v>0</v>
      </c>
      <c r="AB345" s="17">
        <f t="shared" si="5"/>
        <v>0</v>
      </c>
      <c r="AC345" s="17">
        <f t="shared" si="6"/>
        <v>0.35236869</v>
      </c>
      <c r="AD345" s="2"/>
      <c r="AE345" s="17">
        <v>3576.8601089095455</v>
      </c>
      <c r="AF345" s="17">
        <f t="shared" si="7"/>
        <v>570.60112</v>
      </c>
      <c r="AG345" s="17">
        <f t="shared" si="8"/>
        <v>60.90651359</v>
      </c>
      <c r="AH345" s="17">
        <f t="shared" si="9"/>
        <v>6.87382548</v>
      </c>
      <c r="AI345" s="17">
        <v>0.35236869001064824</v>
      </c>
      <c r="AJ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19">
        <f t="shared" si="10"/>
        <v>37.15</v>
      </c>
      <c r="X346" s="20">
        <f t="shared" si="1"/>
        <v>0</v>
      </c>
      <c r="Y346" s="20">
        <f t="shared" si="2"/>
        <v>0</v>
      </c>
      <c r="Z346" s="20">
        <f t="shared" si="3"/>
        <v>4578.513535</v>
      </c>
      <c r="AA346" s="20">
        <f t="shared" si="4"/>
        <v>0</v>
      </c>
      <c r="AB346" s="20">
        <f t="shared" si="5"/>
        <v>0</v>
      </c>
      <c r="AC346" s="20">
        <f t="shared" si="6"/>
        <v>0.5360885793</v>
      </c>
      <c r="AD346" s="2"/>
      <c r="AE346" s="20">
        <v>4578.513534656379</v>
      </c>
      <c r="AF346" s="20">
        <f t="shared" si="7"/>
        <v>762.0275397</v>
      </c>
      <c r="AG346" s="20">
        <f t="shared" si="8"/>
        <v>84.90651596</v>
      </c>
      <c r="AH346" s="20">
        <f t="shared" si="9"/>
        <v>10.00787396</v>
      </c>
      <c r="AI346" s="20">
        <v>0.5360885793211001</v>
      </c>
      <c r="AJ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16">
        <f t="shared" si="10"/>
        <v>37.2</v>
      </c>
      <c r="X347" s="17">
        <f t="shared" si="1"/>
        <v>0</v>
      </c>
      <c r="Y347" s="17">
        <f t="shared" si="2"/>
        <v>0</v>
      </c>
      <c r="Z347" s="17">
        <f t="shared" si="3"/>
        <v>5819.545166</v>
      </c>
      <c r="AA347" s="17">
        <f t="shared" si="4"/>
        <v>0</v>
      </c>
      <c r="AB347" s="17">
        <f t="shared" si="5"/>
        <v>0</v>
      </c>
      <c r="AC347" s="17">
        <f t="shared" si="6"/>
        <v>0.8099191563</v>
      </c>
      <c r="AD347" s="2"/>
      <c r="AE347" s="17">
        <v>5819.545165807988</v>
      </c>
      <c r="AF347" s="17">
        <f t="shared" si="7"/>
        <v>1010.546894</v>
      </c>
      <c r="AG347" s="17">
        <f t="shared" si="8"/>
        <v>117.5362833</v>
      </c>
      <c r="AH347" s="17">
        <f t="shared" si="9"/>
        <v>14.46921057</v>
      </c>
      <c r="AI347" s="17">
        <v>0.8099191562787061</v>
      </c>
      <c r="AJ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19">
        <f t="shared" si="10"/>
        <v>37.25</v>
      </c>
      <c r="X348" s="20">
        <f t="shared" si="1"/>
        <v>0</v>
      </c>
      <c r="Y348" s="20">
        <f t="shared" si="2"/>
        <v>0</v>
      </c>
      <c r="Z348" s="20">
        <f t="shared" si="3"/>
        <v>7345.063885</v>
      </c>
      <c r="AA348" s="20">
        <f t="shared" si="4"/>
        <v>0</v>
      </c>
      <c r="AB348" s="20">
        <f t="shared" si="5"/>
        <v>0</v>
      </c>
      <c r="AC348" s="20">
        <f t="shared" si="6"/>
        <v>1.215101755</v>
      </c>
      <c r="AD348" s="2"/>
      <c r="AE348" s="20">
        <v>7345.063885327723</v>
      </c>
      <c r="AF348" s="20">
        <f t="shared" si="7"/>
        <v>1330.730263</v>
      </c>
      <c r="AG348" s="20">
        <f t="shared" si="8"/>
        <v>161.5684427</v>
      </c>
      <c r="AH348" s="20">
        <f t="shared" si="9"/>
        <v>20.77339746</v>
      </c>
      <c r="AI348" s="20">
        <v>1.215101755010973</v>
      </c>
      <c r="AJ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16">
        <f t="shared" si="10"/>
        <v>37.3</v>
      </c>
      <c r="X349" s="17">
        <f t="shared" si="1"/>
        <v>0</v>
      </c>
      <c r="Y349" s="17">
        <f t="shared" si="2"/>
        <v>0</v>
      </c>
      <c r="Z349" s="17">
        <f t="shared" si="3"/>
        <v>9205.430544</v>
      </c>
      <c r="AA349" s="17">
        <f t="shared" si="4"/>
        <v>0</v>
      </c>
      <c r="AB349" s="17">
        <f t="shared" si="5"/>
        <v>0</v>
      </c>
      <c r="AC349" s="17">
        <f t="shared" si="6"/>
        <v>1.810295545</v>
      </c>
      <c r="AD349" s="2"/>
      <c r="AE349" s="17">
        <v>9205.430543698089</v>
      </c>
      <c r="AF349" s="17">
        <f t="shared" si="7"/>
        <v>1740.088563</v>
      </c>
      <c r="AG349" s="17">
        <f t="shared" si="8"/>
        <v>220.5437615</v>
      </c>
      <c r="AH349" s="17">
        <f t="shared" si="9"/>
        <v>29.61623917</v>
      </c>
      <c r="AI349" s="17">
        <v>1.8102955451256957</v>
      </c>
      <c r="AJ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19">
        <f t="shared" si="10"/>
        <v>37.35</v>
      </c>
      <c r="X350" s="20">
        <f t="shared" si="1"/>
        <v>0</v>
      </c>
      <c r="Y350" s="20">
        <f t="shared" si="2"/>
        <v>0</v>
      </c>
      <c r="Z350" s="20">
        <f t="shared" si="3"/>
        <v>11456.04279</v>
      </c>
      <c r="AA350" s="20">
        <f t="shared" si="4"/>
        <v>0</v>
      </c>
      <c r="AB350" s="20">
        <f t="shared" si="5"/>
        <v>0</v>
      </c>
      <c r="AC350" s="20">
        <f t="shared" si="6"/>
        <v>2.678256536</v>
      </c>
      <c r="AD350" s="2"/>
      <c r="AE350" s="20">
        <v>11456.042791740458</v>
      </c>
      <c r="AF350" s="20">
        <f t="shared" si="7"/>
        <v>2259.438002</v>
      </c>
      <c r="AG350" s="20">
        <f t="shared" si="8"/>
        <v>298.9418162</v>
      </c>
      <c r="AH350" s="20">
        <f t="shared" si="9"/>
        <v>41.92875536</v>
      </c>
      <c r="AI350" s="20">
        <v>2.6782565360136945</v>
      </c>
      <c r="AJ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16">
        <f t="shared" si="10"/>
        <v>37.4</v>
      </c>
      <c r="X351" s="17">
        <f t="shared" si="1"/>
        <v>0</v>
      </c>
      <c r="Y351" s="17">
        <f t="shared" si="2"/>
        <v>0</v>
      </c>
      <c r="Z351" s="17">
        <f t="shared" si="3"/>
        <v>14156.86669</v>
      </c>
      <c r="AA351" s="17">
        <f t="shared" si="4"/>
        <v>0</v>
      </c>
      <c r="AB351" s="17">
        <f t="shared" si="5"/>
        <v>0</v>
      </c>
      <c r="AC351" s="17">
        <f t="shared" si="6"/>
        <v>3.934782398</v>
      </c>
      <c r="AD351" s="2"/>
      <c r="AE351" s="17">
        <v>14156.866689079345</v>
      </c>
      <c r="AF351" s="17">
        <f t="shared" si="7"/>
        <v>2913.246696</v>
      </c>
      <c r="AG351" s="17">
        <f t="shared" si="8"/>
        <v>402.3761332</v>
      </c>
      <c r="AH351" s="17">
        <f t="shared" si="9"/>
        <v>58.94591547</v>
      </c>
      <c r="AI351" s="17">
        <v>3.934782398374248</v>
      </c>
      <c r="AJ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19">
        <f t="shared" si="10"/>
        <v>37.45</v>
      </c>
      <c r="X352" s="20">
        <f t="shared" si="1"/>
        <v>0</v>
      </c>
      <c r="Y352" s="20">
        <f t="shared" si="2"/>
        <v>0</v>
      </c>
      <c r="Z352" s="20">
        <f t="shared" si="3"/>
        <v>17371.67323</v>
      </c>
      <c r="AA352" s="20">
        <f t="shared" si="4"/>
        <v>0</v>
      </c>
      <c r="AB352" s="20">
        <f t="shared" si="5"/>
        <v>0</v>
      </c>
      <c r="AC352" s="20">
        <f t="shared" si="6"/>
        <v>5.740571389</v>
      </c>
      <c r="AD352" s="2"/>
      <c r="AE352" s="20">
        <v>17371.673225937495</v>
      </c>
      <c r="AF352" s="20">
        <f t="shared" si="7"/>
        <v>3729.940067</v>
      </c>
      <c r="AG352" s="20">
        <f t="shared" si="8"/>
        <v>537.8131409</v>
      </c>
      <c r="AH352" s="20">
        <f t="shared" si="9"/>
        <v>82.29153196</v>
      </c>
      <c r="AI352" s="20">
        <v>5.740571389036969</v>
      </c>
      <c r="AJ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16">
        <f t="shared" si="10"/>
        <v>37.5</v>
      </c>
      <c r="X353" s="17">
        <f t="shared" si="1"/>
        <v>0</v>
      </c>
      <c r="Y353" s="17">
        <f t="shared" si="2"/>
        <v>0</v>
      </c>
      <c r="Z353" s="17">
        <f t="shared" si="3"/>
        <v>21166.94366</v>
      </c>
      <c r="AA353" s="17">
        <f t="shared" si="4"/>
        <v>0</v>
      </c>
      <c r="AB353" s="17">
        <f t="shared" si="5"/>
        <v>0</v>
      </c>
      <c r="AC353" s="17">
        <f t="shared" si="6"/>
        <v>8.316783188</v>
      </c>
      <c r="AD353" s="2"/>
      <c r="AE353" s="17">
        <v>21166.94366259318</v>
      </c>
      <c r="AF353" s="17">
        <f t="shared" si="7"/>
        <v>4742.13815</v>
      </c>
      <c r="AG353" s="17">
        <f t="shared" si="8"/>
        <v>713.8126811</v>
      </c>
      <c r="AH353" s="17">
        <f t="shared" si="9"/>
        <v>114.0817729</v>
      </c>
      <c r="AI353" s="17">
        <v>8.316783187839736</v>
      </c>
      <c r="AJ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19">
        <f t="shared" si="10"/>
        <v>37.55</v>
      </c>
      <c r="X354" s="20">
        <f t="shared" si="1"/>
        <v>0</v>
      </c>
      <c r="Y354" s="20">
        <f t="shared" si="2"/>
        <v>0</v>
      </c>
      <c r="Z354" s="20">
        <f t="shared" si="3"/>
        <v>25610.41701</v>
      </c>
      <c r="AA354" s="20">
        <f t="shared" si="4"/>
        <v>0</v>
      </c>
      <c r="AB354" s="20">
        <f t="shared" si="5"/>
        <v>0</v>
      </c>
      <c r="AC354" s="20">
        <f t="shared" si="6"/>
        <v>11.96524218</v>
      </c>
      <c r="AD354" s="2"/>
      <c r="AE354" s="20">
        <v>25610.417009125093</v>
      </c>
      <c r="AF354" s="20">
        <f t="shared" si="7"/>
        <v>5986.7939</v>
      </c>
      <c r="AG354" s="20">
        <f t="shared" si="8"/>
        <v>940.7858167</v>
      </c>
      <c r="AH354" s="20">
        <f t="shared" si="9"/>
        <v>157.0496817</v>
      </c>
      <c r="AI354" s="20">
        <v>11.965242178716728</v>
      </c>
      <c r="AJ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16">
        <f t="shared" si="10"/>
        <v>37.6</v>
      </c>
      <c r="X355" s="17">
        <f t="shared" si="1"/>
        <v>0</v>
      </c>
      <c r="Y355" s="17">
        <f t="shared" si="2"/>
        <v>0</v>
      </c>
      <c r="Z355" s="17">
        <f t="shared" si="3"/>
        <v>30769.26625</v>
      </c>
      <c r="AA355" s="17">
        <f t="shared" si="4"/>
        <v>0</v>
      </c>
      <c r="AB355" s="17">
        <f t="shared" si="5"/>
        <v>0</v>
      </c>
      <c r="AC355" s="17">
        <f t="shared" si="6"/>
        <v>17.09438426</v>
      </c>
      <c r="AD355" s="2"/>
      <c r="AE355" s="17">
        <v>30769.266251494893</v>
      </c>
      <c r="AF355" s="17">
        <f t="shared" si="7"/>
        <v>7505.198279</v>
      </c>
      <c r="AG355" s="17">
        <f t="shared" si="8"/>
        <v>1231.263248</v>
      </c>
      <c r="AH355" s="17">
        <f t="shared" si="9"/>
        <v>214.6928312</v>
      </c>
      <c r="AI355" s="17">
        <v>17.09438426069723</v>
      </c>
      <c r="AJ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19">
        <f t="shared" si="10"/>
        <v>37.65</v>
      </c>
      <c r="X356" s="20">
        <f t="shared" si="1"/>
        <v>0</v>
      </c>
      <c r="Y356" s="20">
        <f t="shared" si="2"/>
        <v>0</v>
      </c>
      <c r="Z356" s="20">
        <f t="shared" si="3"/>
        <v>36707.90704</v>
      </c>
      <c r="AA356" s="20">
        <f t="shared" si="4"/>
        <v>0</v>
      </c>
      <c r="AB356" s="20">
        <f t="shared" si="5"/>
        <v>0</v>
      </c>
      <c r="AC356" s="20">
        <f t="shared" si="6"/>
        <v>24.25220813</v>
      </c>
      <c r="AD356" s="2"/>
      <c r="AE356" s="20">
        <v>36707.907042842395</v>
      </c>
      <c r="AF356" s="20">
        <f t="shared" si="7"/>
        <v>9342.815884</v>
      </c>
      <c r="AG356" s="20">
        <f t="shared" si="8"/>
        <v>1600.164843</v>
      </c>
      <c r="AH356" s="20">
        <f t="shared" si="9"/>
        <v>291.4457388</v>
      </c>
      <c r="AI356" s="20">
        <v>24.25220812723775</v>
      </c>
      <c r="AJ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16">
        <f t="shared" si="10"/>
        <v>37.7</v>
      </c>
      <c r="X357" s="17">
        <f t="shared" si="1"/>
        <v>0</v>
      </c>
      <c r="Y357" s="17">
        <f t="shared" si="2"/>
        <v>0</v>
      </c>
      <c r="Z357" s="17">
        <f t="shared" si="3"/>
        <v>43485.46318</v>
      </c>
      <c r="AA357" s="17">
        <f t="shared" si="4"/>
        <v>0</v>
      </c>
      <c r="AB357" s="17">
        <f t="shared" si="5"/>
        <v>0</v>
      </c>
      <c r="AC357" s="17">
        <f t="shared" si="6"/>
        <v>34.16763874</v>
      </c>
      <c r="AD357" s="2"/>
      <c r="AE357" s="17">
        <v>43485.46318191796</v>
      </c>
      <c r="AF357" s="17">
        <f t="shared" si="7"/>
        <v>11548.91455</v>
      </c>
      <c r="AG357" s="17">
        <f t="shared" si="8"/>
        <v>2065.057672</v>
      </c>
      <c r="AH357" s="17">
        <f t="shared" si="9"/>
        <v>392.8778649</v>
      </c>
      <c r="AI357" s="17">
        <v>34.167638744006084</v>
      </c>
      <c r="AJ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19">
        <f t="shared" si="10"/>
        <v>37.75</v>
      </c>
      <c r="X358" s="20">
        <f t="shared" si="1"/>
        <v>0</v>
      </c>
      <c r="Y358" s="20">
        <f t="shared" si="2"/>
        <v>0</v>
      </c>
      <c r="Z358" s="20">
        <f t="shared" si="3"/>
        <v>51152.93661</v>
      </c>
      <c r="AA358" s="20">
        <f t="shared" si="4"/>
        <v>0</v>
      </c>
      <c r="AB358" s="20">
        <f t="shared" si="5"/>
        <v>0</v>
      </c>
      <c r="AC358" s="20">
        <f t="shared" si="6"/>
        <v>47.80182771</v>
      </c>
      <c r="AD358" s="2"/>
      <c r="AE358" s="20">
        <v>51152.93661280934</v>
      </c>
      <c r="AF358" s="20">
        <f t="shared" si="7"/>
        <v>14175.95424</v>
      </c>
      <c r="AG358" s="20">
        <f t="shared" si="8"/>
        <v>2646.386658</v>
      </c>
      <c r="AH358" s="20">
        <f t="shared" si="9"/>
        <v>525.9168628</v>
      </c>
      <c r="AI358" s="20">
        <v>47.801827707211395</v>
      </c>
      <c r="AJ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16">
        <f t="shared" si="10"/>
        <v>37.8</v>
      </c>
      <c r="X359" s="17">
        <f t="shared" si="1"/>
        <v>0</v>
      </c>
      <c r="Y359" s="17">
        <f t="shared" si="2"/>
        <v>0</v>
      </c>
      <c r="Z359" s="17">
        <f t="shared" si="3"/>
        <v>59750.15486</v>
      </c>
      <c r="AA359" s="17">
        <f t="shared" si="4"/>
        <v>0</v>
      </c>
      <c r="AB359" s="17">
        <f t="shared" si="5"/>
        <v>0</v>
      </c>
      <c r="AC359" s="17">
        <f t="shared" si="6"/>
        <v>66.41098067</v>
      </c>
      <c r="AD359" s="2"/>
      <c r="AE359" s="17">
        <v>59750.15486331602</v>
      </c>
      <c r="AF359" s="17">
        <f t="shared" si="7"/>
        <v>17278.70518</v>
      </c>
      <c r="AG359" s="17">
        <f t="shared" si="8"/>
        <v>3367.65865</v>
      </c>
      <c r="AH359" s="17">
        <f t="shared" si="9"/>
        <v>699.095192</v>
      </c>
      <c r="AI359" s="17">
        <v>66.41098066952046</v>
      </c>
      <c r="AJ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19">
        <f t="shared" si="10"/>
        <v>37.85</v>
      </c>
      <c r="X360" s="20">
        <f t="shared" si="1"/>
        <v>0</v>
      </c>
      <c r="Y360" s="20">
        <f t="shared" si="2"/>
        <v>0.0000000001055418638</v>
      </c>
      <c r="Z360" s="20">
        <f t="shared" si="3"/>
        <v>69302.59441</v>
      </c>
      <c r="AA360" s="20">
        <f t="shared" si="4"/>
        <v>0</v>
      </c>
      <c r="AB360" s="20">
        <f t="shared" si="5"/>
        <v>0</v>
      </c>
      <c r="AC360" s="20">
        <f t="shared" si="6"/>
        <v>91.62228953</v>
      </c>
      <c r="AD360" s="2"/>
      <c r="AE360" s="20">
        <v>69302.5944123389</v>
      </c>
      <c r="AF360" s="20">
        <f t="shared" si="7"/>
        <v>20913.07254</v>
      </c>
      <c r="AG360" s="20">
        <f t="shared" si="8"/>
        <v>4255.557701</v>
      </c>
      <c r="AH360" s="20">
        <f t="shared" si="9"/>
        <v>922.8162186</v>
      </c>
      <c r="AI360" s="20">
        <v>91.62228953462512</v>
      </c>
      <c r="AJ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16">
        <f t="shared" si="10"/>
        <v>37.9</v>
      </c>
      <c r="X361" s="17">
        <f t="shared" si="1"/>
        <v>0</v>
      </c>
      <c r="Y361" s="17">
        <f t="shared" si="2"/>
        <v>0.000000003607746782</v>
      </c>
      <c r="Z361" s="17">
        <f t="shared" si="3"/>
        <v>79818.20276</v>
      </c>
      <c r="AA361" s="17">
        <f t="shared" si="4"/>
        <v>0</v>
      </c>
      <c r="AB361" s="17">
        <f t="shared" si="5"/>
        <v>0</v>
      </c>
      <c r="AC361" s="17">
        <f t="shared" si="6"/>
        <v>125.5244255</v>
      </c>
      <c r="AD361" s="2"/>
      <c r="AE361" s="17">
        <v>79818.20276383283</v>
      </c>
      <c r="AF361" s="17">
        <f t="shared" si="7"/>
        <v>25134.61576</v>
      </c>
      <c r="AG361" s="17">
        <f t="shared" si="8"/>
        <v>5339.966778</v>
      </c>
      <c r="AH361" s="17">
        <f t="shared" si="9"/>
        <v>1209.633501</v>
      </c>
      <c r="AI361" s="17">
        <v>125.52442549978069</v>
      </c>
      <c r="AJ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19">
        <f t="shared" si="10"/>
        <v>37.95</v>
      </c>
      <c r="X362" s="20">
        <f t="shared" si="1"/>
        <v>0</v>
      </c>
      <c r="Y362" s="20">
        <f t="shared" si="2"/>
        <v>0.0000001034182483</v>
      </c>
      <c r="Z362" s="20">
        <f t="shared" si="3"/>
        <v>91284.36312</v>
      </c>
      <c r="AA362" s="20">
        <f t="shared" si="4"/>
        <v>0</v>
      </c>
      <c r="AB362" s="20">
        <f t="shared" si="5"/>
        <v>0</v>
      </c>
      <c r="AC362" s="20">
        <f t="shared" si="6"/>
        <v>170.7737835</v>
      </c>
      <c r="AD362" s="2"/>
      <c r="AE362" s="20">
        <v>91284.36312055663</v>
      </c>
      <c r="AF362" s="20">
        <f t="shared" si="7"/>
        <v>29996.76455</v>
      </c>
      <c r="AG362" s="20">
        <f t="shared" si="8"/>
        <v>6653.86951</v>
      </c>
      <c r="AH362" s="20">
        <f t="shared" si="9"/>
        <v>1574.534126</v>
      </c>
      <c r="AI362" s="20">
        <v>170.77378345192975</v>
      </c>
      <c r="AJ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16">
        <f t="shared" si="10"/>
        <v>38</v>
      </c>
      <c r="X363" s="17">
        <f t="shared" si="1"/>
        <v>0</v>
      </c>
      <c r="Y363" s="17">
        <f t="shared" si="2"/>
        <v>0.000002486040202</v>
      </c>
      <c r="Z363" s="17">
        <f t="shared" si="3"/>
        <v>103665.1615</v>
      </c>
      <c r="AA363" s="17">
        <f t="shared" si="4"/>
        <v>0</v>
      </c>
      <c r="AB363" s="17">
        <f t="shared" si="5"/>
        <v>0</v>
      </c>
      <c r="AC363" s="17">
        <f t="shared" si="6"/>
        <v>230.7172219</v>
      </c>
      <c r="AD363" s="2"/>
      <c r="AE363" s="17">
        <v>103665.16151840056</v>
      </c>
      <c r="AF363" s="17">
        <f t="shared" si="7"/>
        <v>35548.7501</v>
      </c>
      <c r="AG363" s="17">
        <f t="shared" si="8"/>
        <v>8233.105051</v>
      </c>
      <c r="AH363" s="17">
        <f t="shared" si="9"/>
        <v>2035.213776</v>
      </c>
      <c r="AI363" s="17">
        <v>230.7172218777999</v>
      </c>
      <c r="AJ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19">
        <f t="shared" si="10"/>
        <v>38.05</v>
      </c>
      <c r="X364" s="20">
        <f t="shared" si="1"/>
        <v>0</v>
      </c>
      <c r="Y364" s="20">
        <f t="shared" si="2"/>
        <v>0.00005011514117</v>
      </c>
      <c r="Z364" s="20">
        <f t="shared" si="3"/>
        <v>116899.1252</v>
      </c>
      <c r="AA364" s="20">
        <f t="shared" si="4"/>
        <v>0</v>
      </c>
      <c r="AB364" s="20">
        <f t="shared" si="5"/>
        <v>0</v>
      </c>
      <c r="AC364" s="20">
        <f t="shared" si="6"/>
        <v>309.531379</v>
      </c>
      <c r="AD364" s="2"/>
      <c r="AE364" s="20">
        <v>116899.12518192286</v>
      </c>
      <c r="AF364" s="20">
        <f t="shared" si="7"/>
        <v>41833.2893</v>
      </c>
      <c r="AG364" s="20">
        <f t="shared" si="8"/>
        <v>10115.9503</v>
      </c>
      <c r="AH364" s="20">
        <f t="shared" si="9"/>
        <v>2612.327808</v>
      </c>
      <c r="AI364" s="20">
        <v>309.53137903316184</v>
      </c>
      <c r="AJ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16">
        <f t="shared" si="10"/>
        <v>38.1</v>
      </c>
      <c r="X365" s="17">
        <f t="shared" si="1"/>
        <v>0</v>
      </c>
      <c r="Y365" s="17">
        <f t="shared" si="2"/>
        <v>0.000847187637</v>
      </c>
      <c r="Z365" s="17">
        <f t="shared" si="3"/>
        <v>130897.601</v>
      </c>
      <c r="AA365" s="17">
        <f t="shared" si="4"/>
        <v>0</v>
      </c>
      <c r="AB365" s="17">
        <f t="shared" si="5"/>
        <v>0</v>
      </c>
      <c r="AC365" s="17">
        <f t="shared" si="6"/>
        <v>412.3777333</v>
      </c>
      <c r="AD365" s="2"/>
      <c r="AE365" s="17">
        <v>130897.60099905057</v>
      </c>
      <c r="AF365" s="17">
        <f t="shared" si="7"/>
        <v>48884.08039</v>
      </c>
      <c r="AG365" s="17">
        <f t="shared" si="8"/>
        <v>12342.50664</v>
      </c>
      <c r="AH365" s="17">
        <f t="shared" si="9"/>
        <v>3329.699167</v>
      </c>
      <c r="AI365" s="17">
        <v>412.37773330252145</v>
      </c>
      <c r="AJ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19">
        <f t="shared" si="10"/>
        <v>38.15</v>
      </c>
      <c r="X366" s="20">
        <f t="shared" si="1"/>
        <v>0</v>
      </c>
      <c r="Y366" s="20">
        <f t="shared" si="2"/>
        <v>0.01200991964</v>
      </c>
      <c r="Z366" s="20">
        <f t="shared" si="3"/>
        <v>145543.9331</v>
      </c>
      <c r="AA366" s="20">
        <f t="shared" si="4"/>
        <v>0</v>
      </c>
      <c r="AB366" s="20">
        <f t="shared" si="5"/>
        <v>0</v>
      </c>
      <c r="AC366" s="20">
        <f t="shared" si="6"/>
        <v>545.5713895</v>
      </c>
      <c r="AD366" s="2"/>
      <c r="AE366" s="20">
        <v>145543.93309165092</v>
      </c>
      <c r="AF366" s="20">
        <f t="shared" si="7"/>
        <v>56723.18947</v>
      </c>
      <c r="AG366" s="20">
        <f t="shared" si="8"/>
        <v>14953.8736</v>
      </c>
      <c r="AH366" s="20">
        <f t="shared" si="9"/>
        <v>4214.460673</v>
      </c>
      <c r="AI366" s="20">
        <v>545.5713894691224</v>
      </c>
      <c r="AJ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16">
        <f t="shared" si="10"/>
        <v>38.2</v>
      </c>
      <c r="X367" s="17">
        <f t="shared" si="1"/>
        <v>0</v>
      </c>
      <c r="Y367" s="17">
        <f t="shared" si="2"/>
        <v>0.1427744298</v>
      </c>
      <c r="Z367" s="17">
        <f t="shared" si="3"/>
        <v>160693.5777</v>
      </c>
      <c r="AA367" s="17">
        <f t="shared" si="4"/>
        <v>0</v>
      </c>
      <c r="AB367" s="17">
        <f t="shared" si="5"/>
        <v>0</v>
      </c>
      <c r="AC367" s="17">
        <f t="shared" si="6"/>
        <v>716.7601025</v>
      </c>
      <c r="AD367" s="2"/>
      <c r="AE367" s="17">
        <v>160693.5777462404</v>
      </c>
      <c r="AF367" s="17">
        <f t="shared" si="7"/>
        <v>65358.42724</v>
      </c>
      <c r="AG367" s="17">
        <f t="shared" si="8"/>
        <v>17991.09901</v>
      </c>
      <c r="AH367" s="17">
        <f t="shared" si="9"/>
        <v>5297.106417</v>
      </c>
      <c r="AI367" s="17">
        <v>716.7601024903786</v>
      </c>
      <c r="AJ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19">
        <f t="shared" si="10"/>
        <v>38.25</v>
      </c>
      <c r="X368" s="20">
        <f t="shared" si="1"/>
        <v>0</v>
      </c>
      <c r="Y368" s="20">
        <f t="shared" si="2"/>
        <v>1.423346402</v>
      </c>
      <c r="Z368" s="20">
        <f t="shared" si="3"/>
        <v>176175.2624</v>
      </c>
      <c r="AA368" s="20">
        <f t="shared" si="4"/>
        <v>0</v>
      </c>
      <c r="AB368" s="20">
        <f t="shared" si="5"/>
        <v>0</v>
      </c>
      <c r="AC368" s="20">
        <f t="shared" si="6"/>
        <v>935.108305</v>
      </c>
      <c r="AD368" s="2"/>
      <c r="AE368" s="20">
        <v>176175.26243418906</v>
      </c>
      <c r="AF368" s="20">
        <f t="shared" si="7"/>
        <v>74780.83335</v>
      </c>
      <c r="AG368" s="20">
        <f t="shared" si="8"/>
        <v>21493.90548</v>
      </c>
      <c r="AH368" s="20">
        <f t="shared" si="9"/>
        <v>6611.424978</v>
      </c>
      <c r="AI368" s="20">
        <v>935.1083049948372</v>
      </c>
      <c r="AJ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16">
        <f t="shared" si="10"/>
        <v>38.3</v>
      </c>
      <c r="X369" s="17">
        <f t="shared" si="1"/>
        <v>0</v>
      </c>
      <c r="Y369" s="17">
        <f t="shared" si="2"/>
        <v>11.8992783</v>
      </c>
      <c r="Z369" s="17">
        <f t="shared" si="3"/>
        <v>191793.2541</v>
      </c>
      <c r="AA369" s="17">
        <f t="shared" si="4"/>
        <v>0</v>
      </c>
      <c r="AB369" s="17">
        <f t="shared" si="5"/>
        <v>0</v>
      </c>
      <c r="AC369" s="17">
        <f t="shared" si="6"/>
        <v>1211.478918</v>
      </c>
      <c r="AD369" s="2"/>
      <c r="AE369" s="17">
        <v>191793.2540576985</v>
      </c>
      <c r="AF369" s="17">
        <f t="shared" si="7"/>
        <v>84962.39877</v>
      </c>
      <c r="AG369" s="17">
        <f t="shared" si="8"/>
        <v>25499.2043</v>
      </c>
      <c r="AH369" s="17">
        <f t="shared" si="9"/>
        <v>8194.286319</v>
      </c>
      <c r="AI369" s="17">
        <v>1211.4789177448529</v>
      </c>
      <c r="AJ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19">
        <f t="shared" si="10"/>
        <v>38.35</v>
      </c>
      <c r="X370" s="20">
        <f t="shared" si="1"/>
        <v>0</v>
      </c>
      <c r="Y370" s="20">
        <f t="shared" si="2"/>
        <v>83.42197675</v>
      </c>
      <c r="Z370" s="20">
        <f t="shared" si="3"/>
        <v>207330.7515</v>
      </c>
      <c r="AA370" s="20">
        <f t="shared" si="4"/>
        <v>0</v>
      </c>
      <c r="AB370" s="20">
        <f t="shared" si="5"/>
        <v>0</v>
      </c>
      <c r="AC370" s="20">
        <f t="shared" si="6"/>
        <v>1558.603558</v>
      </c>
      <c r="AD370" s="2"/>
      <c r="AE370" s="20">
        <v>207330.75150227142</v>
      </c>
      <c r="AF370" s="20">
        <f t="shared" si="7"/>
        <v>95854.16484</v>
      </c>
      <c r="AG370" s="20">
        <f t="shared" si="8"/>
        <v>30039.42223</v>
      </c>
      <c r="AH370" s="20">
        <f t="shared" si="9"/>
        <v>10085.2549</v>
      </c>
      <c r="AI370" s="20">
        <v>1558.6035578112876</v>
      </c>
      <c r="AJ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16">
        <f t="shared" si="10"/>
        <v>38.4</v>
      </c>
      <c r="X371" s="17">
        <f t="shared" si="1"/>
        <v>0.00000003196651921</v>
      </c>
      <c r="Y371" s="17">
        <f t="shared" si="2"/>
        <v>490.4448427</v>
      </c>
      <c r="Z371" s="17">
        <f t="shared" si="3"/>
        <v>222554.3615</v>
      </c>
      <c r="AA371" s="17">
        <f t="shared" si="4"/>
        <v>0</v>
      </c>
      <c r="AB371" s="17">
        <f t="shared" si="5"/>
        <v>0</v>
      </c>
      <c r="AC371" s="17">
        <f t="shared" si="6"/>
        <v>1991.229516</v>
      </c>
      <c r="AD371" s="2"/>
      <c r="AE371" s="17">
        <v>222554.36145223683</v>
      </c>
      <c r="AF371" s="17">
        <f t="shared" si="7"/>
        <v>107384.8382</v>
      </c>
      <c r="AG371" s="17">
        <f t="shared" si="8"/>
        <v>35140.68109</v>
      </c>
      <c r="AH371" s="17">
        <f t="shared" si="9"/>
        <v>12326.00411</v>
      </c>
      <c r="AI371" s="17">
        <v>1991.2295159324972</v>
      </c>
      <c r="AJ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19">
        <f t="shared" si="10"/>
        <v>38.45</v>
      </c>
      <c r="X372" s="20">
        <f t="shared" si="1"/>
        <v>0.0000188857177</v>
      </c>
      <c r="Y372" s="20">
        <f t="shared" si="2"/>
        <v>2417.963319</v>
      </c>
      <c r="Z372" s="20">
        <f t="shared" si="3"/>
        <v>237219.5573</v>
      </c>
      <c r="AA372" s="20">
        <f t="shared" si="4"/>
        <v>0</v>
      </c>
      <c r="AB372" s="20">
        <f t="shared" si="5"/>
        <v>0</v>
      </c>
      <c r="AC372" s="20">
        <f t="shared" si="6"/>
        <v>2526.229688</v>
      </c>
      <c r="AD372" s="2"/>
      <c r="AE372" s="20">
        <v>237219.55731824678</v>
      </c>
      <c r="AF372" s="20">
        <f t="shared" si="7"/>
        <v>119460.0532</v>
      </c>
      <c r="AG372" s="20">
        <f t="shared" si="8"/>
        <v>40820.88602</v>
      </c>
      <c r="AH372" s="20">
        <f t="shared" si="9"/>
        <v>14959.51181</v>
      </c>
      <c r="AI372" s="20">
        <v>2526.2296882554497</v>
      </c>
      <c r="AJ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16">
        <f t="shared" si="10"/>
        <v>38.5</v>
      </c>
      <c r="X373" s="17">
        <f t="shared" si="1"/>
        <v>0.005517864112</v>
      </c>
      <c r="Y373" s="17">
        <f t="shared" si="2"/>
        <v>9996.755839</v>
      </c>
      <c r="Z373" s="17">
        <f t="shared" si="3"/>
        <v>251076.9626</v>
      </c>
      <c r="AA373" s="17">
        <f t="shared" si="4"/>
        <v>0</v>
      </c>
      <c r="AB373" s="17">
        <f t="shared" si="5"/>
        <v>0</v>
      </c>
      <c r="AC373" s="17">
        <f t="shared" si="6"/>
        <v>3182.659691</v>
      </c>
      <c r="AD373" s="2"/>
      <c r="AE373" s="17">
        <v>251076.96263232877</v>
      </c>
      <c r="AF373" s="17">
        <f t="shared" si="7"/>
        <v>131962.3977</v>
      </c>
      <c r="AG373" s="17">
        <f t="shared" si="8"/>
        <v>47087.79259</v>
      </c>
      <c r="AH373" s="17">
        <f t="shared" si="9"/>
        <v>18029.02405</v>
      </c>
      <c r="AI373" s="17">
        <v>3182.659690744511</v>
      </c>
      <c r="AJ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19">
        <f t="shared" si="10"/>
        <v>38.55</v>
      </c>
      <c r="X374" s="20">
        <f t="shared" si="1"/>
        <v>0.7972744946</v>
      </c>
      <c r="Y374" s="20">
        <f t="shared" si="2"/>
        <v>34659.18151</v>
      </c>
      <c r="Z374" s="20">
        <f t="shared" si="3"/>
        <v>263879.2463</v>
      </c>
      <c r="AA374" s="20">
        <f t="shared" si="4"/>
        <v>0</v>
      </c>
      <c r="AB374" s="20">
        <f t="shared" si="5"/>
        <v>0</v>
      </c>
      <c r="AC374" s="20">
        <f t="shared" si="6"/>
        <v>3981.744862</v>
      </c>
      <c r="AD374" s="2"/>
      <c r="AE374" s="20">
        <v>263879.24625728733</v>
      </c>
      <c r="AF374" s="20">
        <f t="shared" si="7"/>
        <v>144752.2921</v>
      </c>
      <c r="AG374" s="20">
        <f t="shared" si="8"/>
        <v>53937.13692</v>
      </c>
      <c r="AH374" s="20">
        <f t="shared" si="9"/>
        <v>21576.78327</v>
      </c>
      <c r="AI374" s="20">
        <v>3981.7448619063566</v>
      </c>
      <c r="AJ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16">
        <f t="shared" si="10"/>
        <v>38.6</v>
      </c>
      <c r="X375" s="17">
        <f t="shared" si="1"/>
        <v>56.96972244</v>
      </c>
      <c r="Y375" s="17">
        <f t="shared" si="2"/>
        <v>100769.0956</v>
      </c>
      <c r="Z375" s="17">
        <f t="shared" si="3"/>
        <v>275388.3711</v>
      </c>
      <c r="AA375" s="17">
        <f t="shared" si="4"/>
        <v>0</v>
      </c>
      <c r="AB375" s="17">
        <f t="shared" si="5"/>
        <v>0</v>
      </c>
      <c r="AC375" s="17">
        <f t="shared" si="6"/>
        <v>4946.779</v>
      </c>
      <c r="AD375" s="2"/>
      <c r="AE375" s="17">
        <v>275388.3710905402</v>
      </c>
      <c r="AF375" s="17">
        <f t="shared" si="7"/>
        <v>157669.7786</v>
      </c>
      <c r="AG375" s="17">
        <f t="shared" si="8"/>
        <v>61350.92288</v>
      </c>
      <c r="AH375" s="17">
        <f t="shared" si="9"/>
        <v>25642.52954</v>
      </c>
      <c r="AI375" s="17">
        <v>4946.779000299997</v>
      </c>
      <c r="AJ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19">
        <f t="shared" si="10"/>
        <v>38.65</v>
      </c>
      <c r="X376" s="20">
        <f t="shared" si="1"/>
        <v>2013.166519</v>
      </c>
      <c r="Y376" s="20">
        <f t="shared" si="2"/>
        <v>245689.3094</v>
      </c>
      <c r="Z376" s="20">
        <f t="shared" si="3"/>
        <v>285382.9042</v>
      </c>
      <c r="AA376" s="20">
        <f t="shared" si="4"/>
        <v>0</v>
      </c>
      <c r="AB376" s="20">
        <f t="shared" si="5"/>
        <v>0</v>
      </c>
      <c r="AC376" s="20">
        <f t="shared" si="6"/>
        <v>6102.916728</v>
      </c>
      <c r="AD376" s="2"/>
      <c r="AE376" s="20">
        <v>285382.9041557663</v>
      </c>
      <c r="AF376" s="20">
        <f t="shared" si="7"/>
        <v>170537.2375</v>
      </c>
      <c r="AG376" s="20">
        <f t="shared" si="8"/>
        <v>69295.9676</v>
      </c>
      <c r="AH376" s="20">
        <f t="shared" si="9"/>
        <v>30261.79702</v>
      </c>
      <c r="AI376" s="20">
        <v>6102.916728110851</v>
      </c>
      <c r="AJ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16">
        <f t="shared" si="10"/>
        <v>38.7</v>
      </c>
      <c r="X377" s="17">
        <f t="shared" si="1"/>
        <v>35181.5247</v>
      </c>
      <c r="Y377" s="17">
        <f t="shared" si="2"/>
        <v>502336.805</v>
      </c>
      <c r="Z377" s="17">
        <f t="shared" si="3"/>
        <v>293665.077</v>
      </c>
      <c r="AA377" s="17">
        <f t="shared" si="4"/>
        <v>0</v>
      </c>
      <c r="AB377" s="17">
        <f t="shared" si="5"/>
        <v>0</v>
      </c>
      <c r="AC377" s="17">
        <f t="shared" si="6"/>
        <v>7476.842555</v>
      </c>
      <c r="AD377" s="2"/>
      <c r="AE377" s="17">
        <v>293665.076985616</v>
      </c>
      <c r="AF377" s="17">
        <f t="shared" si="7"/>
        <v>183162.9995</v>
      </c>
      <c r="AG377" s="17">
        <f t="shared" si="8"/>
        <v>77722.80743</v>
      </c>
      <c r="AH377" s="17">
        <f t="shared" si="9"/>
        <v>35464.04321</v>
      </c>
      <c r="AI377" s="17">
        <v>7476.842555213471</v>
      </c>
      <c r="AJ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19">
        <f t="shared" si="10"/>
        <v>38.75</v>
      </c>
      <c r="X378" s="20">
        <f t="shared" si="1"/>
        <v>304052.7795</v>
      </c>
      <c r="Y378" s="20">
        <f t="shared" si="2"/>
        <v>861298.2786</v>
      </c>
      <c r="Z378" s="20">
        <f t="shared" si="3"/>
        <v>300067.283</v>
      </c>
      <c r="AA378" s="20">
        <f t="shared" si="4"/>
        <v>0</v>
      </c>
      <c r="AB378" s="20">
        <f t="shared" si="5"/>
        <v>0</v>
      </c>
      <c r="AC378" s="20">
        <f t="shared" si="6"/>
        <v>9096.302246</v>
      </c>
      <c r="AD378" s="2"/>
      <c r="AE378" s="20">
        <v>300067.28303234</v>
      </c>
      <c r="AF378" s="20">
        <f t="shared" si="7"/>
        <v>195345.7772</v>
      </c>
      <c r="AG378" s="20">
        <f t="shared" si="8"/>
        <v>86565.06276</v>
      </c>
      <c r="AH378" s="20">
        <f t="shared" si="9"/>
        <v>41270.66484</v>
      </c>
      <c r="AI378" s="20">
        <v>9096.302246154437</v>
      </c>
      <c r="AJ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16">
        <f t="shared" si="10"/>
        <v>38.8</v>
      </c>
      <c r="X379" s="17">
        <f t="shared" si="1"/>
        <v>1299519.083</v>
      </c>
      <c r="Y379" s="17">
        <f t="shared" si="2"/>
        <v>1238403.013</v>
      </c>
      <c r="Z379" s="17">
        <f t="shared" si="3"/>
        <v>304457.7144</v>
      </c>
      <c r="AA379" s="17">
        <f t="shared" si="4"/>
        <v>0</v>
      </c>
      <c r="AB379" s="17">
        <f t="shared" si="5"/>
        <v>0</v>
      </c>
      <c r="AC379" s="17">
        <f t="shared" si="6"/>
        <v>10989.48612</v>
      </c>
      <c r="AD379" s="2"/>
      <c r="AE379" s="17">
        <v>304457.71443089127</v>
      </c>
      <c r="AF379" s="17">
        <f t="shared" si="7"/>
        <v>206879.7893</v>
      </c>
      <c r="AG379" s="17">
        <f t="shared" si="8"/>
        <v>95739.34894</v>
      </c>
      <c r="AH379" s="17">
        <f t="shared" si="9"/>
        <v>47692.96985</v>
      </c>
      <c r="AI379" s="17">
        <v>10989.486119429797</v>
      </c>
      <c r="AJ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19">
        <f t="shared" si="10"/>
        <v>38.85</v>
      </c>
      <c r="X380" s="20">
        <f t="shared" si="1"/>
        <v>2746728.335</v>
      </c>
      <c r="Y380" s="20">
        <f t="shared" si="2"/>
        <v>1493207.841</v>
      </c>
      <c r="Z380" s="20">
        <f t="shared" si="3"/>
        <v>306744.8735</v>
      </c>
      <c r="AA380" s="20">
        <f t="shared" si="4"/>
        <v>0</v>
      </c>
      <c r="AB380" s="20">
        <f t="shared" si="5"/>
        <v>0</v>
      </c>
      <c r="AC380" s="20">
        <f t="shared" si="6"/>
        <v>13184.25951</v>
      </c>
      <c r="AD380" s="2"/>
      <c r="AE380" s="20">
        <v>306744.8734900635</v>
      </c>
      <c r="AF380" s="20">
        <f t="shared" si="7"/>
        <v>217560.4058</v>
      </c>
      <c r="AG380" s="20">
        <f t="shared" si="8"/>
        <v>105145.8035</v>
      </c>
      <c r="AH380" s="20">
        <f t="shared" si="9"/>
        <v>54730.18961</v>
      </c>
      <c r="AI380" s="20">
        <v>13184.259510025731</v>
      </c>
      <c r="AJ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16">
        <f t="shared" si="10"/>
        <v>38.9</v>
      </c>
      <c r="X381" s="17">
        <f t="shared" si="1"/>
        <v>2871098.66</v>
      </c>
      <c r="Y381" s="17">
        <f t="shared" si="2"/>
        <v>1509831.09</v>
      </c>
      <c r="Z381" s="17">
        <f t="shared" si="3"/>
        <v>306880.7433</v>
      </c>
      <c r="AA381" s="17">
        <f t="shared" si="4"/>
        <v>0</v>
      </c>
      <c r="AB381" s="17">
        <f t="shared" si="5"/>
        <v>0</v>
      </c>
      <c r="AC381" s="17">
        <f t="shared" si="6"/>
        <v>15707.24277</v>
      </c>
      <c r="AD381" s="2"/>
      <c r="AE381" s="17">
        <v>306880.7432638914</v>
      </c>
      <c r="AF381" s="17">
        <f t="shared" si="7"/>
        <v>227190.1052</v>
      </c>
      <c r="AG381" s="17">
        <f t="shared" si="8"/>
        <v>114669.2762</v>
      </c>
      <c r="AH381" s="17">
        <f t="shared" si="9"/>
        <v>62367.62739</v>
      </c>
      <c r="AI381" s="17">
        <v>15707.242774872544</v>
      </c>
      <c r="AJ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19">
        <f t="shared" si="10"/>
        <v>38.95</v>
      </c>
      <c r="X382" s="20">
        <f t="shared" si="1"/>
        <v>1484157.148</v>
      </c>
      <c r="Y382" s="20">
        <f t="shared" si="2"/>
        <v>1280225.009</v>
      </c>
      <c r="Z382" s="20">
        <f t="shared" si="3"/>
        <v>304862.4638</v>
      </c>
      <c r="AA382" s="20">
        <f t="shared" si="4"/>
        <v>0</v>
      </c>
      <c r="AB382" s="20">
        <f t="shared" si="5"/>
        <v>0</v>
      </c>
      <c r="AC382" s="20">
        <f t="shared" si="6"/>
        <v>18582.75176</v>
      </c>
      <c r="AD382" s="2"/>
      <c r="AE382" s="20">
        <v>304862.46375220903</v>
      </c>
      <c r="AF382" s="20">
        <f t="shared" si="7"/>
        <v>235584.5049</v>
      </c>
      <c r="AG382" s="20">
        <f t="shared" si="8"/>
        <v>124181.1997</v>
      </c>
      <c r="AH382" s="20">
        <f t="shared" si="9"/>
        <v>70575.04715</v>
      </c>
      <c r="AI382" s="20">
        <v>18582.75176458635</v>
      </c>
      <c r="AJ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16">
        <f t="shared" si="10"/>
        <v>39</v>
      </c>
      <c r="X383" s="17">
        <f t="shared" si="1"/>
        <v>379411.965</v>
      </c>
      <c r="Y383" s="17">
        <f t="shared" si="2"/>
        <v>910320.0126</v>
      </c>
      <c r="Z383" s="17">
        <f t="shared" si="3"/>
        <v>300732.432</v>
      </c>
      <c r="AA383" s="17">
        <f t="shared" si="4"/>
        <v>0</v>
      </c>
      <c r="AB383" s="17">
        <f t="shared" si="5"/>
        <v>0</v>
      </c>
      <c r="AC383" s="17">
        <f t="shared" si="6"/>
        <v>21831.61933</v>
      </c>
      <c r="AD383" s="2"/>
      <c r="AE383" s="17">
        <v>300732.43200226384</v>
      </c>
      <c r="AF383" s="17">
        <f t="shared" si="7"/>
        <v>242578.2112</v>
      </c>
      <c r="AG383" s="17">
        <f t="shared" si="8"/>
        <v>133542.1254</v>
      </c>
      <c r="AH383" s="17">
        <f t="shared" si="9"/>
        <v>79305.4101</v>
      </c>
      <c r="AI383" s="17">
        <v>21831.619332561873</v>
      </c>
      <c r="AJ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19">
        <f t="shared" si="10"/>
        <v>39.05</v>
      </c>
      <c r="X384" s="20">
        <f t="shared" si="1"/>
        <v>47966.8854</v>
      </c>
      <c r="Y384" s="20">
        <f t="shared" si="2"/>
        <v>542814.843</v>
      </c>
      <c r="Z384" s="20">
        <f t="shared" si="3"/>
        <v>294576.8212</v>
      </c>
      <c r="AA384" s="20">
        <f t="shared" si="4"/>
        <v>0</v>
      </c>
      <c r="AB384" s="20">
        <f t="shared" si="5"/>
        <v>0</v>
      </c>
      <c r="AC384" s="20">
        <f t="shared" si="6"/>
        <v>25469.92877</v>
      </c>
      <c r="AD384" s="2"/>
      <c r="AE384" s="20">
        <v>294576.8212177832</v>
      </c>
      <c r="AF384" s="20">
        <f t="shared" si="7"/>
        <v>248030.2285</v>
      </c>
      <c r="AG384" s="20">
        <f t="shared" si="8"/>
        <v>142604.874</v>
      </c>
      <c r="AH384" s="20">
        <f t="shared" si="9"/>
        <v>88494.06351</v>
      </c>
      <c r="AI384" s="20">
        <v>25469.928769038554</v>
      </c>
      <c r="AJ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16">
        <f t="shared" si="10"/>
        <v>39.1</v>
      </c>
      <c r="X385" s="17">
        <f t="shared" si="1"/>
        <v>2998.964877</v>
      </c>
      <c r="Y385" s="17">
        <f t="shared" si="2"/>
        <v>271430.8331</v>
      </c>
      <c r="Z385" s="17">
        <f t="shared" si="3"/>
        <v>286522.5911</v>
      </c>
      <c r="AA385" s="17">
        <f t="shared" si="4"/>
        <v>0</v>
      </c>
      <c r="AB385" s="17">
        <f t="shared" si="5"/>
        <v>0</v>
      </c>
      <c r="AC385" s="17">
        <f t="shared" si="6"/>
        <v>29507.70046</v>
      </c>
      <c r="AD385" s="2"/>
      <c r="AE385" s="17">
        <v>286522.59112325875</v>
      </c>
      <c r="AF385" s="17">
        <f t="shared" si="7"/>
        <v>251828.6833</v>
      </c>
      <c r="AG385" s="17">
        <f t="shared" si="8"/>
        <v>151218.2151</v>
      </c>
      <c r="AH385" s="17">
        <f t="shared" si="9"/>
        <v>98058.47712</v>
      </c>
      <c r="AI385" s="17">
        <v>29507.70046114102</v>
      </c>
      <c r="AJ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19">
        <f t="shared" si="10"/>
        <v>39.15</v>
      </c>
      <c r="X386" s="20">
        <f t="shared" si="1"/>
        <v>92.72580278</v>
      </c>
      <c r="Y386" s="20">
        <f t="shared" si="2"/>
        <v>113819.4507</v>
      </c>
      <c r="Z386" s="20">
        <f t="shared" si="3"/>
        <v>276733.1345</v>
      </c>
      <c r="AA386" s="20">
        <f t="shared" si="4"/>
        <v>0</v>
      </c>
      <c r="AB386" s="20">
        <f t="shared" si="5"/>
        <v>0.000000001975295525</v>
      </c>
      <c r="AC386" s="20">
        <f t="shared" si="6"/>
        <v>33947.5829</v>
      </c>
      <c r="AD386" s="2"/>
      <c r="AE386" s="20">
        <v>276733.1344513412</v>
      </c>
      <c r="AF386" s="20">
        <f t="shared" si="7"/>
        <v>253894.6406</v>
      </c>
      <c r="AG386" s="20">
        <f t="shared" si="8"/>
        <v>159230.9545</v>
      </c>
      <c r="AH386" s="20">
        <f t="shared" si="9"/>
        <v>107898.6063</v>
      </c>
      <c r="AI386" s="20">
        <v>33947.582901971444</v>
      </c>
      <c r="AJ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16">
        <f t="shared" si="10"/>
        <v>39.2</v>
      </c>
      <c r="X387" s="17">
        <f t="shared" si="1"/>
        <v>1.417846408</v>
      </c>
      <c r="Y387" s="17">
        <f t="shared" si="2"/>
        <v>40024.28954</v>
      </c>
      <c r="Z387" s="17">
        <f t="shared" si="3"/>
        <v>265402.768</v>
      </c>
      <c r="AA387" s="17">
        <f t="shared" si="4"/>
        <v>0</v>
      </c>
      <c r="AB387" s="17">
        <f t="shared" si="5"/>
        <v>0.00000005515891989</v>
      </c>
      <c r="AC387" s="17">
        <f t="shared" si="6"/>
        <v>38783.60763</v>
      </c>
      <c r="AD387" s="2"/>
      <c r="AE387" s="17">
        <v>265402.768037029</v>
      </c>
      <c r="AF387" s="17">
        <f t="shared" si="7"/>
        <v>254184.8311</v>
      </c>
      <c r="AG387" s="17">
        <f t="shared" si="8"/>
        <v>166496.283</v>
      </c>
      <c r="AH387" s="17">
        <f t="shared" si="9"/>
        <v>117897.9381</v>
      </c>
      <c r="AI387" s="17">
        <v>38783.607633718464</v>
      </c>
      <c r="AJ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19">
        <f t="shared" si="10"/>
        <v>39.25</v>
      </c>
      <c r="X388" s="20">
        <f t="shared" si="1"/>
        <v>0.01072153913</v>
      </c>
      <c r="Y388" s="20">
        <f t="shared" si="2"/>
        <v>11802.67962</v>
      </c>
      <c r="Z388" s="20">
        <f t="shared" si="3"/>
        <v>252750.3278</v>
      </c>
      <c r="AA388" s="20">
        <f t="shared" si="4"/>
        <v>0</v>
      </c>
      <c r="AB388" s="20">
        <f t="shared" si="5"/>
        <v>0.000001293438595</v>
      </c>
      <c r="AC388" s="20">
        <f t="shared" si="6"/>
        <v>44000.07401</v>
      </c>
      <c r="AD388" s="2"/>
      <c r="AE388" s="20">
        <v>252750.32781313817</v>
      </c>
      <c r="AF388" s="20">
        <f t="shared" si="7"/>
        <v>252693.158</v>
      </c>
      <c r="AG388" s="20">
        <f t="shared" si="8"/>
        <v>172876.2124</v>
      </c>
      <c r="AH388" s="20">
        <f t="shared" si="9"/>
        <v>127925.2483</v>
      </c>
      <c r="AI388" s="20">
        <v>44000.07401079403</v>
      </c>
      <c r="AJ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16">
        <f t="shared" si="10"/>
        <v>39.3</v>
      </c>
      <c r="X389" s="17">
        <f t="shared" si="1"/>
        <v>0.00004009446711</v>
      </c>
      <c r="Y389" s="17">
        <f t="shared" si="2"/>
        <v>2918.686479</v>
      </c>
      <c r="Z389" s="17">
        <f t="shared" si="3"/>
        <v>239012.1622</v>
      </c>
      <c r="AA389" s="17">
        <f t="shared" si="4"/>
        <v>0</v>
      </c>
      <c r="AB389" s="17">
        <f t="shared" si="5"/>
        <v>0.00002546960838</v>
      </c>
      <c r="AC389" s="17">
        <f t="shared" si="6"/>
        <v>49570.63304</v>
      </c>
      <c r="AD389" s="2"/>
      <c r="AE389" s="17">
        <v>239012.16216557633</v>
      </c>
      <c r="AF389" s="17">
        <f t="shared" si="7"/>
        <v>249450.9106</v>
      </c>
      <c r="AG389" s="17">
        <f t="shared" si="8"/>
        <v>178245.9161</v>
      </c>
      <c r="AH389" s="17">
        <f t="shared" si="9"/>
        <v>137837.0633</v>
      </c>
      <c r="AI389" s="17">
        <v>49570.63303713601</v>
      </c>
      <c r="AJ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19">
        <f t="shared" si="10"/>
        <v>39.35</v>
      </c>
      <c r="X390" s="20">
        <f t="shared" si="1"/>
        <v>0.0000000741499938</v>
      </c>
      <c r="Y390" s="20">
        <f t="shared" si="2"/>
        <v>605.2629839</v>
      </c>
      <c r="Z390" s="20">
        <f t="shared" si="3"/>
        <v>224434.8359</v>
      </c>
      <c r="AA390" s="20">
        <f t="shared" si="4"/>
        <v>0</v>
      </c>
      <c r="AB390" s="20">
        <f t="shared" si="5"/>
        <v>0.0004211580516</v>
      </c>
      <c r="AC390" s="20">
        <f t="shared" si="6"/>
        <v>55457.63929</v>
      </c>
      <c r="AD390" s="2"/>
      <c r="AE390" s="20">
        <v>224434.83593313865</v>
      </c>
      <c r="AF390" s="20">
        <f t="shared" si="7"/>
        <v>244525.6723</v>
      </c>
      <c r="AG390" s="20">
        <f t="shared" si="8"/>
        <v>182497.7819</v>
      </c>
      <c r="AH390" s="20">
        <f t="shared" si="9"/>
        <v>147480.7844</v>
      </c>
      <c r="AI390" s="20">
        <v>55457.639291290856</v>
      </c>
      <c r="AJ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16">
        <f t="shared" si="10"/>
        <v>39.4</v>
      </c>
      <c r="X391" s="17">
        <f t="shared" si="1"/>
        <v>0</v>
      </c>
      <c r="Y391" s="17">
        <f t="shared" si="2"/>
        <v>105.2569117</v>
      </c>
      <c r="Z391" s="17">
        <f t="shared" si="3"/>
        <v>209267.8574</v>
      </c>
      <c r="AA391" s="17">
        <f t="shared" si="4"/>
        <v>0</v>
      </c>
      <c r="AB391" s="17">
        <f t="shared" si="5"/>
        <v>0.005848093904</v>
      </c>
      <c r="AC391" s="17">
        <f t="shared" si="6"/>
        <v>61611.83559</v>
      </c>
      <c r="AD391" s="2"/>
      <c r="AE391" s="17">
        <v>209267.857376552</v>
      </c>
      <c r="AF391" s="17">
        <f t="shared" si="7"/>
        <v>238018.9784</v>
      </c>
      <c r="AG391" s="17">
        <f t="shared" si="8"/>
        <v>185544.9955</v>
      </c>
      <c r="AH391" s="17">
        <f t="shared" si="9"/>
        <v>156698.3957</v>
      </c>
      <c r="AI391" s="17">
        <v>61611.835594190925</v>
      </c>
      <c r="AJ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19">
        <f t="shared" si="10"/>
        <v>39.45</v>
      </c>
      <c r="X392" s="20">
        <f t="shared" si="1"/>
        <v>0</v>
      </c>
      <c r="Y392" s="20">
        <f t="shared" si="2"/>
        <v>15.34995029</v>
      </c>
      <c r="Z392" s="20">
        <f t="shared" si="3"/>
        <v>193756.7235</v>
      </c>
      <c r="AA392" s="20">
        <f t="shared" si="4"/>
        <v>0</v>
      </c>
      <c r="AB392" s="20">
        <f t="shared" si="5"/>
        <v>0.06819145489</v>
      </c>
      <c r="AC392" s="20">
        <f t="shared" si="6"/>
        <v>67972.42632</v>
      </c>
      <c r="AD392" s="2"/>
      <c r="AE392" s="20">
        <v>193756.72347699403</v>
      </c>
      <c r="AF392" s="20">
        <f t="shared" si="7"/>
        <v>230062.8362</v>
      </c>
      <c r="AG392" s="20">
        <f t="shared" si="8"/>
        <v>187324.4874</v>
      </c>
      <c r="AH392" s="20">
        <f t="shared" si="9"/>
        <v>165330.6395</v>
      </c>
      <c r="AI392" s="20">
        <v>67972.42631991071</v>
      </c>
      <c r="AJ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16">
        <f t="shared" si="10"/>
        <v>39.5</v>
      </c>
      <c r="X393" s="17">
        <f t="shared" si="1"/>
        <v>0</v>
      </c>
      <c r="Y393" s="17">
        <f t="shared" si="2"/>
        <v>1.877211316</v>
      </c>
      <c r="Z393" s="17">
        <f t="shared" si="3"/>
        <v>178136.5469</v>
      </c>
      <c r="AA393" s="17">
        <f t="shared" si="4"/>
        <v>0</v>
      </c>
      <c r="AB393" s="17">
        <f t="shared" si="5"/>
        <v>0.6677162786</v>
      </c>
      <c r="AC393" s="17">
        <f t="shared" si="6"/>
        <v>74467.58211</v>
      </c>
      <c r="AD393" s="2"/>
      <c r="AE393" s="17">
        <v>178136.54685437947</v>
      </c>
      <c r="AF393" s="17">
        <f t="shared" si="7"/>
        <v>220815.2732</v>
      </c>
      <c r="AG393" s="17">
        <f t="shared" si="8"/>
        <v>187799.1028</v>
      </c>
      <c r="AH393" s="17">
        <f t="shared" si="9"/>
        <v>173221.512</v>
      </c>
      <c r="AI393" s="17">
        <v>74467.58210749425</v>
      </c>
      <c r="AJ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19">
        <f t="shared" si="10"/>
        <v>39.55</v>
      </c>
      <c r="X394" s="20">
        <f t="shared" si="1"/>
        <v>0</v>
      </c>
      <c r="Y394" s="20">
        <f t="shared" si="2"/>
        <v>0.1925170484</v>
      </c>
      <c r="Z394" s="20">
        <f t="shared" si="3"/>
        <v>162626.4832</v>
      </c>
      <c r="AA394" s="20">
        <f t="shared" si="4"/>
        <v>0</v>
      </c>
      <c r="AB394" s="20">
        <f t="shared" si="5"/>
        <v>5.490354177</v>
      </c>
      <c r="AC394" s="20">
        <f t="shared" si="6"/>
        <v>81015.40153</v>
      </c>
      <c r="AD394" s="2"/>
      <c r="AE394" s="20">
        <v>162626.4832387795</v>
      </c>
      <c r="AF394" s="20">
        <f t="shared" si="7"/>
        <v>210455.125</v>
      </c>
      <c r="AG394" s="20">
        <f t="shared" si="8"/>
        <v>186958.8923</v>
      </c>
      <c r="AH394" s="20">
        <f t="shared" si="9"/>
        <v>180222.9063</v>
      </c>
      <c r="AI394" s="20">
        <v>81015.40153310688</v>
      </c>
      <c r="AJ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16">
        <f t="shared" si="10"/>
        <v>39.6</v>
      </c>
      <c r="X395" s="17">
        <f t="shared" si="1"/>
        <v>0</v>
      </c>
      <c r="Y395" s="17">
        <f t="shared" si="2"/>
        <v>0.01655674906</v>
      </c>
      <c r="Z395" s="17">
        <f t="shared" si="3"/>
        <v>147425.1253</v>
      </c>
      <c r="AA395" s="17">
        <f t="shared" si="4"/>
        <v>0</v>
      </c>
      <c r="AB395" s="17">
        <f t="shared" si="5"/>
        <v>37.91011897</v>
      </c>
      <c r="AC395" s="17">
        <f t="shared" si="6"/>
        <v>87525.33471</v>
      </c>
      <c r="AD395" s="2"/>
      <c r="AE395" s="17">
        <v>147425.1252603483</v>
      </c>
      <c r="AF395" s="17">
        <f t="shared" si="7"/>
        <v>199176.3001</v>
      </c>
      <c r="AG395" s="17">
        <f t="shared" si="8"/>
        <v>184821.4581</v>
      </c>
      <c r="AH395" s="17">
        <f t="shared" si="9"/>
        <v>186199.2111</v>
      </c>
      <c r="AI395" s="17">
        <v>87525.33471245134</v>
      </c>
      <c r="AJ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19">
        <f t="shared" si="10"/>
        <v>39.65</v>
      </c>
      <c r="X396" s="20">
        <f t="shared" si="1"/>
        <v>0</v>
      </c>
      <c r="Y396" s="20">
        <f t="shared" si="2"/>
        <v>0.001194072726</v>
      </c>
      <c r="Z396" s="20">
        <f t="shared" si="3"/>
        <v>132706.9702</v>
      </c>
      <c r="AA396" s="20">
        <f t="shared" si="4"/>
        <v>0.00000001730415323</v>
      </c>
      <c r="AB396" s="20">
        <f t="shared" si="5"/>
        <v>219.8144926</v>
      </c>
      <c r="AC396" s="20">
        <f t="shared" si="6"/>
        <v>93900.05081</v>
      </c>
      <c r="AD396" s="2"/>
      <c r="AE396" s="20">
        <v>132706.97017845928</v>
      </c>
      <c r="AF396" s="20">
        <f t="shared" si="7"/>
        <v>187181.7798</v>
      </c>
      <c r="AG396" s="20">
        <f t="shared" si="8"/>
        <v>181431.3412</v>
      </c>
      <c r="AH396" s="20">
        <f t="shared" si="9"/>
        <v>191031.6684</v>
      </c>
      <c r="AI396" s="20">
        <v>93900.05080992825</v>
      </c>
      <c r="AJ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16">
        <f t="shared" si="10"/>
        <v>39.7</v>
      </c>
      <c r="X397" s="17">
        <f t="shared" si="1"/>
        <v>0</v>
      </c>
      <c r="Y397" s="17">
        <f t="shared" si="2"/>
        <v>0.00007221648263</v>
      </c>
      <c r="Z397" s="17">
        <f t="shared" si="3"/>
        <v>118620.0099</v>
      </c>
      <c r="AA397" s="17">
        <f t="shared" si="4"/>
        <v>0.00000972614207</v>
      </c>
      <c r="AB397" s="17">
        <f t="shared" si="5"/>
        <v>1070.295961</v>
      </c>
      <c r="AC397" s="17">
        <f t="shared" si="6"/>
        <v>100037.7073</v>
      </c>
      <c r="AD397" s="2"/>
      <c r="AE397" s="17">
        <v>118620.0099343996</v>
      </c>
      <c r="AF397" s="17">
        <f t="shared" si="7"/>
        <v>174677.6101</v>
      </c>
      <c r="AG397" s="17">
        <f t="shared" si="8"/>
        <v>176858.4777</v>
      </c>
      <c r="AH397" s="17">
        <f t="shared" si="9"/>
        <v>194622.2929</v>
      </c>
      <c r="AI397" s="17">
        <v>100037.70729525077</v>
      </c>
      <c r="AJ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19">
        <f t="shared" si="10"/>
        <v>39.75</v>
      </c>
      <c r="X398" s="20">
        <f t="shared" si="1"/>
        <v>0</v>
      </c>
      <c r="Y398" s="20">
        <f t="shared" si="2"/>
        <v>0.000003662618845</v>
      </c>
      <c r="Z398" s="20">
        <f t="shared" si="3"/>
        <v>105284.4352</v>
      </c>
      <c r="AA398" s="20">
        <f t="shared" si="4"/>
        <v>0.002718419159</v>
      </c>
      <c r="AB398" s="20">
        <f t="shared" si="5"/>
        <v>4376.206834</v>
      </c>
      <c r="AC398" s="20">
        <f t="shared" si="6"/>
        <v>105834.555</v>
      </c>
      <c r="AD398" s="2"/>
      <c r="AE398" s="20">
        <v>105284.43523033269</v>
      </c>
      <c r="AF398" s="20">
        <f t="shared" si="7"/>
        <v>161867.1304</v>
      </c>
      <c r="AG398" s="20">
        <f t="shared" si="8"/>
        <v>171195.8004</v>
      </c>
      <c r="AH398" s="20">
        <f t="shared" si="9"/>
        <v>196897.1749</v>
      </c>
      <c r="AI398" s="20">
        <v>105834.55497434824</v>
      </c>
      <c r="AJ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16">
        <f t="shared" si="10"/>
        <v>39.8</v>
      </c>
      <c r="X399" s="17">
        <f t="shared" si="1"/>
        <v>0</v>
      </c>
      <c r="Y399" s="17">
        <f t="shared" si="2"/>
        <v>0.0000001557747131</v>
      </c>
      <c r="Z399" s="17">
        <f t="shared" si="3"/>
        <v>92792.39437</v>
      </c>
      <c r="AA399" s="17">
        <f t="shared" si="4"/>
        <v>0.3778137784</v>
      </c>
      <c r="AB399" s="17">
        <f t="shared" si="5"/>
        <v>15025.82002</v>
      </c>
      <c r="AC399" s="17">
        <f t="shared" si="6"/>
        <v>111187.7909</v>
      </c>
      <c r="AD399" s="2"/>
      <c r="AE399" s="17">
        <v>92792.39437112954</v>
      </c>
      <c r="AF399" s="17">
        <f t="shared" si="7"/>
        <v>148945.6593</v>
      </c>
      <c r="AG399" s="17">
        <f t="shared" si="8"/>
        <v>164556.0991</v>
      </c>
      <c r="AH399" s="17">
        <f t="shared" si="9"/>
        <v>197809.01</v>
      </c>
      <c r="AI399" s="17">
        <v>111187.79089841405</v>
      </c>
      <c r="AJ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19">
        <f t="shared" si="10"/>
        <v>39.85</v>
      </c>
      <c r="X400" s="20">
        <f t="shared" si="1"/>
        <v>0</v>
      </c>
      <c r="Y400" s="20">
        <f t="shared" si="2"/>
        <v>0.000000005555869487</v>
      </c>
      <c r="Z400" s="20">
        <f t="shared" si="3"/>
        <v>81208.70484</v>
      </c>
      <c r="AA400" s="20">
        <f t="shared" si="4"/>
        <v>26.11107295</v>
      </c>
      <c r="AB400" s="20">
        <f t="shared" si="5"/>
        <v>43323.63756</v>
      </c>
      <c r="AC400" s="20">
        <f t="shared" si="6"/>
        <v>115998.5528</v>
      </c>
      <c r="AD400" s="2"/>
      <c r="AE400" s="20">
        <v>81208.70484332173</v>
      </c>
      <c r="AF400" s="20">
        <f t="shared" si="7"/>
        <v>136095.8216</v>
      </c>
      <c r="AG400" s="20">
        <f t="shared" si="8"/>
        <v>157068.2892</v>
      </c>
      <c r="AH400" s="20">
        <f t="shared" si="9"/>
        <v>197338.734</v>
      </c>
      <c r="AI400" s="20">
        <v>115998.55278153285</v>
      </c>
      <c r="AJ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16">
        <f t="shared" si="10"/>
        <v>39.9</v>
      </c>
      <c r="X401" s="17">
        <f t="shared" si="1"/>
        <v>0</v>
      </c>
      <c r="Y401" s="17">
        <f t="shared" si="2"/>
        <v>0.0000000001661716572</v>
      </c>
      <c r="Z401" s="17">
        <f t="shared" si="3"/>
        <v>70572.38275</v>
      </c>
      <c r="AA401" s="17">
        <f t="shared" si="4"/>
        <v>897.3403577</v>
      </c>
      <c r="AB401" s="17">
        <f t="shared" si="5"/>
        <v>104895.7843</v>
      </c>
      <c r="AC401" s="17">
        <f t="shared" si="6"/>
        <v>120174.935</v>
      </c>
      <c r="AD401" s="2"/>
      <c r="AE401" s="17">
        <v>70572.38274626853</v>
      </c>
      <c r="AF401" s="17">
        <f t="shared" si="7"/>
        <v>123483.6591</v>
      </c>
      <c r="AG401" s="17">
        <f t="shared" si="8"/>
        <v>148873.2591</v>
      </c>
      <c r="AH401" s="17">
        <f t="shared" si="9"/>
        <v>195496.1866</v>
      </c>
      <c r="AI401" s="17">
        <v>120174.9349583666</v>
      </c>
      <c r="AJ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19">
        <f t="shared" si="10"/>
        <v>39.95</v>
      </c>
      <c r="X402" s="20">
        <f t="shared" si="1"/>
        <v>0</v>
      </c>
      <c r="Y402" s="20">
        <f t="shared" si="2"/>
        <v>0</v>
      </c>
      <c r="Z402" s="20">
        <f t="shared" si="3"/>
        <v>60898.8331</v>
      </c>
      <c r="AA402" s="20">
        <f t="shared" si="4"/>
        <v>15334.69842</v>
      </c>
      <c r="AB402" s="20">
        <f t="shared" si="5"/>
        <v>213273.8183</v>
      </c>
      <c r="AC402" s="20">
        <f t="shared" si="6"/>
        <v>123634.8984</v>
      </c>
      <c r="AD402" s="2"/>
      <c r="AE402" s="20">
        <v>60898.83310289816</v>
      </c>
      <c r="AF402" s="20">
        <f t="shared" si="7"/>
        <v>111255.6167</v>
      </c>
      <c r="AG402" s="20">
        <f t="shared" si="8"/>
        <v>140119.4847</v>
      </c>
      <c r="AH402" s="20">
        <f t="shared" si="9"/>
        <v>192319.7683</v>
      </c>
      <c r="AI402" s="20">
        <v>123634.89835913562</v>
      </c>
      <c r="AJ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16">
        <f t="shared" si="10"/>
        <v>40</v>
      </c>
      <c r="X403" s="17">
        <f t="shared" si="1"/>
        <v>0</v>
      </c>
      <c r="Y403" s="17">
        <f t="shared" si="2"/>
        <v>0</v>
      </c>
      <c r="Z403" s="17">
        <f t="shared" si="3"/>
        <v>52182.53283</v>
      </c>
      <c r="AA403" s="17">
        <f t="shared" si="4"/>
        <v>130310.3269</v>
      </c>
      <c r="AB403" s="17">
        <f t="shared" si="5"/>
        <v>364135.854</v>
      </c>
      <c r="AC403" s="17">
        <f t="shared" si="6"/>
        <v>126308.9463</v>
      </c>
      <c r="AD403" s="2"/>
      <c r="AE403" s="17">
        <v>52182.53282577317</v>
      </c>
      <c r="AF403" s="17">
        <f t="shared" si="7"/>
        <v>99536.45243</v>
      </c>
      <c r="AG403" s="17">
        <f t="shared" si="8"/>
        <v>130958.5988</v>
      </c>
      <c r="AH403" s="17">
        <f t="shared" si="9"/>
        <v>187875.11</v>
      </c>
      <c r="AI403" s="17">
        <v>126308.94627815635</v>
      </c>
      <c r="AJ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19">
        <f t="shared" si="10"/>
        <v>40.05</v>
      </c>
      <c r="X404" s="20">
        <f t="shared" si="1"/>
        <v>0</v>
      </c>
      <c r="Y404" s="20">
        <f t="shared" si="2"/>
        <v>0</v>
      </c>
      <c r="Z404" s="20">
        <f t="shared" si="3"/>
        <v>44400.03705</v>
      </c>
      <c r="AA404" s="20">
        <f t="shared" si="4"/>
        <v>550640.2907</v>
      </c>
      <c r="AB404" s="20">
        <f t="shared" si="5"/>
        <v>522078.4065</v>
      </c>
      <c r="AC404" s="20">
        <f t="shared" si="6"/>
        <v>128142.4442</v>
      </c>
      <c r="AD404" s="2"/>
      <c r="AE404" s="20">
        <v>44400.03704749512</v>
      </c>
      <c r="AF404" s="20">
        <f t="shared" si="7"/>
        <v>88428.06626</v>
      </c>
      <c r="AG404" s="20">
        <f t="shared" si="8"/>
        <v>121541.0994</v>
      </c>
      <c r="AH404" s="20">
        <f t="shared" si="9"/>
        <v>182252.8183</v>
      </c>
      <c r="AI404" s="20">
        <v>128142.44422891557</v>
      </c>
      <c r="AJ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16">
        <f t="shared" si="10"/>
        <v>40.1</v>
      </c>
      <c r="X405" s="17">
        <f t="shared" si="1"/>
        <v>0</v>
      </c>
      <c r="Y405" s="17">
        <f t="shared" si="2"/>
        <v>0</v>
      </c>
      <c r="Z405" s="17">
        <f t="shared" si="3"/>
        <v>37513.14741</v>
      </c>
      <c r="AA405" s="17">
        <f t="shared" si="4"/>
        <v>1157024.869</v>
      </c>
      <c r="AB405" s="17">
        <f t="shared" si="5"/>
        <v>628571.0977</v>
      </c>
      <c r="AC405" s="17">
        <f t="shared" si="6"/>
        <v>129097.4758</v>
      </c>
      <c r="AD405" s="2"/>
      <c r="AE405" s="17">
        <v>37513.147408762976</v>
      </c>
      <c r="AF405" s="17">
        <f t="shared" si="7"/>
        <v>78009.20559</v>
      </c>
      <c r="AG405" s="17">
        <f t="shared" si="8"/>
        <v>112012.3617</v>
      </c>
      <c r="AH405" s="17">
        <f t="shared" si="9"/>
        <v>175565.4047</v>
      </c>
      <c r="AI405" s="17">
        <v>129097.47578438009</v>
      </c>
      <c r="AJ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19">
        <f t="shared" si="10"/>
        <v>40.15</v>
      </c>
      <c r="X406" s="20">
        <f t="shared" si="1"/>
        <v>0</v>
      </c>
      <c r="Y406" s="20">
        <f t="shared" si="2"/>
        <v>0</v>
      </c>
      <c r="Z406" s="20">
        <f t="shared" si="3"/>
        <v>31472.09608</v>
      </c>
      <c r="AA406" s="20">
        <f t="shared" si="4"/>
        <v>1208935.019</v>
      </c>
      <c r="AB406" s="20">
        <f t="shared" si="5"/>
        <v>635505.7347</v>
      </c>
      <c r="AC406" s="20">
        <f t="shared" si="6"/>
        <v>129154.1464</v>
      </c>
      <c r="AD406" s="2"/>
      <c r="AE406" s="20">
        <v>31472.096078521605</v>
      </c>
      <c r="AF406" s="20">
        <f t="shared" si="7"/>
        <v>68335.96629</v>
      </c>
      <c r="AG406" s="20">
        <f t="shared" si="8"/>
        <v>102509.0953</v>
      </c>
      <c r="AH406" s="20">
        <f t="shared" si="9"/>
        <v>167943.5446</v>
      </c>
      <c r="AI406" s="20">
        <v>129154.14636469625</v>
      </c>
      <c r="AJ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16">
        <f t="shared" si="10"/>
        <v>40.2</v>
      </c>
      <c r="X407" s="17">
        <f t="shared" si="1"/>
        <v>0</v>
      </c>
      <c r="Y407" s="17">
        <f t="shared" si="2"/>
        <v>0</v>
      </c>
      <c r="Z407" s="17">
        <f t="shared" si="3"/>
        <v>26218.61986</v>
      </c>
      <c r="AA407" s="17">
        <f t="shared" si="4"/>
        <v>628128.904</v>
      </c>
      <c r="AB407" s="17">
        <f t="shared" si="5"/>
        <v>539549.0461</v>
      </c>
      <c r="AC407" s="17">
        <f t="shared" si="6"/>
        <v>128311.2724</v>
      </c>
      <c r="AD407" s="2"/>
      <c r="AE407" s="17">
        <v>26218.619857803755</v>
      </c>
      <c r="AF407" s="17">
        <f t="shared" si="7"/>
        <v>59442.98113</v>
      </c>
      <c r="AG407" s="17">
        <f t="shared" si="8"/>
        <v>93156.35767</v>
      </c>
      <c r="AH407" s="17">
        <f t="shared" si="9"/>
        <v>159531.8394</v>
      </c>
      <c r="AI407" s="17">
        <v>128311.27235424351</v>
      </c>
      <c r="AJ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19">
        <f t="shared" si="10"/>
        <v>40.25</v>
      </c>
      <c r="X408" s="20">
        <f t="shared" si="1"/>
        <v>0</v>
      </c>
      <c r="Y408" s="20">
        <f t="shared" si="2"/>
        <v>0</v>
      </c>
      <c r="Z408" s="20">
        <f t="shared" si="3"/>
        <v>21688.82271</v>
      </c>
      <c r="AA408" s="20">
        <f t="shared" si="4"/>
        <v>162285.6634</v>
      </c>
      <c r="AB408" s="20">
        <f t="shared" si="5"/>
        <v>384670.4037</v>
      </c>
      <c r="AC408" s="20">
        <f t="shared" si="6"/>
        <v>126586.4222</v>
      </c>
      <c r="AD408" s="2"/>
      <c r="AE408" s="20">
        <v>21688.822713963797</v>
      </c>
      <c r="AF408" s="20">
        <f t="shared" si="7"/>
        <v>51345.16819</v>
      </c>
      <c r="AG408" s="20">
        <f t="shared" si="8"/>
        <v>84065.20021</v>
      </c>
      <c r="AH408" s="20">
        <f t="shared" si="9"/>
        <v>150484.2728</v>
      </c>
      <c r="AI408" s="20">
        <v>126586.42220746685</v>
      </c>
      <c r="AJ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16">
        <f t="shared" si="10"/>
        <v>40.3</v>
      </c>
      <c r="X409" s="17">
        <f t="shared" si="1"/>
        <v>0</v>
      </c>
      <c r="Y409" s="17">
        <f t="shared" si="2"/>
        <v>0</v>
      </c>
      <c r="Z409" s="17">
        <f t="shared" si="3"/>
        <v>17815.7506</v>
      </c>
      <c r="AA409" s="17">
        <f t="shared" si="4"/>
        <v>20849.56932</v>
      </c>
      <c r="AB409" s="17">
        <f t="shared" si="5"/>
        <v>230299.5061</v>
      </c>
      <c r="AC409" s="17">
        <f t="shared" si="6"/>
        <v>124015.3075</v>
      </c>
      <c r="AD409" s="2"/>
      <c r="AE409" s="17">
        <v>17815.750600705913</v>
      </c>
      <c r="AF409" s="17">
        <f t="shared" si="7"/>
        <v>44039.90132</v>
      </c>
      <c r="AG409" s="17">
        <f t="shared" si="8"/>
        <v>75330.98678</v>
      </c>
      <c r="AH409" s="17">
        <f t="shared" si="9"/>
        <v>140959.5614</v>
      </c>
      <c r="AI409" s="17">
        <v>124015.30754952708</v>
      </c>
      <c r="AJ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19">
        <f t="shared" si="10"/>
        <v>40.35</v>
      </c>
      <c r="X410" s="20">
        <f t="shared" si="1"/>
        <v>0</v>
      </c>
      <c r="Y410" s="20">
        <f t="shared" si="2"/>
        <v>0</v>
      </c>
      <c r="Z410" s="20">
        <f t="shared" si="3"/>
        <v>14531.62773</v>
      </c>
      <c r="AA410" s="20">
        <f t="shared" si="4"/>
        <v>1331.985748</v>
      </c>
      <c r="AB410" s="20">
        <f t="shared" si="5"/>
        <v>115782.6883</v>
      </c>
      <c r="AC410" s="20">
        <f t="shared" si="6"/>
        <v>120650.5537</v>
      </c>
      <c r="AD410" s="2"/>
      <c r="AE410" s="20">
        <v>14531.627734167296</v>
      </c>
      <c r="AF410" s="20">
        <f t="shared" si="7"/>
        <v>37509.46337</v>
      </c>
      <c r="AG410" s="20">
        <f t="shared" si="8"/>
        <v>67032.3915</v>
      </c>
      <c r="AH410" s="20">
        <f t="shared" si="9"/>
        <v>131116.5911</v>
      </c>
      <c r="AI410" s="20">
        <v>120650.55374849291</v>
      </c>
      <c r="AJ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16">
        <f t="shared" si="10"/>
        <v>40.4</v>
      </c>
      <c r="X411" s="17">
        <f t="shared" si="1"/>
        <v>0</v>
      </c>
      <c r="Y411" s="17">
        <f t="shared" si="2"/>
        <v>0</v>
      </c>
      <c r="Z411" s="17">
        <f t="shared" si="3"/>
        <v>11769.72719</v>
      </c>
      <c r="AA411" s="17">
        <f t="shared" si="4"/>
        <v>42.31434514</v>
      </c>
      <c r="AB411" s="17">
        <f t="shared" si="5"/>
        <v>48881.06285</v>
      </c>
      <c r="AC411" s="17">
        <f t="shared" si="6"/>
        <v>116559.9091</v>
      </c>
      <c r="AD411" s="2"/>
      <c r="AE411" s="17">
        <v>11769.727194736912</v>
      </c>
      <c r="AF411" s="17">
        <f t="shared" si="7"/>
        <v>31723.64796</v>
      </c>
      <c r="AG411" s="17">
        <f t="shared" si="8"/>
        <v>59231.049</v>
      </c>
      <c r="AH411" s="17">
        <f t="shared" si="9"/>
        <v>121110.1224</v>
      </c>
      <c r="AI411" s="17">
        <v>116559.90907605678</v>
      </c>
      <c r="AJ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19">
        <f t="shared" si="10"/>
        <v>40.45</v>
      </c>
      <c r="X412" s="20">
        <f t="shared" si="1"/>
        <v>0</v>
      </c>
      <c r="Y412" s="20">
        <f t="shared" si="2"/>
        <v>0</v>
      </c>
      <c r="Z412" s="20">
        <f t="shared" si="3"/>
        <v>9465.869725</v>
      </c>
      <c r="AA412" s="20">
        <f t="shared" si="4"/>
        <v>0.6684381466</v>
      </c>
      <c r="AB412" s="20">
        <f t="shared" si="5"/>
        <v>17329.42054</v>
      </c>
      <c r="AC412" s="20">
        <f t="shared" si="6"/>
        <v>111823.9776</v>
      </c>
      <c r="AD412" s="2"/>
      <c r="AE412" s="20">
        <v>9465.869725466746</v>
      </c>
      <c r="AF412" s="20">
        <f t="shared" si="7"/>
        <v>26642.38809</v>
      </c>
      <c r="AG412" s="20">
        <f t="shared" si="8"/>
        <v>51971.80344</v>
      </c>
      <c r="AH412" s="20">
        <f t="shared" si="9"/>
        <v>111086.9189</v>
      </c>
      <c r="AI412" s="20">
        <v>111823.97756769056</v>
      </c>
      <c r="AJ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16">
        <f t="shared" si="10"/>
        <v>40.5</v>
      </c>
      <c r="X413" s="17">
        <f t="shared" si="1"/>
        <v>0</v>
      </c>
      <c r="Y413" s="17">
        <f t="shared" si="2"/>
        <v>0</v>
      </c>
      <c r="Z413" s="17">
        <f t="shared" si="3"/>
        <v>7559.562175</v>
      </c>
      <c r="AA413" s="17">
        <f t="shared" si="4"/>
        <v>0.005250738442</v>
      </c>
      <c r="AB413" s="17">
        <f t="shared" si="5"/>
        <v>5159.098631</v>
      </c>
      <c r="AC413" s="17">
        <f t="shared" si="6"/>
        <v>106533.5815</v>
      </c>
      <c r="AD413" s="2"/>
      <c r="AE413" s="17">
        <v>7559.5621751824865</v>
      </c>
      <c r="AF413" s="17">
        <f t="shared" si="7"/>
        <v>22218.30559</v>
      </c>
      <c r="AG413" s="17">
        <f t="shared" si="8"/>
        <v>45283.48087</v>
      </c>
      <c r="AH413" s="17">
        <f t="shared" si="9"/>
        <v>101182.4249</v>
      </c>
      <c r="AI413" s="17">
        <v>106533.58149912157</v>
      </c>
      <c r="AJ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19">
        <f t="shared" si="10"/>
        <v>40.55</v>
      </c>
      <c r="X414" s="20">
        <f t="shared" si="1"/>
        <v>0</v>
      </c>
      <c r="Y414" s="20">
        <f t="shared" si="2"/>
        <v>0</v>
      </c>
      <c r="Z414" s="20">
        <f t="shared" si="3"/>
        <v>5994.800807</v>
      </c>
      <c r="AA414" s="20">
        <f t="shared" si="4"/>
        <v>0.00002050997354</v>
      </c>
      <c r="AB414" s="20">
        <f t="shared" si="5"/>
        <v>1289.763284</v>
      </c>
      <c r="AC414" s="20">
        <f t="shared" si="6"/>
        <v>100786.8739</v>
      </c>
      <c r="AD414" s="2"/>
      <c r="AE414" s="20">
        <v>5994.8008072541625</v>
      </c>
      <c r="AF414" s="20">
        <f t="shared" si="7"/>
        <v>18399.09571</v>
      </c>
      <c r="AG414" s="20">
        <f t="shared" si="8"/>
        <v>39180.09382</v>
      </c>
      <c r="AH414" s="20">
        <f t="shared" si="9"/>
        <v>91518.08616</v>
      </c>
      <c r="AI414" s="20">
        <v>100786.87385791594</v>
      </c>
      <c r="AJ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16">
        <f t="shared" si="10"/>
        <v>40.6</v>
      </c>
      <c r="X415" s="17">
        <f t="shared" si="1"/>
        <v>0</v>
      </c>
      <c r="Y415" s="17">
        <f t="shared" si="2"/>
        <v>0</v>
      </c>
      <c r="Z415" s="17">
        <f t="shared" si="3"/>
        <v>4720.574592</v>
      </c>
      <c r="AA415" s="17">
        <f t="shared" si="4"/>
        <v>0.00000003983780225</v>
      </c>
      <c r="AB415" s="17">
        <f t="shared" si="5"/>
        <v>270.7650324</v>
      </c>
      <c r="AC415" s="17">
        <f t="shared" si="6"/>
        <v>94686.32861</v>
      </c>
      <c r="AD415" s="2"/>
      <c r="AE415" s="17">
        <v>4720.574592271918</v>
      </c>
      <c r="AF415" s="17">
        <f t="shared" si="7"/>
        <v>15129.68126</v>
      </c>
      <c r="AG415" s="17">
        <f t="shared" si="8"/>
        <v>33662.37804</v>
      </c>
      <c r="AH415" s="17">
        <f t="shared" si="9"/>
        <v>82199.36449</v>
      </c>
      <c r="AI415" s="17">
        <v>94686.32861383131</v>
      </c>
      <c r="AJ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19">
        <f t="shared" si="10"/>
        <v>40.65</v>
      </c>
      <c r="X416" s="20">
        <f t="shared" si="1"/>
        <v>0</v>
      </c>
      <c r="Y416" s="20">
        <f t="shared" si="2"/>
        <v>0</v>
      </c>
      <c r="Z416" s="20">
        <f t="shared" si="3"/>
        <v>3691.10981</v>
      </c>
      <c r="AA416" s="20">
        <f t="shared" si="4"/>
        <v>0</v>
      </c>
      <c r="AB416" s="20">
        <f t="shared" si="5"/>
        <v>47.73330816</v>
      </c>
      <c r="AC416" s="20">
        <f t="shared" si="6"/>
        <v>88335.73679</v>
      </c>
      <c r="AD416" s="2"/>
      <c r="AE416" s="20">
        <v>3691.109810063844</v>
      </c>
      <c r="AF416" s="20">
        <f t="shared" si="7"/>
        <v>12354.09214</v>
      </c>
      <c r="AG416" s="20">
        <f t="shared" si="8"/>
        <v>28719.55902</v>
      </c>
      <c r="AH416" s="20">
        <f t="shared" si="9"/>
        <v>73314.46579</v>
      </c>
      <c r="AI416" s="20">
        <v>88335.73678727352</v>
      </c>
      <c r="AJ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16">
        <f t="shared" si="10"/>
        <v>40.7</v>
      </c>
      <c r="X417" s="17">
        <f t="shared" si="1"/>
        <v>0</v>
      </c>
      <c r="Y417" s="17">
        <f t="shared" si="2"/>
        <v>0</v>
      </c>
      <c r="Z417" s="17">
        <f t="shared" si="3"/>
        <v>2865.900184</v>
      </c>
      <c r="AA417" s="17">
        <f t="shared" si="4"/>
        <v>0</v>
      </c>
      <c r="AB417" s="17">
        <f t="shared" si="5"/>
        <v>7.066378243</v>
      </c>
      <c r="AC417" s="17">
        <f t="shared" si="6"/>
        <v>81837.32959</v>
      </c>
      <c r="AD417" s="2"/>
      <c r="AE417" s="17">
        <v>2865.9001837236283</v>
      </c>
      <c r="AF417" s="17">
        <f t="shared" si="7"/>
        <v>10017.0456</v>
      </c>
      <c r="AG417" s="17">
        <f t="shared" si="8"/>
        <v>24331.24849</v>
      </c>
      <c r="AH417" s="17">
        <f t="shared" si="9"/>
        <v>64933.76322</v>
      </c>
      <c r="AI417" s="17">
        <v>81837.3295860492</v>
      </c>
      <c r="AJ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19">
        <f t="shared" si="10"/>
        <v>40.75</v>
      </c>
      <c r="X418" s="20">
        <f t="shared" si="1"/>
        <v>0</v>
      </c>
      <c r="Y418" s="20">
        <f t="shared" si="2"/>
        <v>0</v>
      </c>
      <c r="Z418" s="20">
        <f t="shared" si="3"/>
        <v>2209.566866</v>
      </c>
      <c r="AA418" s="20">
        <f t="shared" si="4"/>
        <v>0</v>
      </c>
      <c r="AB418" s="20">
        <f t="shared" si="5"/>
        <v>0.878453172</v>
      </c>
      <c r="AC418" s="20">
        <f t="shared" si="6"/>
        <v>75289.13698</v>
      </c>
      <c r="AD418" s="2"/>
      <c r="AE418" s="20">
        <v>2209.5668658671166</v>
      </c>
      <c r="AF418" s="20">
        <f t="shared" si="7"/>
        <v>8065.220083</v>
      </c>
      <c r="AG418" s="20">
        <f t="shared" si="8"/>
        <v>20469.37931</v>
      </c>
      <c r="AH418" s="20">
        <f t="shared" si="9"/>
        <v>57109.86792</v>
      </c>
      <c r="AI418" s="20">
        <v>75289.13698332381</v>
      </c>
      <c r="AJ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16">
        <f t="shared" si="10"/>
        <v>40.8</v>
      </c>
      <c r="X419" s="17">
        <f t="shared" si="1"/>
        <v>0</v>
      </c>
      <c r="Y419" s="17">
        <f t="shared" si="2"/>
        <v>0</v>
      </c>
      <c r="Z419" s="17">
        <f t="shared" si="3"/>
        <v>1691.590474</v>
      </c>
      <c r="AA419" s="17">
        <f t="shared" si="4"/>
        <v>0</v>
      </c>
      <c r="AB419" s="17">
        <f t="shared" si="5"/>
        <v>0.09170367486</v>
      </c>
      <c r="AC419" s="17">
        <f t="shared" si="6"/>
        <v>68782.67217</v>
      </c>
      <c r="AD419" s="2"/>
      <c r="AE419" s="17">
        <v>1691.5904743266833</v>
      </c>
      <c r="AF419" s="17">
        <f t="shared" si="7"/>
        <v>6448.230481</v>
      </c>
      <c r="AG419" s="17">
        <f t="shared" si="8"/>
        <v>17100.09827</v>
      </c>
      <c r="AH419" s="17">
        <f t="shared" si="9"/>
        <v>49878.27469</v>
      </c>
      <c r="AI419" s="17">
        <v>68782.67217454466</v>
      </c>
      <c r="AJ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19">
        <f t="shared" si="10"/>
        <v>40.85</v>
      </c>
      <c r="X420" s="20">
        <f t="shared" si="1"/>
        <v>0</v>
      </c>
      <c r="Y420" s="20">
        <f t="shared" si="2"/>
        <v>0</v>
      </c>
      <c r="Z420" s="20">
        <f t="shared" si="3"/>
        <v>1285.953625</v>
      </c>
      <c r="AA420" s="20">
        <f t="shared" si="4"/>
        <v>0</v>
      </c>
      <c r="AB420" s="20">
        <f t="shared" si="5"/>
        <v>0.00803898564</v>
      </c>
      <c r="AC420" s="20">
        <f t="shared" si="6"/>
        <v>62401.01078</v>
      </c>
      <c r="AD420" s="2"/>
      <c r="AE420" s="20">
        <v>1285.9536250571514</v>
      </c>
      <c r="AF420" s="20">
        <f t="shared" si="7"/>
        <v>5119.32426</v>
      </c>
      <c r="AG420" s="20">
        <f t="shared" si="8"/>
        <v>14185.55041</v>
      </c>
      <c r="AH420" s="20">
        <f t="shared" si="9"/>
        <v>43258.49179</v>
      </c>
      <c r="AI420" s="20">
        <v>62401.01077744586</v>
      </c>
      <c r="AJ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16">
        <f t="shared" si="10"/>
        <v>40.9</v>
      </c>
      <c r="X421" s="17">
        <f t="shared" si="1"/>
        <v>0</v>
      </c>
      <c r="Y421" s="17">
        <f t="shared" si="2"/>
        <v>0</v>
      </c>
      <c r="Z421" s="17">
        <f t="shared" si="3"/>
        <v>970.7275998</v>
      </c>
      <c r="AA421" s="17">
        <f t="shared" si="4"/>
        <v>0</v>
      </c>
      <c r="AB421" s="17">
        <f t="shared" si="5"/>
        <v>0.0005917825505</v>
      </c>
      <c r="AC421" s="17">
        <f t="shared" si="6"/>
        <v>56217.30998</v>
      </c>
      <c r="AD421" s="2"/>
      <c r="AE421" s="17">
        <v>970.7275997560148</v>
      </c>
      <c r="AF421" s="17">
        <f t="shared" si="7"/>
        <v>4035.826454</v>
      </c>
      <c r="AG421" s="17">
        <f t="shared" si="8"/>
        <v>11685.50349</v>
      </c>
      <c r="AH421" s="17">
        <f t="shared" si="9"/>
        <v>37255.55254</v>
      </c>
      <c r="AI421" s="17">
        <v>56217.30997581523</v>
      </c>
      <c r="AJ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19">
        <f t="shared" si="10"/>
        <v>40.95</v>
      </c>
      <c r="X422" s="20">
        <f t="shared" si="1"/>
        <v>0</v>
      </c>
      <c r="Y422" s="20">
        <f t="shared" si="2"/>
        <v>0</v>
      </c>
      <c r="Z422" s="20">
        <f t="shared" si="3"/>
        <v>727.6314196</v>
      </c>
      <c r="AA422" s="20">
        <f t="shared" si="4"/>
        <v>0</v>
      </c>
      <c r="AB422" s="20">
        <f t="shared" si="5"/>
        <v>0.00003658216858</v>
      </c>
      <c r="AC422" s="20">
        <f t="shared" si="6"/>
        <v>50293.78863</v>
      </c>
      <c r="AD422" s="2"/>
      <c r="AE422" s="20">
        <v>727.6314196247986</v>
      </c>
      <c r="AF422" s="20">
        <f t="shared" si="7"/>
        <v>3159.367046</v>
      </c>
      <c r="AG422" s="20">
        <f t="shared" si="8"/>
        <v>9558.776785</v>
      </c>
      <c r="AH422" s="20">
        <f t="shared" si="9"/>
        <v>31861.80153</v>
      </c>
      <c r="AI422" s="20">
        <v>50293.78862875956</v>
      </c>
      <c r="AJ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16">
        <f t="shared" si="10"/>
        <v>41</v>
      </c>
      <c r="X423" s="17">
        <f t="shared" si="1"/>
        <v>0</v>
      </c>
      <c r="Y423" s="17">
        <f t="shared" si="2"/>
        <v>0</v>
      </c>
      <c r="Z423" s="17">
        <f t="shared" si="3"/>
        <v>541.5860988</v>
      </c>
      <c r="AA423" s="17">
        <f t="shared" si="4"/>
        <v>0</v>
      </c>
      <c r="AB423" s="17">
        <f t="shared" si="5"/>
        <v>0.000001898991966</v>
      </c>
      <c r="AC423" s="17">
        <f t="shared" si="6"/>
        <v>44681.16616</v>
      </c>
      <c r="AD423" s="2"/>
      <c r="AE423" s="17">
        <v>541.5860988468157</v>
      </c>
      <c r="AF423" s="17">
        <f t="shared" si="7"/>
        <v>2455.926936</v>
      </c>
      <c r="AG423" s="17">
        <f t="shared" si="8"/>
        <v>7764.452969</v>
      </c>
      <c r="AH423" s="17">
        <f t="shared" si="9"/>
        <v>27058.84977</v>
      </c>
      <c r="AI423" s="17">
        <v>44681.16615593138</v>
      </c>
      <c r="AJ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19">
        <f t="shared" si="10"/>
        <v>41.05</v>
      </c>
      <c r="X424" s="20">
        <f t="shared" si="1"/>
        <v>0</v>
      </c>
      <c r="Y424" s="20">
        <f t="shared" si="2"/>
        <v>0</v>
      </c>
      <c r="Z424" s="20">
        <f t="shared" si="3"/>
        <v>400.2815549</v>
      </c>
      <c r="AA424" s="20">
        <f t="shared" si="4"/>
        <v>0</v>
      </c>
      <c r="AB424" s="20">
        <f t="shared" si="5"/>
        <v>0.00000008277957587</v>
      </c>
      <c r="AC424" s="20">
        <f t="shared" si="6"/>
        <v>39418.53706</v>
      </c>
      <c r="AD424" s="2"/>
      <c r="AE424" s="20">
        <v>400.28155491521443</v>
      </c>
      <c r="AF424" s="20">
        <f t="shared" si="7"/>
        <v>1895.739059</v>
      </c>
      <c r="AG424" s="20">
        <f t="shared" si="8"/>
        <v>6262.86514</v>
      </c>
      <c r="AH424" s="20">
        <f t="shared" si="9"/>
        <v>22819.59955</v>
      </c>
      <c r="AI424" s="20">
        <v>39418.5370574066</v>
      </c>
      <c r="AJ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16">
        <f t="shared" si="10"/>
        <v>41.1</v>
      </c>
      <c r="X425" s="17">
        <f t="shared" si="1"/>
        <v>0</v>
      </c>
      <c r="Y425" s="17">
        <f t="shared" si="2"/>
        <v>0</v>
      </c>
      <c r="Z425" s="17">
        <f t="shared" si="3"/>
        <v>293.7687994</v>
      </c>
      <c r="AA425" s="17">
        <f t="shared" si="4"/>
        <v>0</v>
      </c>
      <c r="AB425" s="17">
        <f t="shared" si="5"/>
        <v>0.00000000303018857</v>
      </c>
      <c r="AC425" s="17">
        <f t="shared" si="6"/>
        <v>34533.64026</v>
      </c>
      <c r="AD425" s="2"/>
      <c r="AE425" s="17">
        <v>293.7687993506609</v>
      </c>
      <c r="AF425" s="17">
        <f t="shared" si="7"/>
        <v>1453.079686</v>
      </c>
      <c r="AG425" s="17">
        <f t="shared" si="8"/>
        <v>5016.362459</v>
      </c>
      <c r="AH425" s="17">
        <f t="shared" si="9"/>
        <v>19110.25097</v>
      </c>
      <c r="AI425" s="17">
        <v>34533.640258634914</v>
      </c>
      <c r="AJ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19">
        <f t="shared" si="10"/>
        <v>41.15</v>
      </c>
      <c r="X426" s="20">
        <f t="shared" si="1"/>
        <v>0</v>
      </c>
      <c r="Y426" s="20">
        <f t="shared" si="2"/>
        <v>0</v>
      </c>
      <c r="Z426" s="20">
        <f t="shared" si="3"/>
        <v>214.0857773</v>
      </c>
      <c r="AA426" s="20">
        <f t="shared" si="4"/>
        <v>0</v>
      </c>
      <c r="AB426" s="20">
        <f t="shared" si="5"/>
        <v>0</v>
      </c>
      <c r="AC426" s="20">
        <f t="shared" si="6"/>
        <v>30043.46879</v>
      </c>
      <c r="AD426" s="2"/>
      <c r="AE426" s="20">
        <v>214.0857772868204</v>
      </c>
      <c r="AF426" s="20">
        <f t="shared" si="7"/>
        <v>1105.982008</v>
      </c>
      <c r="AG426" s="20">
        <f t="shared" si="8"/>
        <v>3989.866926</v>
      </c>
      <c r="AH426" s="20">
        <f t="shared" si="9"/>
        <v>15892.21553</v>
      </c>
      <c r="AI426" s="20">
        <v>30043.46879395057</v>
      </c>
      <c r="AJ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16">
        <f t="shared" si="10"/>
        <v>41.2</v>
      </c>
      <c r="X427" s="17">
        <f t="shared" si="1"/>
        <v>0</v>
      </c>
      <c r="Y427" s="17">
        <f t="shared" si="2"/>
        <v>0</v>
      </c>
      <c r="Z427" s="17">
        <f t="shared" si="3"/>
        <v>154.9216486</v>
      </c>
      <c r="AA427" s="17">
        <f t="shared" si="4"/>
        <v>0</v>
      </c>
      <c r="AB427" s="17">
        <f t="shared" si="5"/>
        <v>0</v>
      </c>
      <c r="AC427" s="17">
        <f t="shared" si="6"/>
        <v>25955.15603</v>
      </c>
      <c r="AD427" s="2"/>
      <c r="AE427" s="17">
        <v>154.92164858060494</v>
      </c>
      <c r="AF427" s="17">
        <f t="shared" si="7"/>
        <v>835.9002408</v>
      </c>
      <c r="AG427" s="17">
        <f t="shared" si="8"/>
        <v>3151.240617</v>
      </c>
      <c r="AH427" s="17">
        <f t="shared" si="9"/>
        <v>13123.87805</v>
      </c>
      <c r="AI427" s="17">
        <v>25955.156029412385</v>
      </c>
      <c r="AJ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19">
        <f t="shared" si="10"/>
        <v>41.25</v>
      </c>
      <c r="X428" s="20">
        <f t="shared" si="1"/>
        <v>0</v>
      </c>
      <c r="Y428" s="20">
        <f t="shared" si="2"/>
        <v>0</v>
      </c>
      <c r="Z428" s="20">
        <f t="shared" si="3"/>
        <v>111.3214258</v>
      </c>
      <c r="AA428" s="20">
        <f t="shared" si="4"/>
        <v>0</v>
      </c>
      <c r="AB428" s="20">
        <f t="shared" si="5"/>
        <v>0</v>
      </c>
      <c r="AC428" s="20">
        <f t="shared" si="6"/>
        <v>22267.06972</v>
      </c>
      <c r="AD428" s="2"/>
      <c r="AE428" s="20">
        <v>111.32142576801184</v>
      </c>
      <c r="AF428" s="20">
        <f t="shared" si="7"/>
        <v>627.3481146</v>
      </c>
      <c r="AG428" s="20">
        <f t="shared" si="8"/>
        <v>2471.487242</v>
      </c>
      <c r="AH428" s="20">
        <f t="shared" si="9"/>
        <v>10762.16411</v>
      </c>
      <c r="AI428" s="20">
        <v>22267.069724567427</v>
      </c>
      <c r="AJ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16">
        <f t="shared" si="10"/>
        <v>41.3</v>
      </c>
      <c r="X429" s="17">
        <f t="shared" si="1"/>
        <v>0</v>
      </c>
      <c r="Y429" s="17">
        <f t="shared" si="2"/>
        <v>0</v>
      </c>
      <c r="Z429" s="17">
        <f t="shared" si="3"/>
        <v>79.43067764</v>
      </c>
      <c r="AA429" s="17">
        <f t="shared" si="4"/>
        <v>0</v>
      </c>
      <c r="AB429" s="17">
        <f t="shared" si="5"/>
        <v>0</v>
      </c>
      <c r="AC429" s="17">
        <f t="shared" si="6"/>
        <v>18970.0445</v>
      </c>
      <c r="AD429" s="2"/>
      <c r="AE429" s="17">
        <v>79.43067764127366</v>
      </c>
      <c r="AF429" s="17">
        <f t="shared" si="7"/>
        <v>467.5310985</v>
      </c>
      <c r="AG429" s="17">
        <f t="shared" si="8"/>
        <v>1924.814285</v>
      </c>
      <c r="AH429" s="17">
        <f t="shared" si="9"/>
        <v>8763.885975</v>
      </c>
      <c r="AI429" s="17">
        <v>18970.044498618237</v>
      </c>
      <c r="AJ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19">
        <f t="shared" si="10"/>
        <v>41.35</v>
      </c>
      <c r="X430" s="20">
        <f t="shared" si="1"/>
        <v>0</v>
      </c>
      <c r="Y430" s="20">
        <f t="shared" si="2"/>
        <v>0</v>
      </c>
      <c r="Z430" s="20">
        <f t="shared" si="3"/>
        <v>56.27841097</v>
      </c>
      <c r="AA430" s="20">
        <f t="shared" si="4"/>
        <v>0</v>
      </c>
      <c r="AB430" s="20">
        <f t="shared" si="5"/>
        <v>0</v>
      </c>
      <c r="AC430" s="20">
        <f t="shared" si="6"/>
        <v>16048.68622</v>
      </c>
      <c r="AD430" s="2"/>
      <c r="AE430" s="20">
        <v>56.27841097002101</v>
      </c>
      <c r="AF430" s="20">
        <f t="shared" si="7"/>
        <v>345.9873132</v>
      </c>
      <c r="AG430" s="20">
        <f t="shared" si="8"/>
        <v>1488.582627</v>
      </c>
      <c r="AH430" s="20">
        <f t="shared" si="9"/>
        <v>7086.854408</v>
      </c>
      <c r="AI430" s="20">
        <v>16048.686215575697</v>
      </c>
      <c r="AJ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16">
        <f t="shared" si="10"/>
        <v>41.4</v>
      </c>
      <c r="X431" s="17">
        <f t="shared" si="1"/>
        <v>0</v>
      </c>
      <c r="Y431" s="17">
        <f t="shared" si="2"/>
        <v>0</v>
      </c>
      <c r="Z431" s="17">
        <f t="shared" si="3"/>
        <v>39.59517638</v>
      </c>
      <c r="AA431" s="17">
        <f t="shared" si="4"/>
        <v>0</v>
      </c>
      <c r="AB431" s="17">
        <f t="shared" si="5"/>
        <v>0</v>
      </c>
      <c r="AC431" s="17">
        <f t="shared" si="6"/>
        <v>13482.68778</v>
      </c>
      <c r="AD431" s="2"/>
      <c r="AE431" s="17">
        <v>39.59517637676047</v>
      </c>
      <c r="AF431" s="17">
        <f t="shared" si="7"/>
        <v>254.248042</v>
      </c>
      <c r="AG431" s="17">
        <f t="shared" si="8"/>
        <v>1143.169718</v>
      </c>
      <c r="AH431" s="17">
        <f t="shared" si="9"/>
        <v>5690.75629</v>
      </c>
      <c r="AI431" s="17">
        <v>13482.68777663553</v>
      </c>
      <c r="AJ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19">
        <f t="shared" si="10"/>
        <v>41.45</v>
      </c>
      <c r="X432" s="20">
        <f t="shared" si="1"/>
        <v>0</v>
      </c>
      <c r="Y432" s="20">
        <f t="shared" si="2"/>
        <v>0</v>
      </c>
      <c r="Z432" s="20">
        <f t="shared" si="3"/>
        <v>27.66281775</v>
      </c>
      <c r="AA432" s="20">
        <f t="shared" si="4"/>
        <v>0</v>
      </c>
      <c r="AB432" s="20">
        <f t="shared" si="5"/>
        <v>0</v>
      </c>
      <c r="AC432" s="20">
        <f t="shared" si="6"/>
        <v>11248.10404</v>
      </c>
      <c r="AD432" s="2"/>
      <c r="AE432" s="20">
        <v>27.66281775295622</v>
      </c>
      <c r="AF432" s="20">
        <f t="shared" si="7"/>
        <v>185.5251765</v>
      </c>
      <c r="AG432" s="20">
        <f t="shared" si="8"/>
        <v>871.7704233</v>
      </c>
      <c r="AH432" s="20">
        <f t="shared" si="9"/>
        <v>4537.808326</v>
      </c>
      <c r="AI432" s="20">
        <v>11248.104042429262</v>
      </c>
      <c r="AJ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16">
        <f t="shared" si="10"/>
        <v>41.5</v>
      </c>
      <c r="X433" s="17">
        <f t="shared" si="1"/>
        <v>0</v>
      </c>
      <c r="Y433" s="17">
        <f t="shared" si="2"/>
        <v>0</v>
      </c>
      <c r="Z433" s="17">
        <f t="shared" si="3"/>
        <v>19.19200718</v>
      </c>
      <c r="AA433" s="17">
        <f t="shared" si="4"/>
        <v>0</v>
      </c>
      <c r="AB433" s="17">
        <f t="shared" si="5"/>
        <v>0</v>
      </c>
      <c r="AC433" s="17">
        <f t="shared" si="6"/>
        <v>9318.543302</v>
      </c>
      <c r="AD433" s="2"/>
      <c r="AE433" s="17">
        <v>19.192007181565778</v>
      </c>
      <c r="AF433" s="17">
        <f t="shared" si="7"/>
        <v>134.429918</v>
      </c>
      <c r="AG433" s="17">
        <f t="shared" si="8"/>
        <v>660.1569536</v>
      </c>
      <c r="AH433" s="17">
        <f t="shared" si="9"/>
        <v>3593.204975</v>
      </c>
      <c r="AI433" s="17">
        <v>9318.54330239769</v>
      </c>
      <c r="AJ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19">
        <f t="shared" si="10"/>
        <v>41.55</v>
      </c>
      <c r="X434" s="20">
        <f t="shared" si="1"/>
        <v>0</v>
      </c>
      <c r="Y434" s="20">
        <f t="shared" si="2"/>
        <v>0</v>
      </c>
      <c r="Z434" s="20">
        <f t="shared" si="3"/>
        <v>13.22369377</v>
      </c>
      <c r="AA434" s="20">
        <f t="shared" si="4"/>
        <v>0</v>
      </c>
      <c r="AB434" s="20">
        <f t="shared" si="5"/>
        <v>0</v>
      </c>
      <c r="AC434" s="20">
        <f t="shared" si="6"/>
        <v>7666.243087</v>
      </c>
      <c r="AD434" s="2"/>
      <c r="AE434" s="20">
        <v>13.223693765212163</v>
      </c>
      <c r="AF434" s="20">
        <f t="shared" si="7"/>
        <v>96.72460808</v>
      </c>
      <c r="AG434" s="20">
        <f t="shared" si="8"/>
        <v>496.4161788</v>
      </c>
      <c r="AH434" s="20">
        <f t="shared" si="9"/>
        <v>2825.384258</v>
      </c>
      <c r="AI434" s="20">
        <v>7666.243087484419</v>
      </c>
      <c r="AJ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16">
        <f t="shared" si="10"/>
        <v>41.6</v>
      </c>
      <c r="X435" s="17">
        <f t="shared" si="1"/>
        <v>0</v>
      </c>
      <c r="Y435" s="17">
        <f t="shared" si="2"/>
        <v>0</v>
      </c>
      <c r="Z435" s="17">
        <f t="shared" si="3"/>
        <v>9.050769078</v>
      </c>
      <c r="AA435" s="17">
        <f t="shared" si="4"/>
        <v>0</v>
      </c>
      <c r="AB435" s="17">
        <f t="shared" si="5"/>
        <v>0</v>
      </c>
      <c r="AC435" s="17">
        <f t="shared" si="6"/>
        <v>6263.008485</v>
      </c>
      <c r="AD435" s="2"/>
      <c r="AE435" s="17">
        <v>9.050769078314262</v>
      </c>
      <c r="AF435" s="17">
        <f t="shared" si="7"/>
        <v>69.10767429</v>
      </c>
      <c r="AG435" s="17">
        <f t="shared" si="8"/>
        <v>370.6792763</v>
      </c>
      <c r="AH435" s="17">
        <f t="shared" si="9"/>
        <v>2206.138298</v>
      </c>
      <c r="AI435" s="17">
        <v>6263.0084851436795</v>
      </c>
      <c r="AJ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19">
        <f t="shared" si="10"/>
        <v>41.65</v>
      </c>
      <c r="X436" s="20">
        <f t="shared" si="1"/>
        <v>0</v>
      </c>
      <c r="Y436" s="20">
        <f t="shared" si="2"/>
        <v>0</v>
      </c>
      <c r="Z436" s="20">
        <f t="shared" si="3"/>
        <v>6.156549809</v>
      </c>
      <c r="AA436" s="20">
        <f t="shared" si="4"/>
        <v>0</v>
      </c>
      <c r="AB436" s="20">
        <f t="shared" si="5"/>
        <v>0</v>
      </c>
      <c r="AC436" s="20">
        <f t="shared" si="6"/>
        <v>5081.000874</v>
      </c>
      <c r="AD436" s="2"/>
      <c r="AE436" s="20">
        <v>6.156549809224632</v>
      </c>
      <c r="AF436" s="20">
        <f t="shared" si="7"/>
        <v>49.03029694</v>
      </c>
      <c r="AG436" s="20">
        <f t="shared" si="8"/>
        <v>274.855443</v>
      </c>
      <c r="AH436" s="20">
        <f t="shared" si="9"/>
        <v>1710.596705</v>
      </c>
      <c r="AI436" s="20">
        <v>5081.000874224939</v>
      </c>
      <c r="AJ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16">
        <f t="shared" si="10"/>
        <v>41.7</v>
      </c>
      <c r="X437" s="17">
        <f t="shared" si="1"/>
        <v>0</v>
      </c>
      <c r="Y437" s="17">
        <f t="shared" si="2"/>
        <v>0</v>
      </c>
      <c r="Z437" s="17">
        <f t="shared" si="3"/>
        <v>4.167047566</v>
      </c>
      <c r="AA437" s="17">
        <f t="shared" si="4"/>
        <v>0</v>
      </c>
      <c r="AB437" s="17">
        <f t="shared" si="5"/>
        <v>0</v>
      </c>
      <c r="AC437" s="17">
        <f t="shared" si="6"/>
        <v>4093.373699</v>
      </c>
      <c r="AD437" s="2"/>
      <c r="AE437" s="17">
        <v>4.16704756550831</v>
      </c>
      <c r="AF437" s="17">
        <f t="shared" si="7"/>
        <v>34.54246894</v>
      </c>
      <c r="AG437" s="17">
        <f t="shared" si="8"/>
        <v>202.3783441</v>
      </c>
      <c r="AH437" s="17">
        <f t="shared" si="9"/>
        <v>1317.110501</v>
      </c>
      <c r="AI437" s="17">
        <v>4093.3736986741324</v>
      </c>
      <c r="AJ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19">
        <f t="shared" si="10"/>
        <v>41.75</v>
      </c>
      <c r="X438" s="20">
        <f t="shared" si="1"/>
        <v>0</v>
      </c>
      <c r="Y438" s="20">
        <f t="shared" si="2"/>
        <v>0</v>
      </c>
      <c r="Z438" s="20">
        <f t="shared" si="3"/>
        <v>2.814396903</v>
      </c>
      <c r="AA438" s="20">
        <f t="shared" si="4"/>
        <v>0</v>
      </c>
      <c r="AB438" s="20">
        <f t="shared" si="5"/>
        <v>0</v>
      </c>
      <c r="AC438" s="20">
        <f t="shared" si="6"/>
        <v>3274.759234</v>
      </c>
      <c r="AD438" s="2"/>
      <c r="AE438" s="20">
        <v>2.8143969031300116</v>
      </c>
      <c r="AF438" s="20">
        <f t="shared" si="7"/>
        <v>24.16555714</v>
      </c>
      <c r="AG438" s="20">
        <f t="shared" si="8"/>
        <v>147.9712718</v>
      </c>
      <c r="AH438" s="20">
        <f t="shared" si="9"/>
        <v>1007.062623</v>
      </c>
      <c r="AI438" s="20">
        <v>3274.7592340540805</v>
      </c>
      <c r="AJ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16">
        <f t="shared" si="10"/>
        <v>41.8</v>
      </c>
      <c r="X439" s="17">
        <f t="shared" si="1"/>
        <v>0</v>
      </c>
      <c r="Y439" s="17">
        <f t="shared" si="2"/>
        <v>0</v>
      </c>
      <c r="Z439" s="17">
        <f t="shared" si="3"/>
        <v>1.909216601</v>
      </c>
      <c r="AA439" s="17">
        <f t="shared" si="4"/>
        <v>0</v>
      </c>
      <c r="AB439" s="17">
        <f t="shared" si="5"/>
        <v>0</v>
      </c>
      <c r="AC439" s="17">
        <f t="shared" si="6"/>
        <v>2601.616101</v>
      </c>
      <c r="AD439" s="2"/>
      <c r="AE439" s="17">
        <v>1.9092166006916154</v>
      </c>
      <c r="AF439" s="17">
        <f t="shared" si="7"/>
        <v>16.78820906</v>
      </c>
      <c r="AG439" s="17">
        <f t="shared" si="8"/>
        <v>107.4346751</v>
      </c>
      <c r="AH439" s="17">
        <f t="shared" si="9"/>
        <v>764.6284046</v>
      </c>
      <c r="AI439" s="17">
        <v>2601.616100750557</v>
      </c>
      <c r="AJ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19">
        <f t="shared" si="10"/>
        <v>41.85</v>
      </c>
      <c r="X440" s="20">
        <f t="shared" si="1"/>
        <v>0</v>
      </c>
      <c r="Y440" s="20">
        <f t="shared" si="2"/>
        <v>0</v>
      </c>
      <c r="Z440" s="20">
        <f t="shared" si="3"/>
        <v>1.320066859</v>
      </c>
      <c r="AA440" s="20">
        <f t="shared" si="4"/>
        <v>0</v>
      </c>
      <c r="AB440" s="20">
        <f t="shared" si="5"/>
        <v>0</v>
      </c>
      <c r="AC440" s="20">
        <f t="shared" si="6"/>
        <v>2052.4515</v>
      </c>
      <c r="AD440" s="2"/>
      <c r="AE440" s="20">
        <v>1.3200668585803028</v>
      </c>
      <c r="AF440" s="20">
        <f t="shared" si="7"/>
        <v>11.58240928</v>
      </c>
      <c r="AG440" s="20">
        <f t="shared" si="8"/>
        <v>77.457827</v>
      </c>
      <c r="AH440" s="20">
        <f t="shared" si="9"/>
        <v>576.5063048</v>
      </c>
      <c r="AI440" s="20">
        <v>2052.451500248885</v>
      </c>
      <c r="AJ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16">
        <f t="shared" si="10"/>
        <v>41.9</v>
      </c>
      <c r="X441" s="17">
        <f t="shared" si="1"/>
        <v>0</v>
      </c>
      <c r="Y441" s="17">
        <f t="shared" si="2"/>
        <v>0</v>
      </c>
      <c r="Z441" s="17">
        <f t="shared" si="3"/>
        <v>0.9585253068</v>
      </c>
      <c r="AA441" s="17">
        <f t="shared" si="4"/>
        <v>0</v>
      </c>
      <c r="AB441" s="17">
        <f t="shared" si="5"/>
        <v>0</v>
      </c>
      <c r="AC441" s="17">
        <f t="shared" si="6"/>
        <v>1607.93486</v>
      </c>
      <c r="AD441" s="2"/>
      <c r="AE441" s="17">
        <v>0.9585253067778347</v>
      </c>
      <c r="AF441" s="17">
        <f t="shared" si="7"/>
        <v>7.936613664</v>
      </c>
      <c r="AG441" s="17">
        <f t="shared" si="8"/>
        <v>55.45491811</v>
      </c>
      <c r="AH441" s="17">
        <f t="shared" si="9"/>
        <v>431.6357223</v>
      </c>
      <c r="AI441" s="17">
        <v>1607.9348600979163</v>
      </c>
      <c r="AJ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19">
        <f t="shared" si="10"/>
        <v>41.95</v>
      </c>
      <c r="X442" s="20">
        <f t="shared" si="1"/>
        <v>0</v>
      </c>
      <c r="Y442" s="20">
        <f t="shared" si="2"/>
        <v>0</v>
      </c>
      <c r="Z442" s="20">
        <f t="shared" si="3"/>
        <v>0.7687327148</v>
      </c>
      <c r="AA442" s="20">
        <f t="shared" si="4"/>
        <v>0</v>
      </c>
      <c r="AB442" s="20">
        <f t="shared" si="5"/>
        <v>0</v>
      </c>
      <c r="AC442" s="20">
        <f t="shared" si="6"/>
        <v>1250.920915</v>
      </c>
      <c r="AD442" s="2"/>
      <c r="AE442" s="20">
        <v>0.7687327147660994</v>
      </c>
      <c r="AF442" s="20">
        <f t="shared" si="7"/>
        <v>5.403121411</v>
      </c>
      <c r="AG442" s="20">
        <f t="shared" si="8"/>
        <v>39.42476702</v>
      </c>
      <c r="AH442" s="20">
        <f t="shared" si="9"/>
        <v>320.9152711</v>
      </c>
      <c r="AI442" s="20">
        <v>1250.9209147804372</v>
      </c>
      <c r="AJ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16">
        <f t="shared" si="10"/>
        <v>42</v>
      </c>
      <c r="X443" s="17">
        <f t="shared" si="1"/>
        <v>0</v>
      </c>
      <c r="Y443" s="17">
        <f t="shared" si="2"/>
        <v>0</v>
      </c>
      <c r="Z443" s="17">
        <f t="shared" si="3"/>
        <v>0.7205553033</v>
      </c>
      <c r="AA443" s="17">
        <f t="shared" si="4"/>
        <v>0</v>
      </c>
      <c r="AB443" s="17">
        <f t="shared" si="5"/>
        <v>0</v>
      </c>
      <c r="AC443" s="17">
        <f t="shared" si="6"/>
        <v>966.400425</v>
      </c>
      <c r="AD443" s="2"/>
      <c r="AE443" s="17">
        <v>0.7205553032970878</v>
      </c>
      <c r="AF443" s="17">
        <f t="shared" si="7"/>
        <v>3.65714096</v>
      </c>
      <c r="AG443" s="17">
        <f t="shared" si="8"/>
        <v>27.83257794</v>
      </c>
      <c r="AH443" s="17">
        <f t="shared" si="9"/>
        <v>236.9316482</v>
      </c>
      <c r="AI443" s="17">
        <v>966.400425015558</v>
      </c>
      <c r="AJ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19">
        <f t="shared" si="10"/>
        <v>42.05</v>
      </c>
      <c r="X444" s="20">
        <f t="shared" si="1"/>
        <v>0</v>
      </c>
      <c r="Y444" s="20">
        <f t="shared" si="2"/>
        <v>0</v>
      </c>
      <c r="Z444" s="20">
        <f t="shared" si="3"/>
        <v>0.8057783879</v>
      </c>
      <c r="AA444" s="20">
        <f t="shared" si="4"/>
        <v>0</v>
      </c>
      <c r="AB444" s="20">
        <f t="shared" si="5"/>
        <v>0</v>
      </c>
      <c r="AC444" s="20">
        <f t="shared" si="6"/>
        <v>741.3959791</v>
      </c>
      <c r="AD444" s="2"/>
      <c r="AE444" s="20">
        <v>0.8057783879478188</v>
      </c>
      <c r="AF444" s="20">
        <f t="shared" si="7"/>
        <v>2.46533188</v>
      </c>
      <c r="AG444" s="20">
        <f t="shared" si="8"/>
        <v>19.51170346</v>
      </c>
      <c r="AH444" s="20">
        <f t="shared" si="9"/>
        <v>173.7062559</v>
      </c>
      <c r="AI444" s="20">
        <v>741.3959791430241</v>
      </c>
      <c r="AJ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16">
        <f t="shared" si="10"/>
        <v>42.1</v>
      </c>
      <c r="X445" s="17">
        <f t="shared" si="1"/>
        <v>0</v>
      </c>
      <c r="Y445" s="17">
        <f t="shared" si="2"/>
        <v>0</v>
      </c>
      <c r="Z445" s="17">
        <f t="shared" si="3"/>
        <v>1.03699212</v>
      </c>
      <c r="AA445" s="17">
        <f t="shared" si="4"/>
        <v>0</v>
      </c>
      <c r="AB445" s="17">
        <f t="shared" si="5"/>
        <v>0</v>
      </c>
      <c r="AC445" s="17">
        <f t="shared" si="6"/>
        <v>564.818868</v>
      </c>
      <c r="AD445" s="2"/>
      <c r="AE445" s="17">
        <v>1.0369921196539063</v>
      </c>
      <c r="AF445" s="17">
        <f t="shared" si="7"/>
        <v>1.661935567</v>
      </c>
      <c r="AG445" s="17">
        <f t="shared" si="8"/>
        <v>13.58312678</v>
      </c>
      <c r="AH445" s="17">
        <f t="shared" si="9"/>
        <v>126.4641843</v>
      </c>
      <c r="AI445" s="17">
        <v>564.8188679924097</v>
      </c>
      <c r="AJ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19">
        <f t="shared" si="10"/>
        <v>42.15</v>
      </c>
      <c r="X446" s="20">
        <f t="shared" si="1"/>
        <v>0</v>
      </c>
      <c r="Y446" s="20">
        <f t="shared" si="2"/>
        <v>0</v>
      </c>
      <c r="Z446" s="20">
        <f t="shared" si="3"/>
        <v>1.449062381</v>
      </c>
      <c r="AA446" s="20">
        <f t="shared" si="4"/>
        <v>0</v>
      </c>
      <c r="AB446" s="20">
        <f t="shared" si="5"/>
        <v>0</v>
      </c>
      <c r="AC446" s="20">
        <f t="shared" si="6"/>
        <v>427.3011104</v>
      </c>
      <c r="AD446" s="2"/>
      <c r="AE446" s="20">
        <v>1.449062380781691</v>
      </c>
      <c r="AF446" s="20">
        <f t="shared" si="7"/>
        <v>1.130926261</v>
      </c>
      <c r="AG446" s="20">
        <f t="shared" si="8"/>
        <v>9.390312747</v>
      </c>
      <c r="AH446" s="20">
        <f t="shared" si="9"/>
        <v>91.42803082</v>
      </c>
      <c r="AI446" s="20">
        <v>427.30111043576346</v>
      </c>
      <c r="AJ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16">
        <f t="shared" si="10"/>
        <v>42.2</v>
      </c>
      <c r="X447" s="17">
        <f t="shared" si="1"/>
        <v>0</v>
      </c>
      <c r="Y447" s="17">
        <f t="shared" si="2"/>
        <v>0</v>
      </c>
      <c r="Z447" s="17">
        <f t="shared" si="3"/>
        <v>2.103307452</v>
      </c>
      <c r="AA447" s="17">
        <f t="shared" si="4"/>
        <v>0</v>
      </c>
      <c r="AB447" s="17">
        <f t="shared" si="5"/>
        <v>0</v>
      </c>
      <c r="AC447" s="17">
        <f t="shared" si="6"/>
        <v>321.0145392</v>
      </c>
      <c r="AD447" s="2"/>
      <c r="AE447" s="17">
        <v>2.103307451941536</v>
      </c>
      <c r="AF447" s="17">
        <f t="shared" si="7"/>
        <v>0.792910096</v>
      </c>
      <c r="AG447" s="17">
        <f t="shared" si="8"/>
        <v>6.44714215</v>
      </c>
      <c r="AH447" s="17">
        <f t="shared" si="9"/>
        <v>65.63734166</v>
      </c>
      <c r="AI447" s="17">
        <v>321.01453917191606</v>
      </c>
      <c r="AJ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19">
        <f t="shared" si="10"/>
        <v>42.25</v>
      </c>
      <c r="X448" s="20">
        <f t="shared" si="1"/>
        <v>0</v>
      </c>
      <c r="Y448" s="20">
        <f t="shared" si="2"/>
        <v>0</v>
      </c>
      <c r="Z448" s="20">
        <f t="shared" si="3"/>
        <v>3.094733232</v>
      </c>
      <c r="AA448" s="20">
        <f t="shared" si="4"/>
        <v>0</v>
      </c>
      <c r="AB448" s="20">
        <f t="shared" si="5"/>
        <v>0</v>
      </c>
      <c r="AC448" s="20">
        <f t="shared" si="6"/>
        <v>239.4866119</v>
      </c>
      <c r="AD448" s="2"/>
      <c r="AE448" s="20">
        <v>3.0947332322819427</v>
      </c>
      <c r="AF448" s="20">
        <f t="shared" si="7"/>
        <v>0.595768878</v>
      </c>
      <c r="AG448" s="20">
        <f t="shared" si="8"/>
        <v>4.396797055</v>
      </c>
      <c r="AH448" s="20">
        <f t="shared" si="9"/>
        <v>46.79318023</v>
      </c>
      <c r="AI448" s="20">
        <v>239.48661194990297</v>
      </c>
      <c r="AJ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16">
        <f t="shared" si="10"/>
        <v>42.3</v>
      </c>
      <c r="X449" s="17">
        <f t="shared" si="1"/>
        <v>0</v>
      </c>
      <c r="Y449" s="17">
        <f t="shared" si="2"/>
        <v>0</v>
      </c>
      <c r="Z449" s="17">
        <f t="shared" si="3"/>
        <v>4.562925702</v>
      </c>
      <c r="AA449" s="17">
        <f t="shared" si="4"/>
        <v>0</v>
      </c>
      <c r="AB449" s="17">
        <f t="shared" si="5"/>
        <v>0</v>
      </c>
      <c r="AC449" s="17">
        <f t="shared" si="6"/>
        <v>177.4204329</v>
      </c>
      <c r="AD449" s="2"/>
      <c r="AE449" s="17">
        <v>4.562925701587395</v>
      </c>
      <c r="AF449" s="17">
        <f t="shared" si="7"/>
        <v>0.5082863632</v>
      </c>
      <c r="AG449" s="17">
        <f t="shared" si="8"/>
        <v>2.979672239</v>
      </c>
      <c r="AH449" s="17">
        <f t="shared" si="9"/>
        <v>33.12641943</v>
      </c>
      <c r="AI449" s="17">
        <v>177.42043287150094</v>
      </c>
      <c r="AJ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19">
        <f t="shared" si="10"/>
        <v>42.35</v>
      </c>
      <c r="X450" s="20">
        <f t="shared" si="1"/>
        <v>0</v>
      </c>
      <c r="Y450" s="20">
        <f t="shared" si="2"/>
        <v>0</v>
      </c>
      <c r="Z450" s="20">
        <f t="shared" si="3"/>
        <v>6.707467281</v>
      </c>
      <c r="AA450" s="20">
        <f t="shared" si="4"/>
        <v>0</v>
      </c>
      <c r="AB450" s="20">
        <f t="shared" si="5"/>
        <v>0</v>
      </c>
      <c r="AC450" s="20">
        <f t="shared" si="6"/>
        <v>130.5244549</v>
      </c>
      <c r="AD450" s="2"/>
      <c r="AE450" s="20">
        <v>6.7074672806161715</v>
      </c>
      <c r="AF450" s="20">
        <f t="shared" si="7"/>
        <v>0.516210461</v>
      </c>
      <c r="AG450" s="20">
        <f t="shared" si="8"/>
        <v>2.008622733</v>
      </c>
      <c r="AH450" s="20">
        <f t="shared" si="9"/>
        <v>23.28776122</v>
      </c>
      <c r="AI450" s="20">
        <v>130.52445494144297</v>
      </c>
      <c r="AJ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16">
        <f t="shared" si="10"/>
        <v>42.4</v>
      </c>
      <c r="X451" s="17">
        <f t="shared" si="1"/>
        <v>0</v>
      </c>
      <c r="Y451" s="17">
        <f t="shared" si="2"/>
        <v>0</v>
      </c>
      <c r="Z451" s="17">
        <f t="shared" si="3"/>
        <v>9.809040633</v>
      </c>
      <c r="AA451" s="17">
        <f t="shared" si="4"/>
        <v>0</v>
      </c>
      <c r="AB451" s="17">
        <f t="shared" si="5"/>
        <v>0</v>
      </c>
      <c r="AC451" s="17">
        <f t="shared" si="6"/>
        <v>95.35555688</v>
      </c>
      <c r="AD451" s="2"/>
      <c r="AE451" s="17">
        <v>9.809040633211856</v>
      </c>
      <c r="AF451" s="17">
        <f t="shared" si="7"/>
        <v>0.6203997246</v>
      </c>
      <c r="AG451" s="17">
        <f t="shared" si="8"/>
        <v>1.350099413</v>
      </c>
      <c r="AH451" s="17">
        <f t="shared" si="9"/>
        <v>16.25715714</v>
      </c>
      <c r="AI451" s="17">
        <v>95.35555688032542</v>
      </c>
      <c r="AJ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19">
        <f t="shared" si="10"/>
        <v>42.45</v>
      </c>
      <c r="X452" s="20">
        <f t="shared" si="1"/>
        <v>0</v>
      </c>
      <c r="Y452" s="20">
        <f t="shared" si="2"/>
        <v>0</v>
      </c>
      <c r="Z452" s="20">
        <f t="shared" si="3"/>
        <v>14.25771384</v>
      </c>
      <c r="AA452" s="20">
        <f t="shared" si="4"/>
        <v>0</v>
      </c>
      <c r="AB452" s="20">
        <f t="shared" si="5"/>
        <v>0</v>
      </c>
      <c r="AC452" s="20">
        <f t="shared" si="6"/>
        <v>69.17768158</v>
      </c>
      <c r="AD452" s="2"/>
      <c r="AE452" s="20">
        <v>14.257713843820882</v>
      </c>
      <c r="AF452" s="20">
        <f t="shared" si="7"/>
        <v>0.8368828888</v>
      </c>
      <c r="AG452" s="20">
        <f t="shared" si="8"/>
        <v>0.9099600204</v>
      </c>
      <c r="AH452" s="20">
        <f t="shared" si="9"/>
        <v>11.27017587</v>
      </c>
      <c r="AI452" s="20">
        <v>69.17768158151652</v>
      </c>
      <c r="AJ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16">
        <f t="shared" si="10"/>
        <v>42.5</v>
      </c>
      <c r="X453" s="17">
        <f t="shared" si="1"/>
        <v>0</v>
      </c>
      <c r="Y453" s="17">
        <f t="shared" si="2"/>
        <v>0</v>
      </c>
      <c r="Z453" s="17">
        <f t="shared" si="3"/>
        <v>20.59026612</v>
      </c>
      <c r="AA453" s="17">
        <f t="shared" si="4"/>
        <v>0</v>
      </c>
      <c r="AB453" s="17">
        <f t="shared" si="5"/>
        <v>0</v>
      </c>
      <c r="AC453" s="17">
        <f t="shared" si="6"/>
        <v>49.83700196</v>
      </c>
      <c r="AD453" s="2"/>
      <c r="AE453" s="17">
        <v>20.590266123573173</v>
      </c>
      <c r="AF453" s="17">
        <f t="shared" si="7"/>
        <v>1.198833221</v>
      </c>
      <c r="AG453" s="17">
        <f t="shared" si="8"/>
        <v>0.6229630857</v>
      </c>
      <c r="AH453" s="17">
        <f t="shared" si="9"/>
        <v>7.758890011</v>
      </c>
      <c r="AI453" s="17">
        <v>49.837001964455226</v>
      </c>
      <c r="AJ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19">
        <f t="shared" si="10"/>
        <v>42.55</v>
      </c>
      <c r="X454" s="20">
        <f t="shared" si="1"/>
        <v>0</v>
      </c>
      <c r="Y454" s="20">
        <f t="shared" si="2"/>
        <v>0</v>
      </c>
      <c r="Z454" s="20">
        <f t="shared" si="3"/>
        <v>29.53881013</v>
      </c>
      <c r="AA454" s="20">
        <f t="shared" si="4"/>
        <v>0</v>
      </c>
      <c r="AB454" s="20">
        <f t="shared" si="5"/>
        <v>0</v>
      </c>
      <c r="AC454" s="20">
        <f t="shared" si="6"/>
        <v>35.65363393</v>
      </c>
      <c r="AD454" s="2"/>
      <c r="AE454" s="20">
        <v>29.538810129397223</v>
      </c>
      <c r="AF454" s="20">
        <f t="shared" si="7"/>
        <v>1.760632688</v>
      </c>
      <c r="AG454" s="20">
        <f t="shared" si="8"/>
        <v>0.4451523512</v>
      </c>
      <c r="AH454" s="20">
        <f t="shared" si="9"/>
        <v>5.304986164</v>
      </c>
      <c r="AI454" s="20">
        <v>35.65363392886411</v>
      </c>
      <c r="AJ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16">
        <f t="shared" si="10"/>
        <v>42.6</v>
      </c>
      <c r="X455" s="17">
        <f t="shared" si="1"/>
        <v>0</v>
      </c>
      <c r="Y455" s="17">
        <f t="shared" si="2"/>
        <v>0</v>
      </c>
      <c r="Z455" s="17">
        <f t="shared" si="3"/>
        <v>42.09338668</v>
      </c>
      <c r="AA455" s="17">
        <f t="shared" si="4"/>
        <v>0</v>
      </c>
      <c r="AB455" s="17">
        <f t="shared" si="5"/>
        <v>0</v>
      </c>
      <c r="AC455" s="17">
        <f t="shared" si="6"/>
        <v>25.32922305</v>
      </c>
      <c r="AD455" s="2"/>
      <c r="AE455" s="17">
        <v>42.09338668275657</v>
      </c>
      <c r="AF455" s="17">
        <f t="shared" si="7"/>
        <v>2.604382135</v>
      </c>
      <c r="AG455" s="17">
        <f t="shared" si="8"/>
        <v>0.3485183076</v>
      </c>
      <c r="AH455" s="17">
        <f t="shared" si="9"/>
        <v>3.603002374</v>
      </c>
      <c r="AI455" s="17">
        <v>25.329223050366203</v>
      </c>
      <c r="AJ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19">
        <f t="shared" si="10"/>
        <v>42.65</v>
      </c>
      <c r="X456" s="20">
        <f t="shared" si="1"/>
        <v>0</v>
      </c>
      <c r="Y456" s="20">
        <f t="shared" si="2"/>
        <v>0</v>
      </c>
      <c r="Z456" s="20">
        <f t="shared" si="3"/>
        <v>59.58163386</v>
      </c>
      <c r="AA456" s="20">
        <f t="shared" si="4"/>
        <v>0</v>
      </c>
      <c r="AB456" s="20">
        <f t="shared" si="5"/>
        <v>0</v>
      </c>
      <c r="AC456" s="20">
        <f t="shared" si="6"/>
        <v>17.86926005</v>
      </c>
      <c r="AD456" s="2"/>
      <c r="AE456" s="20">
        <v>59.58163385711455</v>
      </c>
      <c r="AF456" s="20">
        <f t="shared" si="7"/>
        <v>3.849410259</v>
      </c>
      <c r="AG456" s="20">
        <f t="shared" si="8"/>
        <v>0.3174823737</v>
      </c>
      <c r="AH456" s="20">
        <f t="shared" si="9"/>
        <v>2.431834284</v>
      </c>
      <c r="AI456" s="20">
        <v>17.8692600452719</v>
      </c>
      <c r="AJ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16">
        <f t="shared" si="10"/>
        <v>42.7</v>
      </c>
      <c r="X457" s="17">
        <f t="shared" si="1"/>
        <v>0</v>
      </c>
      <c r="Y457" s="17">
        <f t="shared" si="2"/>
        <v>0</v>
      </c>
      <c r="Z457" s="17">
        <f t="shared" si="3"/>
        <v>83.76903985</v>
      </c>
      <c r="AA457" s="17">
        <f t="shared" si="4"/>
        <v>0</v>
      </c>
      <c r="AB457" s="17">
        <f t="shared" si="5"/>
        <v>0</v>
      </c>
      <c r="AC457" s="17">
        <f t="shared" si="6"/>
        <v>12.51869387</v>
      </c>
      <c r="AD457" s="2"/>
      <c r="AE457" s="17">
        <v>83.76903984558602</v>
      </c>
      <c r="AF457" s="17">
        <f t="shared" si="7"/>
        <v>5.665552953</v>
      </c>
      <c r="AG457" s="17">
        <f t="shared" si="8"/>
        <v>0.3468911285</v>
      </c>
      <c r="AH457" s="17">
        <f t="shared" si="9"/>
        <v>1.632902491</v>
      </c>
      <c r="AI457" s="17">
        <v>12.518693873275781</v>
      </c>
      <c r="AJ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19">
        <f t="shared" si="10"/>
        <v>42.75</v>
      </c>
      <c r="X458" s="20">
        <f t="shared" si="1"/>
        <v>0</v>
      </c>
      <c r="Y458" s="20">
        <f t="shared" si="2"/>
        <v>0</v>
      </c>
      <c r="Z458" s="20">
        <f t="shared" si="3"/>
        <v>116.9836421</v>
      </c>
      <c r="AA458" s="20">
        <f t="shared" si="4"/>
        <v>0</v>
      </c>
      <c r="AB458" s="20">
        <f t="shared" si="5"/>
        <v>0</v>
      </c>
      <c r="AC458" s="20">
        <f t="shared" si="6"/>
        <v>8.709273746</v>
      </c>
      <c r="AD458" s="2"/>
      <c r="AE458" s="20">
        <v>116.983642081577</v>
      </c>
      <c r="AF458" s="20">
        <f t="shared" si="7"/>
        <v>8.291221065</v>
      </c>
      <c r="AG458" s="20">
        <f t="shared" si="8"/>
        <v>0.4413369673</v>
      </c>
      <c r="AH458" s="20">
        <f t="shared" si="9"/>
        <v>1.093621753</v>
      </c>
      <c r="AI458" s="20">
        <v>8.709273746201003</v>
      </c>
      <c r="AJ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16">
        <f t="shared" si="10"/>
        <v>42.8</v>
      </c>
      <c r="X459" s="17">
        <f t="shared" si="1"/>
        <v>0</v>
      </c>
      <c r="Y459" s="17">
        <f t="shared" si="2"/>
        <v>0</v>
      </c>
      <c r="Z459" s="17">
        <f t="shared" si="3"/>
        <v>162.2692865</v>
      </c>
      <c r="AA459" s="17">
        <f t="shared" si="4"/>
        <v>0</v>
      </c>
      <c r="AB459" s="17">
        <f t="shared" si="5"/>
        <v>0</v>
      </c>
      <c r="AC459" s="17">
        <f t="shared" si="6"/>
        <v>6.017027116</v>
      </c>
      <c r="AD459" s="2"/>
      <c r="AE459" s="17">
        <v>162.26928650814295</v>
      </c>
      <c r="AF459" s="17">
        <f t="shared" si="7"/>
        <v>12.0575526</v>
      </c>
      <c r="AG459" s="17">
        <f t="shared" si="8"/>
        <v>0.6157426238</v>
      </c>
      <c r="AH459" s="17">
        <f t="shared" si="9"/>
        <v>0.7350470097</v>
      </c>
      <c r="AI459" s="17">
        <v>6.017027116376021</v>
      </c>
      <c r="AJ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19">
        <f t="shared" si="10"/>
        <v>42.85</v>
      </c>
      <c r="X460" s="20">
        <f t="shared" si="1"/>
        <v>0</v>
      </c>
      <c r="Y460" s="20">
        <f t="shared" si="2"/>
        <v>0</v>
      </c>
      <c r="Z460" s="20">
        <f t="shared" si="3"/>
        <v>223.5716512</v>
      </c>
      <c r="AA460" s="20">
        <f t="shared" si="4"/>
        <v>0</v>
      </c>
      <c r="AB460" s="20">
        <f t="shared" si="5"/>
        <v>0</v>
      </c>
      <c r="AC460" s="20">
        <f t="shared" si="6"/>
        <v>4.128338294</v>
      </c>
      <c r="AD460" s="2"/>
      <c r="AE460" s="20">
        <v>223.5716511605185</v>
      </c>
      <c r="AF460" s="20">
        <f t="shared" si="7"/>
        <v>17.42025576</v>
      </c>
      <c r="AG460" s="20">
        <f t="shared" si="8"/>
        <v>0.8972656844</v>
      </c>
      <c r="AH460" s="20">
        <f t="shared" si="9"/>
        <v>0.5027850706</v>
      </c>
      <c r="AI460" s="20">
        <v>4.128338293515614</v>
      </c>
      <c r="AJ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16">
        <f t="shared" si="10"/>
        <v>42.9</v>
      </c>
      <c r="X461" s="17">
        <f t="shared" si="1"/>
        <v>0</v>
      </c>
      <c r="Y461" s="17">
        <f t="shared" si="2"/>
        <v>0</v>
      </c>
      <c r="Z461" s="17">
        <f t="shared" si="3"/>
        <v>305.9610958</v>
      </c>
      <c r="AA461" s="17">
        <f t="shared" si="4"/>
        <v>0</v>
      </c>
      <c r="AB461" s="17">
        <f t="shared" si="5"/>
        <v>0</v>
      </c>
      <c r="AC461" s="17">
        <f t="shared" si="6"/>
        <v>2.813204583</v>
      </c>
      <c r="AD461" s="2"/>
      <c r="AE461" s="17">
        <v>305.9610957900876</v>
      </c>
      <c r="AF461" s="17">
        <f t="shared" si="7"/>
        <v>25.00108968</v>
      </c>
      <c r="AG461" s="17">
        <f t="shared" si="8"/>
        <v>1.32870128</v>
      </c>
      <c r="AH461" s="17">
        <f t="shared" si="9"/>
        <v>0.36045179</v>
      </c>
      <c r="AI461" s="17">
        <v>2.813204583316941</v>
      </c>
      <c r="AJ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19">
        <f t="shared" si="10"/>
        <v>42.95</v>
      </c>
      <c r="X462" s="20">
        <f t="shared" si="1"/>
        <v>0</v>
      </c>
      <c r="Y462" s="20">
        <f t="shared" si="2"/>
        <v>0</v>
      </c>
      <c r="Z462" s="20">
        <f t="shared" si="3"/>
        <v>415.895942</v>
      </c>
      <c r="AA462" s="20">
        <f t="shared" si="4"/>
        <v>0</v>
      </c>
      <c r="AB462" s="20">
        <f t="shared" si="5"/>
        <v>0</v>
      </c>
      <c r="AC462" s="20">
        <f t="shared" si="6"/>
        <v>1.904391597</v>
      </c>
      <c r="AD462" s="2"/>
      <c r="AE462" s="20">
        <v>415.89594196509324</v>
      </c>
      <c r="AF462" s="20">
        <f t="shared" si="7"/>
        <v>35.6412921</v>
      </c>
      <c r="AG462" s="20">
        <f t="shared" si="8"/>
        <v>1.973692385</v>
      </c>
      <c r="AH462" s="20">
        <f t="shared" si="9"/>
        <v>0.2851225119</v>
      </c>
      <c r="AI462" s="20">
        <v>1.9043915971320733</v>
      </c>
      <c r="AJ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16">
        <f t="shared" si="10"/>
        <v>43</v>
      </c>
      <c r="X463" s="17">
        <f t="shared" si="1"/>
        <v>0</v>
      </c>
      <c r="Y463" s="17">
        <f t="shared" si="2"/>
        <v>0</v>
      </c>
      <c r="Z463" s="17">
        <f t="shared" si="3"/>
        <v>561.5289262</v>
      </c>
      <c r="AA463" s="17">
        <f t="shared" si="4"/>
        <v>0</v>
      </c>
      <c r="AB463" s="17">
        <f t="shared" si="5"/>
        <v>0</v>
      </c>
      <c r="AC463" s="17">
        <f t="shared" si="6"/>
        <v>1.281369384</v>
      </c>
      <c r="AD463" s="2"/>
      <c r="AE463" s="17">
        <v>561.5289261759881</v>
      </c>
      <c r="AF463" s="17">
        <f t="shared" si="7"/>
        <v>50.46963489</v>
      </c>
      <c r="AG463" s="17">
        <f t="shared" si="8"/>
        <v>2.924203179</v>
      </c>
      <c r="AH463" s="17">
        <f t="shared" si="9"/>
        <v>0.2643708</v>
      </c>
      <c r="AI463" s="17">
        <v>1.2813693842480107</v>
      </c>
      <c r="AJ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19">
        <f t="shared" si="10"/>
        <v>43.05</v>
      </c>
      <c r="X464" s="20">
        <f t="shared" si="1"/>
        <v>0</v>
      </c>
      <c r="Y464" s="20">
        <f t="shared" si="2"/>
        <v>0</v>
      </c>
      <c r="Z464" s="20">
        <f t="shared" si="3"/>
        <v>753.0582095</v>
      </c>
      <c r="AA464" s="20">
        <f t="shared" si="4"/>
        <v>0</v>
      </c>
      <c r="AB464" s="20">
        <f t="shared" si="5"/>
        <v>0</v>
      </c>
      <c r="AC464" s="20">
        <f t="shared" si="6"/>
        <v>0.8580735435</v>
      </c>
      <c r="AD464" s="2"/>
      <c r="AE464" s="20">
        <v>753.0582094643999</v>
      </c>
      <c r="AF464" s="20">
        <f t="shared" si="7"/>
        <v>70.98814718</v>
      </c>
      <c r="AG464" s="20">
        <f t="shared" si="8"/>
        <v>4.31087691</v>
      </c>
      <c r="AH464" s="20">
        <f t="shared" si="9"/>
        <v>0.2946204133</v>
      </c>
      <c r="AI464" s="20">
        <v>0.858073543493377</v>
      </c>
      <c r="AJ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16">
        <f t="shared" si="10"/>
        <v>43.1</v>
      </c>
      <c r="X465" s="17">
        <f t="shared" si="1"/>
        <v>0</v>
      </c>
      <c r="Y465" s="17">
        <f t="shared" si="2"/>
        <v>0</v>
      </c>
      <c r="Z465" s="17">
        <f t="shared" si="3"/>
        <v>1003.122383</v>
      </c>
      <c r="AA465" s="17">
        <f t="shared" si="4"/>
        <v>0</v>
      </c>
      <c r="AB465" s="17">
        <f t="shared" si="5"/>
        <v>0</v>
      </c>
      <c r="AC465" s="17">
        <f t="shared" si="6"/>
        <v>0.5736917</v>
      </c>
      <c r="AD465" s="2"/>
      <c r="AE465" s="17">
        <v>1003.1223827610701</v>
      </c>
      <c r="AF465" s="17">
        <f t="shared" si="7"/>
        <v>99.17886173</v>
      </c>
      <c r="AG465" s="17">
        <f t="shared" si="8"/>
        <v>6.3170899</v>
      </c>
      <c r="AH465" s="17">
        <f t="shared" si="9"/>
        <v>0.3806527033</v>
      </c>
      <c r="AI465" s="17">
        <v>0.573691699951947</v>
      </c>
      <c r="AJ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19">
        <f t="shared" si="10"/>
        <v>43.15</v>
      </c>
      <c r="X466" s="20">
        <f t="shared" si="1"/>
        <v>0</v>
      </c>
      <c r="Y466" s="20">
        <f t="shared" si="2"/>
        <v>0</v>
      </c>
      <c r="Z466" s="20">
        <f t="shared" si="3"/>
        <v>1327.236303</v>
      </c>
      <c r="AA466" s="20">
        <f t="shared" si="4"/>
        <v>0</v>
      </c>
      <c r="AB466" s="20">
        <f t="shared" si="5"/>
        <v>0</v>
      </c>
      <c r="AC466" s="20">
        <f t="shared" si="6"/>
        <v>0.3858202241</v>
      </c>
      <c r="AD466" s="2"/>
      <c r="AE466" s="20">
        <v>1327.2363027044871</v>
      </c>
      <c r="AF466" s="20">
        <f t="shared" si="7"/>
        <v>137.6351742</v>
      </c>
      <c r="AG466" s="20">
        <f t="shared" si="8"/>
        <v>9.197730782</v>
      </c>
      <c r="AH466" s="20">
        <f t="shared" si="9"/>
        <v>0.5362211683</v>
      </c>
      <c r="AI466" s="20">
        <v>0.3858202241443147</v>
      </c>
      <c r="AJ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16">
        <f t="shared" si="10"/>
        <v>43.2</v>
      </c>
      <c r="X467" s="17">
        <f t="shared" si="1"/>
        <v>0</v>
      </c>
      <c r="Y467" s="17">
        <f t="shared" si="2"/>
        <v>0</v>
      </c>
      <c r="Z467" s="17">
        <f t="shared" si="3"/>
        <v>1744.261278</v>
      </c>
      <c r="AA467" s="17">
        <f t="shared" si="4"/>
        <v>0</v>
      </c>
      <c r="AB467" s="17">
        <f t="shared" si="5"/>
        <v>0</v>
      </c>
      <c r="AC467" s="17">
        <f t="shared" si="6"/>
        <v>0.2654660267</v>
      </c>
      <c r="AD467" s="2"/>
      <c r="AE467" s="17">
        <v>1744.261278230915</v>
      </c>
      <c r="AF467" s="17">
        <f t="shared" si="7"/>
        <v>189.7215044</v>
      </c>
      <c r="AG467" s="17">
        <f t="shared" si="8"/>
        <v>13.30397979</v>
      </c>
      <c r="AH467" s="17">
        <f t="shared" si="9"/>
        <v>0.7858322803</v>
      </c>
      <c r="AI467" s="17">
        <v>0.2654660267428999</v>
      </c>
      <c r="AJ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19">
        <f t="shared" si="10"/>
        <v>43.25</v>
      </c>
      <c r="X468" s="20">
        <f t="shared" si="1"/>
        <v>0</v>
      </c>
      <c r="Y468" s="20">
        <f t="shared" si="2"/>
        <v>0</v>
      </c>
      <c r="Z468" s="20">
        <f t="shared" si="3"/>
        <v>2276.899091</v>
      </c>
      <c r="AA468" s="20">
        <f t="shared" si="4"/>
        <v>0</v>
      </c>
      <c r="AB468" s="20">
        <f t="shared" si="5"/>
        <v>0</v>
      </c>
      <c r="AC468" s="20">
        <f t="shared" si="6"/>
        <v>0.1934829372</v>
      </c>
      <c r="AD468" s="2"/>
      <c r="AE468" s="20">
        <v>2276.899091469109</v>
      </c>
      <c r="AF468" s="20">
        <f t="shared" si="7"/>
        <v>259.7648545</v>
      </c>
      <c r="AG468" s="20">
        <f t="shared" si="8"/>
        <v>19.11563521</v>
      </c>
      <c r="AH468" s="20">
        <f t="shared" si="9"/>
        <v>1.167862518</v>
      </c>
      <c r="AI468" s="20">
        <v>0.19348293718440415</v>
      </c>
      <c r="AJ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16">
        <f t="shared" si="10"/>
        <v>43.3</v>
      </c>
      <c r="X469" s="17">
        <f t="shared" si="1"/>
        <v>0</v>
      </c>
      <c r="Y469" s="17">
        <f t="shared" si="2"/>
        <v>0</v>
      </c>
      <c r="Z469" s="17">
        <f t="shared" si="3"/>
        <v>2952.194617</v>
      </c>
      <c r="AA469" s="17">
        <f t="shared" si="4"/>
        <v>0</v>
      </c>
      <c r="AB469" s="17">
        <f t="shared" si="5"/>
        <v>0</v>
      </c>
      <c r="AC469" s="17">
        <f t="shared" si="6"/>
        <v>0.1581323488</v>
      </c>
      <c r="AD469" s="2"/>
      <c r="AE469" s="17">
        <v>2952.194617021875</v>
      </c>
      <c r="AF469" s="17">
        <f t="shared" si="7"/>
        <v>353.2814979</v>
      </c>
      <c r="AG469" s="17">
        <f t="shared" si="8"/>
        <v>27.28282751</v>
      </c>
      <c r="AH469" s="17">
        <f t="shared" si="9"/>
        <v>1.739301459</v>
      </c>
      <c r="AI469" s="17">
        <v>0.15813234882182745</v>
      </c>
      <c r="AJ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19">
        <f t="shared" si="10"/>
        <v>43.35</v>
      </c>
      <c r="X470" s="20">
        <f t="shared" si="1"/>
        <v>0</v>
      </c>
      <c r="Y470" s="20">
        <f t="shared" si="2"/>
        <v>0</v>
      </c>
      <c r="Z470" s="20">
        <f t="shared" si="3"/>
        <v>3802.026507</v>
      </c>
      <c r="AA470" s="20">
        <f t="shared" si="4"/>
        <v>0</v>
      </c>
      <c r="AB470" s="20">
        <f t="shared" si="5"/>
        <v>0</v>
      </c>
      <c r="AC470" s="20">
        <f t="shared" si="6"/>
        <v>0.1535453549</v>
      </c>
      <c r="AD470" s="2"/>
      <c r="AE470" s="20">
        <v>3802.026506895324</v>
      </c>
      <c r="AF470" s="20">
        <f t="shared" si="7"/>
        <v>477.2413297</v>
      </c>
      <c r="AG470" s="20">
        <f t="shared" si="8"/>
        <v>38.67926633</v>
      </c>
      <c r="AH470" s="20">
        <f t="shared" si="9"/>
        <v>2.582545264</v>
      </c>
      <c r="AI470" s="20">
        <v>0.15354535493268406</v>
      </c>
      <c r="AJ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16">
        <f t="shared" si="10"/>
        <v>43.4</v>
      </c>
      <c r="X471" s="17">
        <f t="shared" si="1"/>
        <v>0</v>
      </c>
      <c r="Y471" s="17">
        <f t="shared" si="2"/>
        <v>0</v>
      </c>
      <c r="Z471" s="17">
        <f t="shared" si="3"/>
        <v>4863.559718</v>
      </c>
      <c r="AA471" s="17">
        <f t="shared" si="4"/>
        <v>0</v>
      </c>
      <c r="AB471" s="17">
        <f t="shared" si="5"/>
        <v>0</v>
      </c>
      <c r="AC471" s="17">
        <f t="shared" si="6"/>
        <v>0.178941129</v>
      </c>
      <c r="AD471" s="2"/>
      <c r="AE471" s="17">
        <v>4863.559717681839</v>
      </c>
      <c r="AF471" s="17">
        <f t="shared" si="7"/>
        <v>640.3712813</v>
      </c>
      <c r="AG471" s="17">
        <f t="shared" si="8"/>
        <v>54.46946479</v>
      </c>
      <c r="AH471" s="17">
        <f t="shared" si="9"/>
        <v>3.814819066</v>
      </c>
      <c r="AI471" s="17">
        <v>0.17894112895713163</v>
      </c>
      <c r="AJ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19">
        <f t="shared" si="10"/>
        <v>43.45</v>
      </c>
      <c r="X472" s="20">
        <f t="shared" si="1"/>
        <v>0</v>
      </c>
      <c r="Y472" s="20">
        <f t="shared" si="2"/>
        <v>0</v>
      </c>
      <c r="Z472" s="20">
        <f t="shared" si="3"/>
        <v>6179.627843</v>
      </c>
      <c r="AA472" s="20">
        <f t="shared" si="4"/>
        <v>0</v>
      </c>
      <c r="AB472" s="20">
        <f t="shared" si="5"/>
        <v>0</v>
      </c>
      <c r="AC472" s="20">
        <f t="shared" si="6"/>
        <v>0.2385269426</v>
      </c>
      <c r="AD472" s="2"/>
      <c r="AE472" s="20">
        <v>6179.627843129799</v>
      </c>
      <c r="AF472" s="20">
        <f t="shared" si="7"/>
        <v>853.4975713</v>
      </c>
      <c r="AG472" s="20">
        <f t="shared" si="8"/>
        <v>76.19265716</v>
      </c>
      <c r="AH472" s="20">
        <f t="shared" si="9"/>
        <v>5.600985039</v>
      </c>
      <c r="AI472" s="20">
        <v>0.2385269426245894</v>
      </c>
      <c r="AJ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16">
        <f t="shared" si="10"/>
        <v>43.5</v>
      </c>
      <c r="X473" s="17">
        <f t="shared" si="1"/>
        <v>0</v>
      </c>
      <c r="Y473" s="17">
        <f t="shared" si="2"/>
        <v>0</v>
      </c>
      <c r="Z473" s="17">
        <f t="shared" si="3"/>
        <v>7799.007642</v>
      </c>
      <c r="AA473" s="17">
        <f t="shared" si="4"/>
        <v>0</v>
      </c>
      <c r="AB473" s="17">
        <f t="shared" si="5"/>
        <v>0</v>
      </c>
      <c r="AC473" s="17">
        <f t="shared" si="6"/>
        <v>0.3420724223</v>
      </c>
      <c r="AD473" s="2"/>
      <c r="AE473" s="17">
        <v>7799.007641567269</v>
      </c>
      <c r="AF473" s="17">
        <f t="shared" si="7"/>
        <v>1129.924367</v>
      </c>
      <c r="AG473" s="17">
        <f t="shared" si="8"/>
        <v>105.8663384</v>
      </c>
      <c r="AH473" s="17">
        <f t="shared" si="9"/>
        <v>8.170698567</v>
      </c>
      <c r="AI473" s="17">
        <v>0.3420724222731443</v>
      </c>
      <c r="AJ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19">
        <f t="shared" si="10"/>
        <v>43.55</v>
      </c>
      <c r="X474" s="20">
        <f t="shared" si="1"/>
        <v>0</v>
      </c>
      <c r="Y474" s="20">
        <f t="shared" si="2"/>
        <v>0</v>
      </c>
      <c r="Z474" s="20">
        <f t="shared" si="3"/>
        <v>9776.543265</v>
      </c>
      <c r="AA474" s="20">
        <f t="shared" si="4"/>
        <v>0</v>
      </c>
      <c r="AB474" s="20">
        <f t="shared" si="5"/>
        <v>0</v>
      </c>
      <c r="AC474" s="20">
        <f t="shared" si="6"/>
        <v>0.5062180864</v>
      </c>
      <c r="AD474" s="2"/>
      <c r="AE474" s="20">
        <v>9776.543265025355</v>
      </c>
      <c r="AF474" s="20">
        <f t="shared" si="7"/>
        <v>1485.843607</v>
      </c>
      <c r="AG474" s="20">
        <f t="shared" si="8"/>
        <v>146.112467</v>
      </c>
      <c r="AH474" s="20">
        <f t="shared" si="9"/>
        <v>11.84110966</v>
      </c>
      <c r="AI474" s="20">
        <v>0.5062180864448093</v>
      </c>
      <c r="AJ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16">
        <f t="shared" si="10"/>
        <v>43.6</v>
      </c>
      <c r="X475" s="17">
        <f t="shared" si="1"/>
        <v>0</v>
      </c>
      <c r="Y475" s="17">
        <f t="shared" si="2"/>
        <v>0</v>
      </c>
      <c r="Z475" s="17">
        <f t="shared" si="3"/>
        <v>12173.07403</v>
      </c>
      <c r="AA475" s="17">
        <f t="shared" si="4"/>
        <v>0</v>
      </c>
      <c r="AB475" s="17">
        <f t="shared" si="5"/>
        <v>0</v>
      </c>
      <c r="AC475" s="17">
        <f t="shared" si="6"/>
        <v>0.7566496883</v>
      </c>
      <c r="AD475" s="2"/>
      <c r="AE475" s="17">
        <v>12173.074033230265</v>
      </c>
      <c r="AF475" s="17">
        <f t="shared" si="7"/>
        <v>1940.767304</v>
      </c>
      <c r="AG475" s="17">
        <f t="shared" si="8"/>
        <v>200.3093403</v>
      </c>
      <c r="AH475" s="17">
        <f t="shared" si="9"/>
        <v>17.04656961</v>
      </c>
      <c r="AI475" s="17">
        <v>0.7566496883115351</v>
      </c>
      <c r="AJ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19">
        <f t="shared" si="10"/>
        <v>43.65</v>
      </c>
      <c r="X476" s="20">
        <f t="shared" si="1"/>
        <v>0</v>
      </c>
      <c r="Y476" s="20">
        <f t="shared" si="2"/>
        <v>0</v>
      </c>
      <c r="Z476" s="20">
        <f t="shared" si="3"/>
        <v>15055.11773</v>
      </c>
      <c r="AA476" s="20">
        <f t="shared" si="4"/>
        <v>0</v>
      </c>
      <c r="AB476" s="20">
        <f t="shared" si="5"/>
        <v>0</v>
      </c>
      <c r="AC476" s="20">
        <f t="shared" si="6"/>
        <v>1.131349265</v>
      </c>
      <c r="AD476" s="2"/>
      <c r="AE476" s="20">
        <v>15055.117733136545</v>
      </c>
      <c r="AF476" s="20">
        <f t="shared" si="7"/>
        <v>2517.969556</v>
      </c>
      <c r="AG476" s="20">
        <f t="shared" si="8"/>
        <v>272.7719116</v>
      </c>
      <c r="AH476" s="20">
        <f t="shared" si="9"/>
        <v>24.37708995</v>
      </c>
      <c r="AI476" s="20">
        <v>1.1313492650567445</v>
      </c>
      <c r="AJ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16">
        <f t="shared" si="10"/>
        <v>43.7</v>
      </c>
      <c r="X477" s="17">
        <f t="shared" si="1"/>
        <v>0</v>
      </c>
      <c r="Y477" s="17">
        <f t="shared" si="2"/>
        <v>0</v>
      </c>
      <c r="Z477" s="17">
        <f t="shared" si="3"/>
        <v>18494.26197</v>
      </c>
      <c r="AA477" s="17">
        <f t="shared" si="4"/>
        <v>0</v>
      </c>
      <c r="AB477" s="17">
        <f t="shared" si="5"/>
        <v>0</v>
      </c>
      <c r="AC477" s="17">
        <f t="shared" si="6"/>
        <v>1.685224904</v>
      </c>
      <c r="AD477" s="2"/>
      <c r="AE477" s="17">
        <v>18494.261966500893</v>
      </c>
      <c r="AF477" s="17">
        <f t="shared" si="7"/>
        <v>3244.920969</v>
      </c>
      <c r="AG477" s="17">
        <f t="shared" si="8"/>
        <v>368.9628184</v>
      </c>
      <c r="AH477" s="17">
        <f t="shared" si="9"/>
        <v>34.62760346</v>
      </c>
      <c r="AI477" s="17">
        <v>1.68522490433628</v>
      </c>
      <c r="AJ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19">
        <f t="shared" si="10"/>
        <v>43.75</v>
      </c>
      <c r="X478" s="20">
        <f t="shared" si="1"/>
        <v>0</v>
      </c>
      <c r="Y478" s="20">
        <f t="shared" si="2"/>
        <v>0</v>
      </c>
      <c r="Z478" s="20">
        <f t="shared" si="3"/>
        <v>22566.21959</v>
      </c>
      <c r="AA478" s="20">
        <f t="shared" si="4"/>
        <v>0</v>
      </c>
      <c r="AB478" s="20">
        <f t="shared" si="5"/>
        <v>0</v>
      </c>
      <c r="AC478" s="20">
        <f t="shared" si="6"/>
        <v>2.49652775</v>
      </c>
      <c r="AD478" s="2"/>
      <c r="AE478" s="20">
        <v>22566.219593906397</v>
      </c>
      <c r="AF478" s="20">
        <f t="shared" si="7"/>
        <v>4153.693184</v>
      </c>
      <c r="AG478" s="20">
        <f t="shared" si="8"/>
        <v>495.7355494</v>
      </c>
      <c r="AH478" s="20">
        <f t="shared" si="9"/>
        <v>48.86038152</v>
      </c>
      <c r="AI478" s="20">
        <v>2.496527749505466</v>
      </c>
      <c r="AJ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16">
        <f t="shared" si="10"/>
        <v>43.8</v>
      </c>
      <c r="X479" s="17">
        <f t="shared" si="1"/>
        <v>0</v>
      </c>
      <c r="Y479" s="17">
        <f t="shared" si="2"/>
        <v>0</v>
      </c>
      <c r="Z479" s="17">
        <f t="shared" si="3"/>
        <v>27349.51134</v>
      </c>
      <c r="AA479" s="17">
        <f t="shared" si="4"/>
        <v>0</v>
      </c>
      <c r="AB479" s="17">
        <f t="shared" si="5"/>
        <v>0</v>
      </c>
      <c r="AC479" s="17">
        <f t="shared" si="6"/>
        <v>3.675590004</v>
      </c>
      <c r="AD479" s="2"/>
      <c r="AE479" s="17">
        <v>27349.511336306354</v>
      </c>
      <c r="AF479" s="17">
        <f t="shared" si="7"/>
        <v>5281.306163</v>
      </c>
      <c r="AG479" s="17">
        <f t="shared" si="8"/>
        <v>661.6099481</v>
      </c>
      <c r="AH479" s="17">
        <f t="shared" si="9"/>
        <v>68.48324769</v>
      </c>
      <c r="AI479" s="17">
        <v>3.675590004225883</v>
      </c>
      <c r="AJ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19">
        <f t="shared" si="10"/>
        <v>43.85</v>
      </c>
      <c r="X480" s="20">
        <f t="shared" si="1"/>
        <v>0</v>
      </c>
      <c r="Y480" s="20">
        <f t="shared" si="2"/>
        <v>0</v>
      </c>
      <c r="Z480" s="20">
        <f t="shared" si="3"/>
        <v>32923.74946</v>
      </c>
      <c r="AA480" s="20">
        <f t="shared" si="4"/>
        <v>0</v>
      </c>
      <c r="AB480" s="20">
        <f t="shared" si="5"/>
        <v>0</v>
      </c>
      <c r="AC480" s="20">
        <f t="shared" si="6"/>
        <v>5.376564355</v>
      </c>
      <c r="AD480" s="2"/>
      <c r="AE480" s="20">
        <v>32923.749459817016</v>
      </c>
      <c r="AF480" s="20">
        <f t="shared" si="7"/>
        <v>6669.985911</v>
      </c>
      <c r="AG480" s="20">
        <f t="shared" si="8"/>
        <v>877.0785545</v>
      </c>
      <c r="AH480" s="20">
        <f t="shared" si="9"/>
        <v>95.34646659</v>
      </c>
      <c r="AI480" s="20">
        <v>5.376564355416016</v>
      </c>
      <c r="AJ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16">
        <f t="shared" si="10"/>
        <v>43.9</v>
      </c>
      <c r="X481" s="17">
        <f t="shared" si="1"/>
        <v>0</v>
      </c>
      <c r="Y481" s="17">
        <f t="shared" si="2"/>
        <v>0</v>
      </c>
      <c r="Z481" s="17">
        <f t="shared" si="3"/>
        <v>39367.51135</v>
      </c>
      <c r="AA481" s="17">
        <f t="shared" si="4"/>
        <v>0</v>
      </c>
      <c r="AB481" s="17">
        <f t="shared" si="5"/>
        <v>0</v>
      </c>
      <c r="AC481" s="17">
        <f t="shared" si="6"/>
        <v>7.813014982</v>
      </c>
      <c r="AD481" s="2"/>
      <c r="AE481" s="17">
        <v>39367.511351243</v>
      </c>
      <c r="AF481" s="17">
        <f t="shared" si="7"/>
        <v>8367.295934</v>
      </c>
      <c r="AG481" s="17">
        <f t="shared" si="8"/>
        <v>1154.940097</v>
      </c>
      <c r="AH481" s="17">
        <f t="shared" si="9"/>
        <v>131.8613421</v>
      </c>
      <c r="AI481" s="17">
        <v>7.813014981963541</v>
      </c>
      <c r="AJ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19">
        <f t="shared" si="10"/>
        <v>43.95</v>
      </c>
      <c r="X482" s="20">
        <f t="shared" si="1"/>
        <v>0</v>
      </c>
      <c r="Y482" s="20">
        <f t="shared" si="2"/>
        <v>0</v>
      </c>
      <c r="Z482" s="20">
        <f t="shared" si="3"/>
        <v>46755.8106</v>
      </c>
      <c r="AA482" s="20">
        <f t="shared" si="4"/>
        <v>0</v>
      </c>
      <c r="AB482" s="20">
        <f t="shared" si="5"/>
        <v>0</v>
      </c>
      <c r="AC482" s="20">
        <f t="shared" si="6"/>
        <v>11.27840329</v>
      </c>
      <c r="AD482" s="2"/>
      <c r="AE482" s="20">
        <v>46755.810595924515</v>
      </c>
      <c r="AF482" s="20">
        <f t="shared" si="7"/>
        <v>10426.10233</v>
      </c>
      <c r="AG482" s="20">
        <f t="shared" si="8"/>
        <v>1510.653733</v>
      </c>
      <c r="AH482" s="20">
        <f t="shared" si="9"/>
        <v>181.1435855</v>
      </c>
      <c r="AI482" s="20">
        <v>11.278403292394088</v>
      </c>
      <c r="AJ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16">
        <f t="shared" si="10"/>
        <v>44</v>
      </c>
      <c r="X483" s="17">
        <f t="shared" si="1"/>
        <v>0</v>
      </c>
      <c r="Y483" s="17">
        <f t="shared" si="2"/>
        <v>0</v>
      </c>
      <c r="Z483" s="17">
        <f t="shared" si="3"/>
        <v>55157.19549</v>
      </c>
      <c r="AA483" s="17">
        <f t="shared" si="4"/>
        <v>0</v>
      </c>
      <c r="AB483" s="17">
        <f t="shared" si="5"/>
        <v>0</v>
      </c>
      <c r="AC483" s="17">
        <f t="shared" si="6"/>
        <v>16.1727257</v>
      </c>
      <c r="AD483" s="2"/>
      <c r="AE483" s="17">
        <v>55157.19549117252</v>
      </c>
      <c r="AF483" s="17">
        <f t="shared" si="7"/>
        <v>12904.33051</v>
      </c>
      <c r="AG483" s="17">
        <f t="shared" si="8"/>
        <v>1962.704413</v>
      </c>
      <c r="AH483" s="17">
        <f t="shared" si="9"/>
        <v>247.184359</v>
      </c>
      <c r="AI483" s="17">
        <v>16.17272570194486</v>
      </c>
      <c r="AJ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19">
        <f t="shared" si="10"/>
        <v>44.05</v>
      </c>
      <c r="X484" s="20">
        <f t="shared" si="1"/>
        <v>0</v>
      </c>
      <c r="Y484" s="20">
        <f t="shared" si="2"/>
        <v>0</v>
      </c>
      <c r="Z484" s="20">
        <f t="shared" si="3"/>
        <v>64630.53002</v>
      </c>
      <c r="AA484" s="20">
        <f t="shared" si="4"/>
        <v>0</v>
      </c>
      <c r="AB484" s="20">
        <f t="shared" si="5"/>
        <v>0</v>
      </c>
      <c r="AC484" s="20">
        <f t="shared" si="6"/>
        <v>23.03679115</v>
      </c>
      <c r="AD484" s="2"/>
      <c r="AE484" s="20">
        <v>64630.53001920518</v>
      </c>
      <c r="AF484" s="20">
        <f t="shared" si="7"/>
        <v>15864.47167</v>
      </c>
      <c r="AG484" s="20">
        <f t="shared" si="8"/>
        <v>2532.966063</v>
      </c>
      <c r="AH484" s="20">
        <f t="shared" si="9"/>
        <v>335.0514971</v>
      </c>
      <c r="AI484" s="20">
        <v>23.0367911502517</v>
      </c>
      <c r="AJ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16">
        <f t="shared" si="10"/>
        <v>44.1</v>
      </c>
      <c r="X485" s="17">
        <f t="shared" si="1"/>
        <v>0</v>
      </c>
      <c r="Y485" s="17">
        <f t="shared" si="2"/>
        <v>0</v>
      </c>
      <c r="Z485" s="17">
        <f t="shared" si="3"/>
        <v>75221.53906</v>
      </c>
      <c r="AA485" s="17">
        <f t="shared" si="4"/>
        <v>0</v>
      </c>
      <c r="AB485" s="17">
        <f t="shared" si="5"/>
        <v>0</v>
      </c>
      <c r="AC485" s="17">
        <f t="shared" si="6"/>
        <v>32.59586392</v>
      </c>
      <c r="AD485" s="2"/>
      <c r="AE485" s="17">
        <v>75221.53906005879</v>
      </c>
      <c r="AF485" s="17">
        <f t="shared" si="7"/>
        <v>19372.79979</v>
      </c>
      <c r="AG485" s="17">
        <f t="shared" si="8"/>
        <v>3247.04528</v>
      </c>
      <c r="AH485" s="17">
        <f t="shared" si="9"/>
        <v>451.1227042</v>
      </c>
      <c r="AI485" s="17">
        <v>32.5958639225344</v>
      </c>
      <c r="AJ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19">
        <f t="shared" si="10"/>
        <v>44.15</v>
      </c>
      <c r="X486" s="20">
        <f t="shared" si="1"/>
        <v>0</v>
      </c>
      <c r="Y486" s="20">
        <f t="shared" si="2"/>
        <v>0.0000000001410472568</v>
      </c>
      <c r="Z486" s="20">
        <f t="shared" si="3"/>
        <v>86959.22661</v>
      </c>
      <c r="AA486" s="20">
        <f t="shared" si="4"/>
        <v>0</v>
      </c>
      <c r="AB486" s="20">
        <f t="shared" si="5"/>
        <v>0</v>
      </c>
      <c r="AC486" s="20">
        <f t="shared" si="6"/>
        <v>45.81462924</v>
      </c>
      <c r="AD486" s="2"/>
      <c r="AE486" s="20">
        <v>86959.226608178</v>
      </c>
      <c r="AF486" s="20">
        <f t="shared" si="7"/>
        <v>23498.26557</v>
      </c>
      <c r="AG486" s="20">
        <f t="shared" si="8"/>
        <v>4134.584005</v>
      </c>
      <c r="AH486" s="20">
        <f t="shared" si="9"/>
        <v>603.3514371</v>
      </c>
      <c r="AI486" s="20">
        <v>45.81462923534335</v>
      </c>
      <c r="AJ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16">
        <f t="shared" si="10"/>
        <v>44.2</v>
      </c>
      <c r="X487" s="17">
        <f t="shared" si="1"/>
        <v>0</v>
      </c>
      <c r="Y487" s="17">
        <f t="shared" si="2"/>
        <v>0.000000004471208125</v>
      </c>
      <c r="Z487" s="17">
        <f t="shared" si="3"/>
        <v>99852.30124</v>
      </c>
      <c r="AA487" s="17">
        <f t="shared" si="4"/>
        <v>0</v>
      </c>
      <c r="AB487" s="17">
        <f t="shared" si="5"/>
        <v>0</v>
      </c>
      <c r="AC487" s="17">
        <f t="shared" si="6"/>
        <v>63.965646</v>
      </c>
      <c r="AD487" s="2"/>
      <c r="AE487" s="17">
        <v>99852.30124211869</v>
      </c>
      <c r="AF487" s="17">
        <f t="shared" si="7"/>
        <v>28311.0428</v>
      </c>
      <c r="AG487" s="17">
        <f t="shared" si="8"/>
        <v>5229.495544</v>
      </c>
      <c r="AH487" s="17">
        <f t="shared" si="9"/>
        <v>801.5646608</v>
      </c>
      <c r="AI487" s="17">
        <v>63.96564600037645</v>
      </c>
      <c r="AJ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19">
        <f t="shared" si="10"/>
        <v>44.25</v>
      </c>
      <c r="X488" s="20">
        <f t="shared" si="1"/>
        <v>0</v>
      </c>
      <c r="Y488" s="20">
        <f t="shared" si="2"/>
        <v>0.0000001197316671</v>
      </c>
      <c r="Z488" s="20">
        <f t="shared" si="3"/>
        <v>113885.7652</v>
      </c>
      <c r="AA488" s="20">
        <f t="shared" si="4"/>
        <v>0</v>
      </c>
      <c r="AB488" s="20">
        <f t="shared" si="5"/>
        <v>0</v>
      </c>
      <c r="AC488" s="20">
        <f t="shared" si="6"/>
        <v>88.71360793</v>
      </c>
      <c r="AD488" s="2"/>
      <c r="AE488" s="20">
        <v>113885.765161458</v>
      </c>
      <c r="AF488" s="20">
        <f t="shared" si="7"/>
        <v>33880.71492</v>
      </c>
      <c r="AG488" s="20">
        <f t="shared" si="8"/>
        <v>6570.104479</v>
      </c>
      <c r="AH488" s="20">
        <f t="shared" si="9"/>
        <v>1057.789656</v>
      </c>
      <c r="AI488" s="20">
        <v>88.7136079279079</v>
      </c>
      <c r="AJ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16">
        <f t="shared" si="10"/>
        <v>44.3</v>
      </c>
      <c r="X489" s="17">
        <f t="shared" si="1"/>
        <v>0</v>
      </c>
      <c r="Y489" s="17">
        <f t="shared" si="2"/>
        <v>0.000002708426631</v>
      </c>
      <c r="Z489" s="17">
        <f t="shared" si="3"/>
        <v>129017.8397</v>
      </c>
      <c r="AA489" s="17">
        <f t="shared" si="4"/>
        <v>0</v>
      </c>
      <c r="AB489" s="17">
        <f t="shared" si="5"/>
        <v>0</v>
      </c>
      <c r="AC489" s="17">
        <f t="shared" si="6"/>
        <v>122.2178087</v>
      </c>
      <c r="AD489" s="2"/>
      <c r="AE489" s="17">
        <v>129017.83974383678</v>
      </c>
      <c r="AF489" s="17">
        <f t="shared" si="7"/>
        <v>40274.10577</v>
      </c>
      <c r="AG489" s="17">
        <f t="shared" si="8"/>
        <v>8199.158011</v>
      </c>
      <c r="AH489" s="17">
        <f t="shared" si="9"/>
        <v>1386.604526</v>
      </c>
      <c r="AI489" s="17">
        <v>122.2178086857786</v>
      </c>
      <c r="AJ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19">
        <f t="shared" si="10"/>
        <v>44.35</v>
      </c>
      <c r="X490" s="20">
        <f t="shared" si="1"/>
        <v>0</v>
      </c>
      <c r="Y490" s="20">
        <f t="shared" si="2"/>
        <v>0.00005175460794</v>
      </c>
      <c r="Z490" s="20">
        <f t="shared" si="3"/>
        <v>145177.4098</v>
      </c>
      <c r="AA490" s="20">
        <f t="shared" si="4"/>
        <v>0</v>
      </c>
      <c r="AB490" s="20">
        <f t="shared" si="5"/>
        <v>0</v>
      </c>
      <c r="AC490" s="20">
        <f t="shared" si="6"/>
        <v>167.2551605</v>
      </c>
      <c r="AD490" s="2"/>
      <c r="AE490" s="20">
        <v>145177.40984737233</v>
      </c>
      <c r="AF490" s="20">
        <f t="shared" si="7"/>
        <v>47552.7774</v>
      </c>
      <c r="AG490" s="20">
        <f t="shared" si="8"/>
        <v>10163.67426</v>
      </c>
      <c r="AH490" s="20">
        <f t="shared" si="9"/>
        <v>1805.503997</v>
      </c>
      <c r="AI490" s="20">
        <v>167.25516045676184</v>
      </c>
      <c r="AJ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16">
        <f t="shared" si="10"/>
        <v>44.4</v>
      </c>
      <c r="X491" s="17">
        <f t="shared" si="1"/>
        <v>0</v>
      </c>
      <c r="Y491" s="17">
        <f t="shared" si="2"/>
        <v>0.0008354200087</v>
      </c>
      <c r="Z491" s="17">
        <f t="shared" si="3"/>
        <v>162262.1693</v>
      </c>
      <c r="AA491" s="17">
        <f t="shared" si="4"/>
        <v>0</v>
      </c>
      <c r="AB491" s="17">
        <f t="shared" si="5"/>
        <v>0</v>
      </c>
      <c r="AC491" s="17">
        <f t="shared" si="6"/>
        <v>227.3659031</v>
      </c>
      <c r="AD491" s="2"/>
      <c r="AE491" s="17">
        <v>162262.16927634686</v>
      </c>
      <c r="AF491" s="17">
        <f t="shared" si="7"/>
        <v>55770.23957</v>
      </c>
      <c r="AG491" s="17">
        <f t="shared" si="8"/>
        <v>12514.59275</v>
      </c>
      <c r="AH491" s="17">
        <f t="shared" si="9"/>
        <v>2335.268593</v>
      </c>
      <c r="AI491" s="17">
        <v>227.36590306956398</v>
      </c>
      <c r="AJ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19">
        <f t="shared" si="10"/>
        <v>44.45</v>
      </c>
      <c r="X492" s="20">
        <f t="shared" si="1"/>
        <v>0</v>
      </c>
      <c r="Y492" s="20">
        <f t="shared" si="2"/>
        <v>0.0113915973</v>
      </c>
      <c r="Z492" s="20">
        <f t="shared" si="3"/>
        <v>180137.6396</v>
      </c>
      <c r="AA492" s="20">
        <f t="shared" si="4"/>
        <v>0</v>
      </c>
      <c r="AB492" s="20">
        <f t="shared" si="5"/>
        <v>0</v>
      </c>
      <c r="AC492" s="20">
        <f t="shared" si="6"/>
        <v>307.0237133</v>
      </c>
      <c r="AD492" s="2"/>
      <c r="AE492" s="20">
        <v>180137.63962468537</v>
      </c>
      <c r="AF492" s="20">
        <f t="shared" si="7"/>
        <v>64968.93886</v>
      </c>
      <c r="AG492" s="20">
        <f t="shared" si="8"/>
        <v>15306.19374</v>
      </c>
      <c r="AH492" s="20">
        <f t="shared" si="9"/>
        <v>3000.321308</v>
      </c>
      <c r="AI492" s="20">
        <v>307.0237133481332</v>
      </c>
      <c r="AJ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16">
        <f t="shared" si="10"/>
        <v>44.5</v>
      </c>
      <c r="X493" s="17">
        <f t="shared" si="1"/>
        <v>0</v>
      </c>
      <c r="Y493" s="17">
        <f t="shared" si="2"/>
        <v>0.1312164481</v>
      </c>
      <c r="Z493" s="17">
        <f t="shared" si="3"/>
        <v>198637.2134</v>
      </c>
      <c r="AA493" s="17">
        <f t="shared" si="4"/>
        <v>0</v>
      </c>
      <c r="AB493" s="17">
        <f t="shared" si="5"/>
        <v>0</v>
      </c>
      <c r="AC493" s="17">
        <f t="shared" si="6"/>
        <v>411.8312296</v>
      </c>
      <c r="AD493" s="2"/>
      <c r="AE493" s="17">
        <v>198637.21335279776</v>
      </c>
      <c r="AF493" s="17">
        <f t="shared" si="7"/>
        <v>75177.11891</v>
      </c>
      <c r="AG493" s="17">
        <f t="shared" si="8"/>
        <v>18595.25734</v>
      </c>
      <c r="AH493" s="17">
        <f t="shared" si="9"/>
        <v>3829.051763</v>
      </c>
      <c r="AI493" s="17">
        <v>411.83122959183163</v>
      </c>
      <c r="AJ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19">
        <f t="shared" si="10"/>
        <v>44.55</v>
      </c>
      <c r="X494" s="20">
        <f t="shared" si="1"/>
        <v>0</v>
      </c>
      <c r="Y494" s="20">
        <f t="shared" si="2"/>
        <v>1.2767793</v>
      </c>
      <c r="Z494" s="20">
        <f t="shared" si="3"/>
        <v>217563.3394</v>
      </c>
      <c r="AA494" s="20">
        <f t="shared" si="4"/>
        <v>0</v>
      </c>
      <c r="AB494" s="20">
        <f t="shared" si="5"/>
        <v>0</v>
      </c>
      <c r="AC494" s="20">
        <f t="shared" si="6"/>
        <v>548.7409936</v>
      </c>
      <c r="AD494" s="2"/>
      <c r="AE494" s="20">
        <v>217563.33937124585</v>
      </c>
      <c r="AF494" s="20">
        <f t="shared" si="7"/>
        <v>86405.6662</v>
      </c>
      <c r="AG494" s="20">
        <f t="shared" si="8"/>
        <v>22439.93947</v>
      </c>
      <c r="AH494" s="20">
        <f t="shared" si="9"/>
        <v>4854.083603</v>
      </c>
      <c r="AI494" s="20">
        <v>548.7409936327082</v>
      </c>
      <c r="AJ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16">
        <f t="shared" si="10"/>
        <v>44.6</v>
      </c>
      <c r="X495" s="17">
        <f t="shared" si="1"/>
        <v>0</v>
      </c>
      <c r="Y495" s="17">
        <f t="shared" si="2"/>
        <v>10.49463384</v>
      </c>
      <c r="Z495" s="17">
        <f t="shared" si="3"/>
        <v>236689.9263</v>
      </c>
      <c r="AA495" s="17">
        <f t="shared" si="4"/>
        <v>0</v>
      </c>
      <c r="AB495" s="17">
        <f t="shared" si="5"/>
        <v>0</v>
      </c>
      <c r="AC495" s="17">
        <f t="shared" si="6"/>
        <v>726.3004383</v>
      </c>
      <c r="AD495" s="2"/>
      <c r="AE495" s="17">
        <v>236689.9263176541</v>
      </c>
      <c r="AF495" s="17">
        <f t="shared" si="7"/>
        <v>98645.07543</v>
      </c>
      <c r="AG495" s="17">
        <f t="shared" si="8"/>
        <v>26898.3519</v>
      </c>
      <c r="AH495" s="17">
        <f t="shared" si="9"/>
        <v>6112.456902</v>
      </c>
      <c r="AI495" s="17">
        <v>726.3004382816831</v>
      </c>
      <c r="AJ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19">
        <f t="shared" si="10"/>
        <v>44.65</v>
      </c>
      <c r="X496" s="20">
        <f t="shared" si="1"/>
        <v>0</v>
      </c>
      <c r="Y496" s="20">
        <f t="shared" si="2"/>
        <v>72.86897317</v>
      </c>
      <c r="Z496" s="20">
        <f t="shared" si="3"/>
        <v>255765.9867</v>
      </c>
      <c r="AA496" s="20">
        <f t="shared" si="4"/>
        <v>0</v>
      </c>
      <c r="AB496" s="20">
        <f t="shared" si="5"/>
        <v>0</v>
      </c>
      <c r="AC496" s="20">
        <f t="shared" si="6"/>
        <v>954.9177788</v>
      </c>
      <c r="AD496" s="2"/>
      <c r="AE496" s="20">
        <v>255765.98666448658</v>
      </c>
      <c r="AF496" s="20">
        <f t="shared" si="7"/>
        <v>111862.6843</v>
      </c>
      <c r="AG496" s="20">
        <f t="shared" si="8"/>
        <v>32026.84533</v>
      </c>
      <c r="AH496" s="20">
        <f t="shared" si="9"/>
        <v>7645.69398</v>
      </c>
      <c r="AI496" s="20">
        <v>954.9177788171942</v>
      </c>
      <c r="AJ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16">
        <f t="shared" si="10"/>
        <v>44.7</v>
      </c>
      <c r="X497" s="17">
        <f t="shared" si="1"/>
        <v>0.000000009406444381</v>
      </c>
      <c r="Y497" s="17">
        <f t="shared" si="2"/>
        <v>427.4072758</v>
      </c>
      <c r="Z497" s="17">
        <f t="shared" si="3"/>
        <v>274520.4861</v>
      </c>
      <c r="AA497" s="17">
        <f t="shared" si="4"/>
        <v>0</v>
      </c>
      <c r="AB497" s="17">
        <f t="shared" si="5"/>
        <v>0</v>
      </c>
      <c r="AC497" s="17">
        <f t="shared" si="6"/>
        <v>1247.14349</v>
      </c>
      <c r="AD497" s="2"/>
      <c r="AE497" s="17">
        <v>274520.4861268445</v>
      </c>
      <c r="AF497" s="17">
        <f t="shared" si="7"/>
        <v>126000.3364</v>
      </c>
      <c r="AG497" s="17">
        <f t="shared" si="8"/>
        <v>37878.01009</v>
      </c>
      <c r="AH497" s="17">
        <f t="shared" si="9"/>
        <v>9499.71456</v>
      </c>
      <c r="AI497" s="17">
        <v>1247.1434902055612</v>
      </c>
      <c r="AJ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19">
        <f t="shared" si="10"/>
        <v>44.75</v>
      </c>
      <c r="X498" s="20">
        <f t="shared" si="1"/>
        <v>0.000005669152564</v>
      </c>
      <c r="Y498" s="20">
        <f t="shared" si="2"/>
        <v>2117.703108</v>
      </c>
      <c r="Z498" s="20">
        <f t="shared" si="3"/>
        <v>292668.3006</v>
      </c>
      <c r="AA498" s="20">
        <f t="shared" si="4"/>
        <v>0</v>
      </c>
      <c r="AB498" s="20">
        <f t="shared" si="5"/>
        <v>0</v>
      </c>
      <c r="AC498" s="20">
        <f t="shared" si="6"/>
        <v>1617.95948</v>
      </c>
      <c r="AD498" s="2"/>
      <c r="AE498" s="20">
        <v>292668.30059620755</v>
      </c>
      <c r="AF498" s="20">
        <f t="shared" si="7"/>
        <v>140972.6338</v>
      </c>
      <c r="AG498" s="20">
        <f t="shared" si="8"/>
        <v>44498.42607</v>
      </c>
      <c r="AH498" s="20">
        <f t="shared" si="9"/>
        <v>11724.56515</v>
      </c>
      <c r="AI498" s="20">
        <v>1617.959480434499</v>
      </c>
      <c r="AJ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16">
        <f t="shared" si="10"/>
        <v>44.8</v>
      </c>
      <c r="X499" s="17">
        <f t="shared" si="1"/>
        <v>0.001739828356</v>
      </c>
      <c r="Y499" s="17">
        <f t="shared" si="2"/>
        <v>8863.640621</v>
      </c>
      <c r="Z499" s="17">
        <f t="shared" si="3"/>
        <v>309917.1206</v>
      </c>
      <c r="AA499" s="17">
        <f t="shared" si="4"/>
        <v>0</v>
      </c>
      <c r="AB499" s="17">
        <f t="shared" si="5"/>
        <v>0</v>
      </c>
      <c r="AC499" s="17">
        <f t="shared" si="6"/>
        <v>2085.065153</v>
      </c>
      <c r="AD499" s="2"/>
      <c r="AE499" s="17">
        <v>309917.12059091934</v>
      </c>
      <c r="AF499" s="17">
        <f t="shared" si="7"/>
        <v>156665.931</v>
      </c>
      <c r="AG499" s="17">
        <f t="shared" si="8"/>
        <v>51926.2125</v>
      </c>
      <c r="AH499" s="17">
        <f t="shared" si="9"/>
        <v>14373.92836</v>
      </c>
      <c r="AI499" s="17">
        <v>2085.065152713</v>
      </c>
      <c r="AJ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19">
        <f t="shared" si="10"/>
        <v>44.85</v>
      </c>
      <c r="X500" s="20">
        <f t="shared" si="1"/>
        <v>0.2718881458</v>
      </c>
      <c r="Y500" s="20">
        <f t="shared" si="2"/>
        <v>31338.85364</v>
      </c>
      <c r="Z500" s="20">
        <f t="shared" si="3"/>
        <v>325975.0849</v>
      </c>
      <c r="AA500" s="20">
        <f t="shared" si="4"/>
        <v>0</v>
      </c>
      <c r="AB500" s="20">
        <f t="shared" si="5"/>
        <v>0</v>
      </c>
      <c r="AC500" s="20">
        <f t="shared" si="6"/>
        <v>2669.146375</v>
      </c>
      <c r="AD500" s="2"/>
      <c r="AE500" s="20">
        <v>325975.0848826558</v>
      </c>
      <c r="AF500" s="20">
        <f t="shared" si="7"/>
        <v>172938.2081</v>
      </c>
      <c r="AG500" s="20">
        <f t="shared" si="8"/>
        <v>60188.44789</v>
      </c>
      <c r="AH500" s="20">
        <f t="shared" si="9"/>
        <v>17504.38073</v>
      </c>
      <c r="AI500" s="20">
        <v>2669.1463751607325</v>
      </c>
      <c r="AJ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16">
        <f t="shared" si="10"/>
        <v>44.9</v>
      </c>
      <c r="X501" s="17">
        <f t="shared" si="1"/>
        <v>21.63564011</v>
      </c>
      <c r="Y501" s="17">
        <f t="shared" si="2"/>
        <v>93600.45829</v>
      </c>
      <c r="Z501" s="17">
        <f t="shared" si="3"/>
        <v>340558.8745</v>
      </c>
      <c r="AA501" s="17">
        <f t="shared" si="4"/>
        <v>0</v>
      </c>
      <c r="AB501" s="17">
        <f t="shared" si="5"/>
        <v>0</v>
      </c>
      <c r="AC501" s="17">
        <f t="shared" si="6"/>
        <v>3394.110083</v>
      </c>
      <c r="AD501" s="2"/>
      <c r="AE501" s="17">
        <v>340558.8744670361</v>
      </c>
      <c r="AF501" s="17">
        <f t="shared" si="7"/>
        <v>189619.9321</v>
      </c>
      <c r="AG501" s="17">
        <f t="shared" si="8"/>
        <v>69298.54936</v>
      </c>
      <c r="AH501" s="17">
        <f t="shared" si="9"/>
        <v>21174.3735</v>
      </c>
      <c r="AI501" s="17">
        <v>3394.1100833417827</v>
      </c>
      <c r="AJ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19">
        <f t="shared" si="10"/>
        <v>44.95</v>
      </c>
      <c r="X502" s="20">
        <f t="shared" si="1"/>
        <v>876.6875364</v>
      </c>
      <c r="Y502" s="20">
        <f t="shared" si="2"/>
        <v>236154.783</v>
      </c>
      <c r="Z502" s="20">
        <f t="shared" si="3"/>
        <v>353401.9591</v>
      </c>
      <c r="AA502" s="20">
        <f t="shared" si="4"/>
        <v>0</v>
      </c>
      <c r="AB502" s="20">
        <f t="shared" si="5"/>
        <v>0</v>
      </c>
      <c r="AC502" s="20">
        <f t="shared" si="6"/>
        <v>4287.264017</v>
      </c>
      <c r="AD502" s="2"/>
      <c r="AE502" s="20">
        <v>353401.95907804335</v>
      </c>
      <c r="AF502" s="20">
        <f t="shared" si="7"/>
        <v>206515.9786</v>
      </c>
      <c r="AG502" s="20">
        <f t="shared" si="8"/>
        <v>79253.71788</v>
      </c>
      <c r="AH502" s="20">
        <f t="shared" si="9"/>
        <v>25442.91876</v>
      </c>
      <c r="AI502" s="20">
        <v>4287.264016729717</v>
      </c>
      <c r="AJ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16">
        <f t="shared" si="10"/>
        <v>45</v>
      </c>
      <c r="X503" s="17">
        <f t="shared" si="1"/>
        <v>18089.04019</v>
      </c>
      <c r="Y503" s="17">
        <f t="shared" si="2"/>
        <v>503314.473</v>
      </c>
      <c r="Z503" s="17">
        <f t="shared" si="3"/>
        <v>364262.6641</v>
      </c>
      <c r="AA503" s="17">
        <f t="shared" si="4"/>
        <v>0</v>
      </c>
      <c r="AB503" s="17">
        <f t="shared" si="5"/>
        <v>0</v>
      </c>
      <c r="AC503" s="17">
        <f t="shared" si="6"/>
        <v>5379.418173</v>
      </c>
      <c r="AD503" s="2"/>
      <c r="AE503" s="17">
        <v>364262.66413061344</v>
      </c>
      <c r="AF503" s="17">
        <f t="shared" si="7"/>
        <v>223408.6445</v>
      </c>
      <c r="AG503" s="17">
        <f t="shared" si="8"/>
        <v>90032.56998</v>
      </c>
      <c r="AH503" s="17">
        <f t="shared" si="9"/>
        <v>30367.97523</v>
      </c>
      <c r="AI503" s="17">
        <v>5379.418173452897</v>
      </c>
      <c r="AJ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19">
        <f t="shared" si="10"/>
        <v>45.05</v>
      </c>
      <c r="X504" s="20">
        <f t="shared" si="1"/>
        <v>190056.1042</v>
      </c>
      <c r="Y504" s="20">
        <f t="shared" si="2"/>
        <v>906162.3079</v>
      </c>
      <c r="Z504" s="20">
        <f t="shared" si="3"/>
        <v>372931.7186</v>
      </c>
      <c r="AA504" s="20">
        <f t="shared" si="4"/>
        <v>0</v>
      </c>
      <c r="AB504" s="20">
        <f t="shared" si="5"/>
        <v>0</v>
      </c>
      <c r="AC504" s="20">
        <f t="shared" si="6"/>
        <v>6704.882242</v>
      </c>
      <c r="AD504" s="2"/>
      <c r="AE504" s="20">
        <v>372931.7186219016</v>
      </c>
      <c r="AF504" s="20">
        <f t="shared" si="7"/>
        <v>240061.7283</v>
      </c>
      <c r="AG504" s="20">
        <f t="shared" si="8"/>
        <v>101593.0857</v>
      </c>
      <c r="AH504" s="20">
        <f t="shared" si="9"/>
        <v>36004.54154</v>
      </c>
      <c r="AI504" s="20">
        <v>6704.882242341309</v>
      </c>
      <c r="AJ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16">
        <f t="shared" si="10"/>
        <v>45.1</v>
      </c>
      <c r="X505" s="17">
        <f t="shared" si="1"/>
        <v>1016819.18</v>
      </c>
      <c r="Y505" s="17">
        <f t="shared" si="2"/>
        <v>1378149.939</v>
      </c>
      <c r="Z505" s="17">
        <f t="shared" si="3"/>
        <v>379238.9554</v>
      </c>
      <c r="AA505" s="17">
        <f t="shared" si="4"/>
        <v>0</v>
      </c>
      <c r="AB505" s="17">
        <f t="shared" si="5"/>
        <v>0</v>
      </c>
      <c r="AC505" s="17">
        <f t="shared" si="6"/>
        <v>8301.331856</v>
      </c>
      <c r="AD505" s="2"/>
      <c r="AE505" s="17">
        <v>379238.955396333</v>
      </c>
      <c r="AF505" s="17">
        <f t="shared" si="7"/>
        <v>256225.6032</v>
      </c>
      <c r="AG505" s="17">
        <f t="shared" si="8"/>
        <v>113871.006</v>
      </c>
      <c r="AH505" s="17">
        <f t="shared" si="9"/>
        <v>42402.48189</v>
      </c>
      <c r="AI505" s="17">
        <v>8301.331856050349</v>
      </c>
      <c r="AJ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19">
        <f t="shared" si="10"/>
        <v>45.15</v>
      </c>
      <c r="X506" s="20">
        <f t="shared" si="1"/>
        <v>2770136.974</v>
      </c>
      <c r="Y506" s="20">
        <f t="shared" si="2"/>
        <v>1770560.817</v>
      </c>
      <c r="Z506" s="20">
        <f t="shared" si="3"/>
        <v>383058.8644</v>
      </c>
      <c r="AA506" s="20">
        <f t="shared" si="4"/>
        <v>0</v>
      </c>
      <c r="AB506" s="20">
        <f t="shared" si="5"/>
        <v>0</v>
      </c>
      <c r="AC506" s="20">
        <f t="shared" si="6"/>
        <v>10209.51634</v>
      </c>
      <c r="AD506" s="2"/>
      <c r="AE506" s="20">
        <v>383058.86436324124</v>
      </c>
      <c r="AF506" s="20">
        <f t="shared" si="7"/>
        <v>271643.1519</v>
      </c>
      <c r="AG506" s="20">
        <f t="shared" si="8"/>
        <v>126778.8082</v>
      </c>
      <c r="AH506" s="20">
        <f t="shared" si="9"/>
        <v>49604.12724</v>
      </c>
      <c r="AI506" s="20">
        <v>10209.516340725902</v>
      </c>
      <c r="AJ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16">
        <f t="shared" si="10"/>
        <v>45.2</v>
      </c>
      <c r="X507" s="17">
        <f t="shared" si="1"/>
        <v>3842858.26</v>
      </c>
      <c r="Y507" s="17">
        <f t="shared" si="2"/>
        <v>1921538.673</v>
      </c>
      <c r="Z507" s="17">
        <f t="shared" si="3"/>
        <v>384314.7456</v>
      </c>
      <c r="AA507" s="17">
        <f t="shared" si="4"/>
        <v>0</v>
      </c>
      <c r="AB507" s="17">
        <f t="shared" si="5"/>
        <v>0</v>
      </c>
      <c r="AC507" s="17">
        <f t="shared" si="6"/>
        <v>12472.78205</v>
      </c>
      <c r="AD507" s="2"/>
      <c r="AE507" s="17">
        <v>384314.7455883984</v>
      </c>
      <c r="AF507" s="17">
        <f t="shared" si="7"/>
        <v>286056.3802</v>
      </c>
      <c r="AG507" s="17">
        <f t="shared" si="8"/>
        <v>140205.3784</v>
      </c>
      <c r="AH507" s="17">
        <f t="shared" si="9"/>
        <v>57641.71472</v>
      </c>
      <c r="AI507" s="17">
        <v>12472.782048621351</v>
      </c>
      <c r="AJ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19">
        <f t="shared" si="10"/>
        <v>45.25</v>
      </c>
      <c r="X508" s="20">
        <f t="shared" si="1"/>
        <v>2714582.82</v>
      </c>
      <c r="Y508" s="20">
        <f t="shared" si="2"/>
        <v>1761616.267</v>
      </c>
      <c r="Z508" s="20">
        <f t="shared" si="3"/>
        <v>382981.2703</v>
      </c>
      <c r="AA508" s="20">
        <f t="shared" si="4"/>
        <v>0</v>
      </c>
      <c r="AB508" s="20">
        <f t="shared" si="5"/>
        <v>0</v>
      </c>
      <c r="AC508" s="20">
        <f t="shared" si="6"/>
        <v>15136.38865</v>
      </c>
      <c r="AD508" s="2"/>
      <c r="AE508" s="20">
        <v>382981.2703050893</v>
      </c>
      <c r="AF508" s="20">
        <f t="shared" si="7"/>
        <v>299213.4815</v>
      </c>
      <c r="AG508" s="20">
        <f t="shared" si="8"/>
        <v>154016.4768</v>
      </c>
      <c r="AH508" s="20">
        <f t="shared" si="9"/>
        <v>66534.74765</v>
      </c>
      <c r="AI508" s="20">
        <v>15136.388649834113</v>
      </c>
      <c r="AJ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16">
        <f t="shared" si="10"/>
        <v>45.3</v>
      </c>
      <c r="X509" s="17">
        <f t="shared" si="1"/>
        <v>976444.2088</v>
      </c>
      <c r="Y509" s="17">
        <f t="shared" si="2"/>
        <v>1364260.787</v>
      </c>
      <c r="Z509" s="17">
        <f t="shared" si="3"/>
        <v>379085.3304</v>
      </c>
      <c r="AA509" s="17">
        <f t="shared" si="4"/>
        <v>0</v>
      </c>
      <c r="AB509" s="17">
        <f t="shared" si="5"/>
        <v>0</v>
      </c>
      <c r="AC509" s="17">
        <f t="shared" si="6"/>
        <v>18246.60116</v>
      </c>
      <c r="AD509" s="2"/>
      <c r="AE509" s="17">
        <v>379085.33039559715</v>
      </c>
      <c r="AF509" s="17">
        <f t="shared" si="7"/>
        <v>310876.0872</v>
      </c>
      <c r="AG509" s="17">
        <f t="shared" si="8"/>
        <v>168056.0675</v>
      </c>
      <c r="AH509" s="17">
        <f t="shared" si="9"/>
        <v>76287.37648</v>
      </c>
      <c r="AI509" s="17">
        <v>18246.601162205287</v>
      </c>
      <c r="AJ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19">
        <f t="shared" si="10"/>
        <v>45.35</v>
      </c>
      <c r="X510" s="20">
        <f t="shared" si="1"/>
        <v>178849.3555</v>
      </c>
      <c r="Y510" s="20">
        <f t="shared" si="2"/>
        <v>892498.2697</v>
      </c>
      <c r="Z510" s="20">
        <f t="shared" si="3"/>
        <v>372705.1365</v>
      </c>
      <c r="AA510" s="20">
        <f t="shared" si="4"/>
        <v>0</v>
      </c>
      <c r="AB510" s="20">
        <f t="shared" si="5"/>
        <v>0</v>
      </c>
      <c r="AC510" s="20">
        <f t="shared" si="6"/>
        <v>21849.54815</v>
      </c>
      <c r="AD510" s="2"/>
      <c r="AE510" s="20">
        <v>372705.1365462422</v>
      </c>
      <c r="AF510" s="20">
        <f t="shared" si="7"/>
        <v>320826.4145</v>
      </c>
      <c r="AG510" s="20">
        <f t="shared" si="8"/>
        <v>182148.5468</v>
      </c>
      <c r="AH510" s="20">
        <f t="shared" si="9"/>
        <v>86885.91697</v>
      </c>
      <c r="AI510" s="20">
        <v>21849.548148826612</v>
      </c>
      <c r="AJ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16">
        <f t="shared" si="10"/>
        <v>45.4</v>
      </c>
      <c r="X511" s="17">
        <f t="shared" si="1"/>
        <v>16681.03266</v>
      </c>
      <c r="Y511" s="17">
        <f t="shared" si="2"/>
        <v>493220.6726</v>
      </c>
      <c r="Z511" s="17">
        <f t="shared" si="3"/>
        <v>363967.6073</v>
      </c>
      <c r="AA511" s="17">
        <f t="shared" si="4"/>
        <v>0</v>
      </c>
      <c r="AB511" s="17">
        <f t="shared" si="5"/>
        <v>0</v>
      </c>
      <c r="AC511" s="17">
        <f t="shared" si="6"/>
        <v>25989.84641</v>
      </c>
      <c r="AD511" s="2"/>
      <c r="AE511" s="17">
        <v>363967.6073231429</v>
      </c>
      <c r="AF511" s="17">
        <f t="shared" si="7"/>
        <v>328874.0142</v>
      </c>
      <c r="AG511" s="17">
        <f t="shared" si="8"/>
        <v>196101.866</v>
      </c>
      <c r="AH511" s="17">
        <f t="shared" si="9"/>
        <v>98296.63288</v>
      </c>
      <c r="AI511" s="17">
        <v>25989.846410973332</v>
      </c>
      <c r="AJ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19">
        <f t="shared" si="10"/>
        <v>45.45</v>
      </c>
      <c r="X512" s="20">
        <f t="shared" si="1"/>
        <v>792.235125</v>
      </c>
      <c r="Y512" s="20">
        <f t="shared" si="2"/>
        <v>230249.6938</v>
      </c>
      <c r="Z512" s="20">
        <f t="shared" si="3"/>
        <v>353044.1709</v>
      </c>
      <c r="AA512" s="20">
        <f t="shared" si="4"/>
        <v>0</v>
      </c>
      <c r="AB512" s="20">
        <f t="shared" si="5"/>
        <v>0</v>
      </c>
      <c r="AC512" s="20">
        <f t="shared" si="6"/>
        <v>30709.00449</v>
      </c>
      <c r="AD512" s="2"/>
      <c r="AE512" s="20">
        <v>353044.17092105106</v>
      </c>
      <c r="AF512" s="20">
        <f t="shared" si="7"/>
        <v>334861.8265</v>
      </c>
      <c r="AG512" s="20">
        <f t="shared" si="8"/>
        <v>209711.4984</v>
      </c>
      <c r="AH512" s="20">
        <f t="shared" si="9"/>
        <v>110463.9166</v>
      </c>
      <c r="AI512" s="20">
        <v>30709.004487048012</v>
      </c>
      <c r="AJ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16">
        <f t="shared" si="10"/>
        <v>45.5</v>
      </c>
      <c r="X513" s="17">
        <f t="shared" si="1"/>
        <v>19.15935402</v>
      </c>
      <c r="Y513" s="17">
        <f t="shared" si="2"/>
        <v>90798.93477</v>
      </c>
      <c r="Z513" s="17">
        <f t="shared" si="3"/>
        <v>340145.1736</v>
      </c>
      <c r="AA513" s="17">
        <f t="shared" si="4"/>
        <v>0</v>
      </c>
      <c r="AB513" s="17">
        <f t="shared" si="5"/>
        <v>0</v>
      </c>
      <c r="AC513" s="17">
        <f t="shared" si="6"/>
        <v>36043.63099</v>
      </c>
      <c r="AD513" s="2"/>
      <c r="AE513" s="17">
        <v>340145.1735594154</v>
      </c>
      <c r="AF513" s="17">
        <f t="shared" si="7"/>
        <v>338671.277</v>
      </c>
      <c r="AG513" s="17">
        <f t="shared" si="8"/>
        <v>222765.1563</v>
      </c>
      <c r="AH513" s="17">
        <f t="shared" si="9"/>
        <v>123309.0003</v>
      </c>
      <c r="AI513" s="17">
        <v>36043.630985307565</v>
      </c>
      <c r="AJ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19">
        <f t="shared" si="10"/>
        <v>45.55</v>
      </c>
      <c r="X514" s="20">
        <f t="shared" si="1"/>
        <v>0.2359409038</v>
      </c>
      <c r="Y514" s="20">
        <f t="shared" si="2"/>
        <v>30247.28146</v>
      </c>
      <c r="Z514" s="20">
        <f t="shared" si="3"/>
        <v>325513.1492</v>
      </c>
      <c r="AA514" s="20">
        <f t="shared" si="4"/>
        <v>0</v>
      </c>
      <c r="AB514" s="20">
        <f t="shared" si="5"/>
        <v>0</v>
      </c>
      <c r="AC514" s="20">
        <f t="shared" si="6"/>
        <v>42023.48868</v>
      </c>
      <c r="AD514" s="2"/>
      <c r="AE514" s="20">
        <v>325513.14922504016</v>
      </c>
      <c r="AF514" s="20">
        <f t="shared" si="7"/>
        <v>340226.1806</v>
      </c>
      <c r="AG514" s="20">
        <f t="shared" si="8"/>
        <v>235048.1202</v>
      </c>
      <c r="AH514" s="20">
        <f t="shared" si="9"/>
        <v>136729.3218</v>
      </c>
      <c r="AI514" s="20">
        <v>42023.488682540046</v>
      </c>
      <c r="AJ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16">
        <f t="shared" si="10"/>
        <v>45.6</v>
      </c>
      <c r="X515" s="17">
        <f t="shared" si="1"/>
        <v>0.001479521304</v>
      </c>
      <c r="Y515" s="17">
        <f t="shared" si="2"/>
        <v>8511.690895</v>
      </c>
      <c r="Z515" s="17">
        <f t="shared" si="3"/>
        <v>309415.2513</v>
      </c>
      <c r="AA515" s="17">
        <f t="shared" si="4"/>
        <v>0</v>
      </c>
      <c r="AB515" s="17">
        <f t="shared" si="5"/>
        <v>0</v>
      </c>
      <c r="AC515" s="17">
        <f t="shared" si="6"/>
        <v>48669.45067</v>
      </c>
      <c r="AD515" s="2"/>
      <c r="AE515" s="17">
        <v>309415.2513070406</v>
      </c>
      <c r="AF515" s="17">
        <f t="shared" si="7"/>
        <v>339495.2757</v>
      </c>
      <c r="AG515" s="17">
        <f t="shared" si="8"/>
        <v>246349.0002</v>
      </c>
      <c r="AH515" s="17">
        <f t="shared" si="9"/>
        <v>150598.6524</v>
      </c>
      <c r="AI515" s="17">
        <v>48669.45067204995</v>
      </c>
      <c r="AJ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19">
        <f t="shared" si="10"/>
        <v>45.65</v>
      </c>
      <c r="X516" s="20">
        <f t="shared" si="1"/>
        <v>0.000004724271137</v>
      </c>
      <c r="Y516" s="20">
        <f t="shared" si="2"/>
        <v>2023.341744</v>
      </c>
      <c r="Z516" s="20">
        <f t="shared" si="3"/>
        <v>292135.1753</v>
      </c>
      <c r="AA516" s="20">
        <f t="shared" si="4"/>
        <v>0</v>
      </c>
      <c r="AB516" s="20">
        <f t="shared" si="5"/>
        <v>0.0000000006846546055</v>
      </c>
      <c r="AC516" s="20">
        <f t="shared" si="6"/>
        <v>55991.42973</v>
      </c>
      <c r="AD516" s="2"/>
      <c r="AE516" s="20">
        <v>292135.1753146009</v>
      </c>
      <c r="AF516" s="20">
        <f t="shared" si="7"/>
        <v>336493.2692</v>
      </c>
      <c r="AG516" s="20">
        <f t="shared" si="8"/>
        <v>256465.722</v>
      </c>
      <c r="AH516" s="20">
        <f t="shared" si="9"/>
        <v>164768.0703</v>
      </c>
      <c r="AI516" s="20">
        <v>55991.429730261494</v>
      </c>
      <c r="AJ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16">
        <f t="shared" si="10"/>
        <v>45.7</v>
      </c>
      <c r="X517" s="17">
        <f t="shared" si="1"/>
        <v>0.000000007681464265</v>
      </c>
      <c r="Y517" s="17">
        <f t="shared" si="2"/>
        <v>406.2997373</v>
      </c>
      <c r="Z517" s="17">
        <f t="shared" si="3"/>
        <v>273964.9122</v>
      </c>
      <c r="AA517" s="17">
        <f t="shared" si="4"/>
        <v>0</v>
      </c>
      <c r="AB517" s="17">
        <f t="shared" si="5"/>
        <v>0.00000001925833134</v>
      </c>
      <c r="AC517" s="17">
        <f t="shared" si="6"/>
        <v>63986.36545</v>
      </c>
      <c r="AD517" s="2"/>
      <c r="AE517" s="17">
        <v>273964.9121881385</v>
      </c>
      <c r="AF517" s="17">
        <f t="shared" si="7"/>
        <v>331280.3443</v>
      </c>
      <c r="AG517" s="17">
        <f t="shared" si="8"/>
        <v>265211.5005</v>
      </c>
      <c r="AH517" s="17">
        <f t="shared" si="9"/>
        <v>179067.829</v>
      </c>
      <c r="AI517" s="17">
        <v>63986.365448700446</v>
      </c>
      <c r="AJ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19">
        <f t="shared" si="10"/>
        <v>45.75</v>
      </c>
      <c r="X518" s="20">
        <f t="shared" si="1"/>
        <v>0</v>
      </c>
      <c r="Y518" s="20">
        <f t="shared" si="2"/>
        <v>68.92039271</v>
      </c>
      <c r="Z518" s="20">
        <f t="shared" si="3"/>
        <v>255196.6638</v>
      </c>
      <c r="AA518" s="20">
        <f t="shared" si="4"/>
        <v>0</v>
      </c>
      <c r="AB518" s="20">
        <f t="shared" si="5"/>
        <v>0.0000004584427142</v>
      </c>
      <c r="AC518" s="20">
        <f t="shared" si="6"/>
        <v>72636.36443</v>
      </c>
      <c r="AD518" s="2"/>
      <c r="AE518" s="20">
        <v>255196.6638274084</v>
      </c>
      <c r="AF518" s="20">
        <f t="shared" si="7"/>
        <v>323960.1543</v>
      </c>
      <c r="AG518" s="20">
        <f t="shared" si="8"/>
        <v>272420.5588</v>
      </c>
      <c r="AH518" s="20">
        <f t="shared" si="9"/>
        <v>193310.1353</v>
      </c>
      <c r="AI518" s="20">
        <v>72636.36443157149</v>
      </c>
      <c r="AJ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16">
        <f t="shared" si="10"/>
        <v>45.8</v>
      </c>
      <c r="X519" s="17">
        <f t="shared" si="1"/>
        <v>0</v>
      </c>
      <c r="Y519" s="17">
        <f t="shared" si="2"/>
        <v>9.875812756</v>
      </c>
      <c r="Z519" s="17">
        <f t="shared" si="3"/>
        <v>236115.2277</v>
      </c>
      <c r="AA519" s="17">
        <f t="shared" si="4"/>
        <v>0</v>
      </c>
      <c r="AB519" s="17">
        <f t="shared" si="5"/>
        <v>0.000009235720798</v>
      </c>
      <c r="AC519" s="17">
        <f t="shared" si="6"/>
        <v>81907.09588</v>
      </c>
      <c r="AD519" s="2"/>
      <c r="AE519" s="17">
        <v>236115.22766660244</v>
      </c>
      <c r="AF519" s="17">
        <f t="shared" si="7"/>
        <v>314676.3951</v>
      </c>
      <c r="AG519" s="17">
        <f t="shared" si="8"/>
        <v>277953.3468</v>
      </c>
      <c r="AH519" s="17">
        <f t="shared" si="9"/>
        <v>207292.8033</v>
      </c>
      <c r="AI519" s="17">
        <v>81907.09587620986</v>
      </c>
      <c r="AJ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19">
        <f t="shared" si="10"/>
        <v>45.85</v>
      </c>
      <c r="X520" s="20">
        <f t="shared" si="1"/>
        <v>0</v>
      </c>
      <c r="Y520" s="20">
        <f t="shared" si="2"/>
        <v>1.195423676</v>
      </c>
      <c r="Z520" s="20">
        <f t="shared" si="3"/>
        <v>216991.1178</v>
      </c>
      <c r="AA520" s="20">
        <f t="shared" si="4"/>
        <v>0</v>
      </c>
      <c r="AB520" s="20">
        <f t="shared" si="5"/>
        <v>0.0001574620189</v>
      </c>
      <c r="AC520" s="20">
        <f t="shared" si="6"/>
        <v>91746.54711</v>
      </c>
      <c r="AD520" s="2"/>
      <c r="AE520" s="20">
        <v>216991.1177631022</v>
      </c>
      <c r="AF520" s="20">
        <f t="shared" si="7"/>
        <v>303608.1158</v>
      </c>
      <c r="AG520" s="20">
        <f t="shared" si="8"/>
        <v>281701.0317</v>
      </c>
      <c r="AH520" s="20">
        <f t="shared" si="9"/>
        <v>220803.7108</v>
      </c>
      <c r="AI520" s="20">
        <v>91746.54711252812</v>
      </c>
      <c r="AJ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16">
        <f t="shared" si="10"/>
        <v>45.9</v>
      </c>
      <c r="X521" s="17">
        <f t="shared" si="1"/>
        <v>0</v>
      </c>
      <c r="Y521" s="17">
        <f t="shared" si="2"/>
        <v>0.1222347702</v>
      </c>
      <c r="Z521" s="17">
        <f t="shared" si="3"/>
        <v>198074.6391</v>
      </c>
      <c r="AA521" s="17">
        <f t="shared" si="4"/>
        <v>0</v>
      </c>
      <c r="AB521" s="17">
        <f t="shared" si="5"/>
        <v>0.002271957147</v>
      </c>
      <c r="AC521" s="17">
        <f t="shared" si="6"/>
        <v>102084.2403</v>
      </c>
      <c r="AD521" s="2"/>
      <c r="AE521" s="17">
        <v>198074.6390844871</v>
      </c>
      <c r="AF521" s="17">
        <f t="shared" si="7"/>
        <v>290963.9794</v>
      </c>
      <c r="AG521" s="17">
        <f t="shared" si="8"/>
        <v>283589.0574</v>
      </c>
      <c r="AH521" s="17">
        <f t="shared" si="9"/>
        <v>233625.9361</v>
      </c>
      <c r="AI521" s="17">
        <v>102084.24034046743</v>
      </c>
      <c r="AJ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19">
        <f t="shared" si="10"/>
        <v>45.95</v>
      </c>
      <c r="X522" s="20">
        <f t="shared" si="1"/>
        <v>0</v>
      </c>
      <c r="Y522" s="20">
        <f t="shared" si="2"/>
        <v>0.01055824098</v>
      </c>
      <c r="Z522" s="20">
        <f t="shared" si="3"/>
        <v>179591.0732</v>
      </c>
      <c r="AA522" s="20">
        <f t="shared" si="4"/>
        <v>0</v>
      </c>
      <c r="AB522" s="20">
        <f t="shared" si="5"/>
        <v>0.0277423825</v>
      </c>
      <c r="AC522" s="20">
        <f t="shared" si="6"/>
        <v>112831.0023</v>
      </c>
      <c r="AD522" s="2"/>
      <c r="AE522" s="20">
        <v>179591.0731718475</v>
      </c>
      <c r="AF522" s="20">
        <f t="shared" si="7"/>
        <v>276975.7326</v>
      </c>
      <c r="AG522" s="20">
        <f t="shared" si="8"/>
        <v>283579.6108</v>
      </c>
      <c r="AH522" s="20">
        <f t="shared" si="9"/>
        <v>245543.411</v>
      </c>
      <c r="AI522" s="20">
        <v>112831.00230962259</v>
      </c>
      <c r="AJ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16">
        <f t="shared" si="10"/>
        <v>46</v>
      </c>
      <c r="X523" s="17">
        <f t="shared" si="1"/>
        <v>0</v>
      </c>
      <c r="Y523" s="17">
        <f t="shared" si="2"/>
        <v>0.0007703929178</v>
      </c>
      <c r="Z523" s="17">
        <f t="shared" si="3"/>
        <v>161737.0711</v>
      </c>
      <c r="AA523" s="17">
        <f t="shared" si="4"/>
        <v>0</v>
      </c>
      <c r="AB523" s="17">
        <f t="shared" si="5"/>
        <v>0.2866861253</v>
      </c>
      <c r="AC523" s="17">
        <f t="shared" si="6"/>
        <v>123879.3628</v>
      </c>
      <c r="AD523" s="2"/>
      <c r="AE523" s="17">
        <v>161737.07106630568</v>
      </c>
      <c r="AF523" s="17">
        <f t="shared" si="7"/>
        <v>261891.1682</v>
      </c>
      <c r="AG523" s="17">
        <f t="shared" si="8"/>
        <v>281672.8817</v>
      </c>
      <c r="AH523" s="17">
        <f t="shared" si="9"/>
        <v>256346.893</v>
      </c>
      <c r="AI523" s="17">
        <v>123879.36282841564</v>
      </c>
      <c r="AJ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19">
        <f t="shared" si="10"/>
        <v>46.05</v>
      </c>
      <c r="X524" s="20">
        <f t="shared" si="1"/>
        <v>0</v>
      </c>
      <c r="Y524" s="20">
        <f t="shared" si="2"/>
        <v>0.00004748504951</v>
      </c>
      <c r="Z524" s="20">
        <f t="shared" si="3"/>
        <v>144678.2872</v>
      </c>
      <c r="AA524" s="20">
        <f t="shared" si="4"/>
        <v>0</v>
      </c>
      <c r="AB524" s="20">
        <f t="shared" si="5"/>
        <v>2.507199511</v>
      </c>
      <c r="AC524" s="20">
        <f t="shared" si="6"/>
        <v>135104.636</v>
      </c>
      <c r="AD524" s="2"/>
      <c r="AE524" s="20">
        <v>144678.28719974955</v>
      </c>
      <c r="AF524" s="20">
        <f t="shared" si="7"/>
        <v>245966.877</v>
      </c>
      <c r="AG524" s="20">
        <f t="shared" si="8"/>
        <v>277907.0558</v>
      </c>
      <c r="AH524" s="20">
        <f t="shared" si="9"/>
        <v>265840.0286</v>
      </c>
      <c r="AI524" s="20">
        <v>135104.63598719845</v>
      </c>
      <c r="AJ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16">
        <f t="shared" si="10"/>
        <v>46.1</v>
      </c>
      <c r="X525" s="17">
        <f t="shared" si="1"/>
        <v>0</v>
      </c>
      <c r="Y525" s="17">
        <f t="shared" si="2"/>
        <v>0.000002472438004</v>
      </c>
      <c r="Z525" s="17">
        <f t="shared" si="3"/>
        <v>128548.2294</v>
      </c>
      <c r="AA525" s="17">
        <f t="shared" si="4"/>
        <v>0</v>
      </c>
      <c r="AB525" s="17">
        <f t="shared" si="5"/>
        <v>18.55625849</v>
      </c>
      <c r="AC525" s="17">
        <f t="shared" si="6"/>
        <v>146366.7105</v>
      </c>
      <c r="AD525" s="2"/>
      <c r="AE525" s="17">
        <v>128548.22943986519</v>
      </c>
      <c r="AF525" s="17">
        <f t="shared" si="7"/>
        <v>229461.0845</v>
      </c>
      <c r="AG525" s="17">
        <f t="shared" si="8"/>
        <v>272357.0435</v>
      </c>
      <c r="AH525" s="17">
        <f t="shared" si="9"/>
        <v>273845.2645</v>
      </c>
      <c r="AI525" s="17">
        <v>146366.71050130593</v>
      </c>
      <c r="AJ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19">
        <f t="shared" si="10"/>
        <v>46.15</v>
      </c>
      <c r="X526" s="20">
        <f t="shared" si="1"/>
        <v>0</v>
      </c>
      <c r="Y526" s="20">
        <f t="shared" si="2"/>
        <v>0.0000001087471359</v>
      </c>
      <c r="Z526" s="20">
        <f t="shared" si="3"/>
        <v>113448.2487</v>
      </c>
      <c r="AA526" s="20">
        <f t="shared" si="4"/>
        <v>0.0000000002480548586</v>
      </c>
      <c r="AB526" s="20">
        <f t="shared" si="5"/>
        <v>116.2281252</v>
      </c>
      <c r="AC526" s="20">
        <f t="shared" si="6"/>
        <v>157512.5438</v>
      </c>
      <c r="AD526" s="2"/>
      <c r="AE526" s="20">
        <v>113448.24866949444</v>
      </c>
      <c r="AF526" s="20">
        <f t="shared" si="7"/>
        <v>212626.8464</v>
      </c>
      <c r="AG526" s="20">
        <f t="shared" si="8"/>
        <v>265132.0017</v>
      </c>
      <c r="AH526" s="20">
        <f t="shared" si="9"/>
        <v>280209.3605</v>
      </c>
      <c r="AI526" s="20">
        <v>157512.54375350478</v>
      </c>
      <c r="AJ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16">
        <f t="shared" si="10"/>
        <v>46.2</v>
      </c>
      <c r="X527" s="17">
        <f t="shared" si="1"/>
        <v>0</v>
      </c>
      <c r="Y527" s="17">
        <f t="shared" si="2"/>
        <v>0.000000004040491031</v>
      </c>
      <c r="Z527" s="17">
        <f t="shared" si="3"/>
        <v>99448.54849</v>
      </c>
      <c r="AA527" s="17">
        <f t="shared" si="4"/>
        <v>0.0000001958430722</v>
      </c>
      <c r="AB527" s="17">
        <f t="shared" si="5"/>
        <v>616.1002024</v>
      </c>
      <c r="AC527" s="17">
        <f t="shared" si="6"/>
        <v>168379.3195</v>
      </c>
      <c r="AD527" s="2"/>
      <c r="AE527" s="17">
        <v>99448.54849029316</v>
      </c>
      <c r="AF527" s="17">
        <f t="shared" si="7"/>
        <v>195705.8442</v>
      </c>
      <c r="AG527" s="17">
        <f t="shared" si="8"/>
        <v>256371.7641</v>
      </c>
      <c r="AH527" s="17">
        <f t="shared" si="9"/>
        <v>284808.2637</v>
      </c>
      <c r="AI527" s="17">
        <v>168379.319487284</v>
      </c>
      <c r="AJ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19">
        <f t="shared" si="10"/>
        <v>46.25</v>
      </c>
      <c r="X528" s="20">
        <f t="shared" si="1"/>
        <v>0</v>
      </c>
      <c r="Y528" s="20">
        <f t="shared" si="2"/>
        <v>0.0000000001268160928</v>
      </c>
      <c r="Z528" s="20">
        <f t="shared" si="3"/>
        <v>86590.06339</v>
      </c>
      <c r="AA528" s="20">
        <f t="shared" si="4"/>
        <v>0.0000793132759</v>
      </c>
      <c r="AB528" s="20">
        <f t="shared" si="5"/>
        <v>2763.826459</v>
      </c>
      <c r="AC528" s="20">
        <f t="shared" si="6"/>
        <v>178798.1936</v>
      </c>
      <c r="AD528" s="2"/>
      <c r="AE528" s="20">
        <v>86590.06338906767</v>
      </c>
      <c r="AF528" s="20">
        <f t="shared" si="7"/>
        <v>178922.9841</v>
      </c>
      <c r="AG528" s="20">
        <f t="shared" si="8"/>
        <v>246242.3428</v>
      </c>
      <c r="AH528" s="20">
        <f t="shared" si="9"/>
        <v>287551.1287</v>
      </c>
      <c r="AI528" s="20">
        <v>178798.19356409676</v>
      </c>
      <c r="AJ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16">
        <f t="shared" si="10"/>
        <v>46.3</v>
      </c>
      <c r="X529" s="17">
        <f t="shared" si="1"/>
        <v>0</v>
      </c>
      <c r="Y529" s="17">
        <f t="shared" si="2"/>
        <v>0</v>
      </c>
      <c r="Z529" s="17">
        <f t="shared" si="3"/>
        <v>74887.03269</v>
      </c>
      <c r="AA529" s="17">
        <f t="shared" si="4"/>
        <v>0.01647634063</v>
      </c>
      <c r="AB529" s="17">
        <f t="shared" si="5"/>
        <v>10492.75394</v>
      </c>
      <c r="AC529" s="17">
        <f t="shared" si="6"/>
        <v>188598.5179</v>
      </c>
      <c r="AD529" s="2"/>
      <c r="AE529" s="17">
        <v>74887.03268580651</v>
      </c>
      <c r="AF529" s="17">
        <f t="shared" si="7"/>
        <v>162481.9459</v>
      </c>
      <c r="AG529" s="17">
        <f t="shared" si="8"/>
        <v>234930.7033</v>
      </c>
      <c r="AH529" s="17">
        <f t="shared" si="9"/>
        <v>288383.3023</v>
      </c>
      <c r="AI529" s="17">
        <v>188598.51787317832</v>
      </c>
      <c r="AJ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19">
        <f t="shared" si="10"/>
        <v>46.35</v>
      </c>
      <c r="X530" s="20">
        <f t="shared" si="1"/>
        <v>0</v>
      </c>
      <c r="Y530" s="20">
        <f t="shared" si="2"/>
        <v>0</v>
      </c>
      <c r="Z530" s="20">
        <f t="shared" si="3"/>
        <v>64330.08771</v>
      </c>
      <c r="AA530" s="20">
        <f t="shared" si="4"/>
        <v>1.755710212</v>
      </c>
      <c r="AB530" s="20">
        <f t="shared" si="5"/>
        <v>33712.232</v>
      </c>
      <c r="AC530" s="20">
        <f t="shared" si="6"/>
        <v>197612.4016</v>
      </c>
      <c r="AD530" s="2"/>
      <c r="AE530" s="20">
        <v>64330.08770530172</v>
      </c>
      <c r="AF530" s="20">
        <f t="shared" si="7"/>
        <v>146561.7801</v>
      </c>
      <c r="AG530" s="20">
        <f t="shared" si="8"/>
        <v>222639.0421</v>
      </c>
      <c r="AH530" s="20">
        <f t="shared" si="9"/>
        <v>287288.1337</v>
      </c>
      <c r="AI530" s="20">
        <v>197612.40158879082</v>
      </c>
      <c r="AJ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16">
        <f t="shared" si="10"/>
        <v>46.4</v>
      </c>
      <c r="X531" s="17">
        <f t="shared" si="1"/>
        <v>0</v>
      </c>
      <c r="Y531" s="17">
        <f t="shared" si="2"/>
        <v>0</v>
      </c>
      <c r="Z531" s="17">
        <f t="shared" si="3"/>
        <v>54889.6701</v>
      </c>
      <c r="AA531" s="17">
        <f t="shared" si="4"/>
        <v>95.96704181</v>
      </c>
      <c r="AB531" s="17">
        <f t="shared" si="5"/>
        <v>91665.27066</v>
      </c>
      <c r="AC531" s="17">
        <f t="shared" si="6"/>
        <v>205679.4437</v>
      </c>
      <c r="AD531" s="2"/>
      <c r="AE531" s="17">
        <v>54889.67010102214</v>
      </c>
      <c r="AF531" s="17">
        <f t="shared" si="7"/>
        <v>131314.593</v>
      </c>
      <c r="AG531" s="17">
        <f t="shared" si="8"/>
        <v>209578.8111</v>
      </c>
      <c r="AH531" s="17">
        <f t="shared" si="9"/>
        <v>284287.5291</v>
      </c>
      <c r="AI531" s="17">
        <v>205679.44365655957</v>
      </c>
      <c r="AJ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19">
        <f t="shared" si="10"/>
        <v>46.45</v>
      </c>
      <c r="X532" s="20">
        <f t="shared" si="1"/>
        <v>0</v>
      </c>
      <c r="Y532" s="20">
        <f t="shared" si="2"/>
        <v>0</v>
      </c>
      <c r="Z532" s="20">
        <f t="shared" si="3"/>
        <v>46519.60878</v>
      </c>
      <c r="AA532" s="20">
        <f t="shared" si="4"/>
        <v>2690.720451</v>
      </c>
      <c r="AB532" s="20">
        <f t="shared" si="5"/>
        <v>210931.501</v>
      </c>
      <c r="AC532" s="20">
        <f t="shared" si="6"/>
        <v>212651.4526</v>
      </c>
      <c r="AD532" s="2"/>
      <c r="AE532" s="20">
        <v>46519.608779833376</v>
      </c>
      <c r="AF532" s="20">
        <f t="shared" si="7"/>
        <v>116864.3085</v>
      </c>
      <c r="AG532" s="20">
        <f t="shared" si="8"/>
        <v>195964.7336</v>
      </c>
      <c r="AH532" s="20">
        <f t="shared" si="9"/>
        <v>279441.2227</v>
      </c>
      <c r="AI532" s="20">
        <v>212651.4525745746</v>
      </c>
      <c r="AJ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16">
        <f t="shared" si="10"/>
        <v>46.5</v>
      </c>
      <c r="X533" s="17">
        <f t="shared" si="1"/>
        <v>0</v>
      </c>
      <c r="Y533" s="17">
        <f t="shared" si="2"/>
        <v>0</v>
      </c>
      <c r="Z533" s="17">
        <f t="shared" si="3"/>
        <v>39160.69971</v>
      </c>
      <c r="AA533" s="17">
        <f t="shared" si="4"/>
        <v>38698.3324</v>
      </c>
      <c r="AB533" s="17">
        <f t="shared" si="5"/>
        <v>410768.7163</v>
      </c>
      <c r="AC533" s="17">
        <f t="shared" si="6"/>
        <v>218396.9607</v>
      </c>
      <c r="AD533" s="2"/>
      <c r="AE533" s="17">
        <v>39160.69970682055</v>
      </c>
      <c r="AF533" s="17">
        <f t="shared" si="7"/>
        <v>103306.4497</v>
      </c>
      <c r="AG533" s="17">
        <f t="shared" si="8"/>
        <v>182009.0455</v>
      </c>
      <c r="AH533" s="17">
        <f t="shared" si="9"/>
        <v>272844.7996</v>
      </c>
      <c r="AI533" s="17">
        <v>218396.9607409099</v>
      </c>
      <c r="AJ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19">
        <f t="shared" si="10"/>
        <v>46.55</v>
      </c>
      <c r="X534" s="20">
        <f t="shared" si="1"/>
        <v>0</v>
      </c>
      <c r="Y534" s="20">
        <f t="shared" si="2"/>
        <v>0</v>
      </c>
      <c r="Z534" s="20">
        <f t="shared" si="3"/>
        <v>32744.15507</v>
      </c>
      <c r="AA534" s="20">
        <f t="shared" si="4"/>
        <v>285491.4596</v>
      </c>
      <c r="AB534" s="20">
        <f t="shared" si="5"/>
        <v>676974.9181</v>
      </c>
      <c r="AC534" s="20">
        <f t="shared" si="6"/>
        <v>222805.3419</v>
      </c>
      <c r="AD534" s="2"/>
      <c r="AE534" s="20">
        <v>32744.15506593848</v>
      </c>
      <c r="AF534" s="20">
        <f t="shared" si="7"/>
        <v>90708.84144</v>
      </c>
      <c r="AG534" s="20">
        <f t="shared" si="8"/>
        <v>167916.1718</v>
      </c>
      <c r="AH534" s="20">
        <f t="shared" si="9"/>
        <v>264626.5602</v>
      </c>
      <c r="AI534" s="20">
        <v>222805.34186364495</v>
      </c>
      <c r="AJ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16">
        <f t="shared" si="10"/>
        <v>46.6</v>
      </c>
      <c r="X535" s="17">
        <f t="shared" si="1"/>
        <v>0</v>
      </c>
      <c r="Y535" s="17">
        <f t="shared" si="2"/>
        <v>0</v>
      </c>
      <c r="Z535" s="17">
        <f t="shared" si="3"/>
        <v>27194.81381</v>
      </c>
      <c r="AA535" s="17">
        <f t="shared" si="4"/>
        <v>1080366.703</v>
      </c>
      <c r="AB535" s="17">
        <f t="shared" si="5"/>
        <v>944206.7391</v>
      </c>
      <c r="AC535" s="17">
        <f t="shared" si="6"/>
        <v>225790.3515</v>
      </c>
      <c r="AD535" s="2"/>
      <c r="AE535" s="17">
        <v>27194.81381016374</v>
      </c>
      <c r="AF535" s="17">
        <f t="shared" si="7"/>
        <v>79113.10768</v>
      </c>
      <c r="AG535" s="17">
        <f t="shared" si="8"/>
        <v>153878.0161</v>
      </c>
      <c r="AH535" s="17">
        <f t="shared" si="9"/>
        <v>254943.3722</v>
      </c>
      <c r="AI535" s="17">
        <v>225790.35153954066</v>
      </c>
      <c r="AJ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19">
        <f t="shared" si="10"/>
        <v>46.65</v>
      </c>
      <c r="X536" s="20">
        <f t="shared" si="1"/>
        <v>0</v>
      </c>
      <c r="Y536" s="20">
        <f t="shared" si="2"/>
        <v>0</v>
      </c>
      <c r="Z536" s="20">
        <f t="shared" si="3"/>
        <v>22434.03264</v>
      </c>
      <c r="AA536" s="20">
        <f t="shared" si="4"/>
        <v>2097135.343</v>
      </c>
      <c r="AB536" s="20">
        <f t="shared" si="5"/>
        <v>1114502.156</v>
      </c>
      <c r="AC536" s="20">
        <f t="shared" si="6"/>
        <v>227292.9328</v>
      </c>
      <c r="AD536" s="2"/>
      <c r="AE536" s="20">
        <v>22434.032635109867</v>
      </c>
      <c r="AF536" s="20">
        <f t="shared" si="7"/>
        <v>68536.81371</v>
      </c>
      <c r="AG536" s="20">
        <f t="shared" si="8"/>
        <v>140070.0017</v>
      </c>
      <c r="AH536" s="20">
        <f t="shared" si="9"/>
        <v>243975.695</v>
      </c>
      <c r="AI536" s="20">
        <v>227292.93278622598</v>
      </c>
      <c r="AJ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16">
        <f t="shared" si="10"/>
        <v>46.7</v>
      </c>
      <c r="X537" s="17">
        <f t="shared" si="1"/>
        <v>0</v>
      </c>
      <c r="Y537" s="17">
        <f t="shared" si="2"/>
        <v>0</v>
      </c>
      <c r="Z537" s="17">
        <f t="shared" si="3"/>
        <v>18382.20314</v>
      </c>
      <c r="AA537" s="17">
        <f t="shared" si="4"/>
        <v>2088136.706</v>
      </c>
      <c r="AB537" s="17">
        <f t="shared" si="5"/>
        <v>1113304.668</v>
      </c>
      <c r="AC537" s="17">
        <f t="shared" si="6"/>
        <v>227283.1591</v>
      </c>
      <c r="AD537" s="2"/>
      <c r="AE537" s="17">
        <v>18382.203135994856</v>
      </c>
      <c r="AF537" s="17">
        <f t="shared" si="7"/>
        <v>58976.09548</v>
      </c>
      <c r="AG537" s="17">
        <f t="shared" si="8"/>
        <v>126647.9578</v>
      </c>
      <c r="AH537" s="17">
        <f t="shared" si="9"/>
        <v>231921.9987</v>
      </c>
      <c r="AI537" s="17">
        <v>227283.15905687632</v>
      </c>
      <c r="AJ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19">
        <f t="shared" si="10"/>
        <v>46.75</v>
      </c>
      <c r="X538" s="20">
        <f t="shared" si="1"/>
        <v>0</v>
      </c>
      <c r="Y538" s="20">
        <f t="shared" si="2"/>
        <v>0</v>
      </c>
      <c r="Z538" s="20">
        <f t="shared" si="3"/>
        <v>14960.86593</v>
      </c>
      <c r="AA538" s="20">
        <f t="shared" si="4"/>
        <v>1066518.995</v>
      </c>
      <c r="AB538" s="20">
        <f t="shared" si="5"/>
        <v>941166.4706</v>
      </c>
      <c r="AC538" s="20">
        <f t="shared" si="6"/>
        <v>225761.2254</v>
      </c>
      <c r="AD538" s="2"/>
      <c r="AE538" s="20">
        <v>14960.8659296966</v>
      </c>
      <c r="AF538" s="20">
        <f t="shared" si="7"/>
        <v>50408.61488</v>
      </c>
      <c r="AG538" s="20">
        <f t="shared" si="8"/>
        <v>113745.8996</v>
      </c>
      <c r="AH538" s="20">
        <f t="shared" si="9"/>
        <v>218992.8168</v>
      </c>
      <c r="AI538" s="20">
        <v>225761.2254395903</v>
      </c>
      <c r="AJ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16">
        <f t="shared" si="10"/>
        <v>46.8</v>
      </c>
      <c r="X539" s="17">
        <f t="shared" si="1"/>
        <v>0</v>
      </c>
      <c r="Y539" s="17">
        <f t="shared" si="2"/>
        <v>0</v>
      </c>
      <c r="Z539" s="17">
        <f t="shared" si="3"/>
        <v>12094.41475</v>
      </c>
      <c r="AA539" s="17">
        <f t="shared" si="4"/>
        <v>279418.696</v>
      </c>
      <c r="AB539" s="17">
        <f t="shared" si="5"/>
        <v>673345.8124</v>
      </c>
      <c r="AC539" s="17">
        <f t="shared" si="6"/>
        <v>222757.4422</v>
      </c>
      <c r="AD539" s="2"/>
      <c r="AE539" s="17">
        <v>12094.414748873214</v>
      </c>
      <c r="AF539" s="17">
        <f t="shared" si="7"/>
        <v>42796.6872</v>
      </c>
      <c r="AG539" s="17">
        <f t="shared" si="8"/>
        <v>101474.708</v>
      </c>
      <c r="AH539" s="17">
        <f t="shared" si="9"/>
        <v>205404.6815</v>
      </c>
      <c r="AI539" s="17">
        <v>222757.44218170427</v>
      </c>
      <c r="AJ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19">
        <f t="shared" si="10"/>
        <v>46.85</v>
      </c>
      <c r="X540" s="20">
        <f t="shared" si="1"/>
        <v>0</v>
      </c>
      <c r="Y540" s="20">
        <f t="shared" si="2"/>
        <v>0</v>
      </c>
      <c r="Z540" s="20">
        <f t="shared" si="3"/>
        <v>9711.402206</v>
      </c>
      <c r="AA540" s="20">
        <f t="shared" si="4"/>
        <v>37550.82885</v>
      </c>
      <c r="AB540" s="20">
        <f t="shared" si="5"/>
        <v>407689.1749</v>
      </c>
      <c r="AC540" s="20">
        <f t="shared" si="6"/>
        <v>218331.2308</v>
      </c>
      <c r="AD540" s="2"/>
      <c r="AE540" s="20">
        <v>9711.402205769888</v>
      </c>
      <c r="AF540" s="20">
        <f t="shared" si="7"/>
        <v>36090.44042</v>
      </c>
      <c r="AG540" s="20">
        <f t="shared" si="8"/>
        <v>89921.67174</v>
      </c>
      <c r="AH540" s="20">
        <f t="shared" si="9"/>
        <v>191374.1828</v>
      </c>
      <c r="AI540" s="20">
        <v>218331.23083931106</v>
      </c>
      <c r="AJ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16">
        <f t="shared" si="10"/>
        <v>46.9</v>
      </c>
      <c r="X541" s="17">
        <f t="shared" si="1"/>
        <v>0</v>
      </c>
      <c r="Y541" s="17">
        <f t="shared" si="2"/>
        <v>0</v>
      </c>
      <c r="Z541" s="17">
        <f t="shared" si="3"/>
        <v>7745.473685</v>
      </c>
      <c r="AA541" s="17">
        <f t="shared" si="4"/>
        <v>2588.575239</v>
      </c>
      <c r="AB541" s="17">
        <f t="shared" si="5"/>
        <v>208900.5081</v>
      </c>
      <c r="AC541" s="17">
        <f t="shared" si="6"/>
        <v>212569.1695</v>
      </c>
      <c r="AD541" s="2"/>
      <c r="AE541" s="17">
        <v>7745.4736845088555</v>
      </c>
      <c r="AF541" s="17">
        <f t="shared" si="7"/>
        <v>30230.88438</v>
      </c>
      <c r="AG541" s="17">
        <f t="shared" si="8"/>
        <v>79150.82316</v>
      </c>
      <c r="AH541" s="17">
        <f t="shared" si="9"/>
        <v>177112.3739</v>
      </c>
      <c r="AI541" s="17">
        <v>212569.1694944127</v>
      </c>
      <c r="AJ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19">
        <f t="shared" si="10"/>
        <v>46.95</v>
      </c>
      <c r="X542" s="20">
        <f t="shared" si="1"/>
        <v>0</v>
      </c>
      <c r="Y542" s="20">
        <f t="shared" si="2"/>
        <v>0</v>
      </c>
      <c r="Z542" s="20">
        <f t="shared" si="3"/>
        <v>6135.966566</v>
      </c>
      <c r="AA542" s="20">
        <f t="shared" si="4"/>
        <v>91.53332889</v>
      </c>
      <c r="AB542" s="20">
        <f t="shared" si="5"/>
        <v>90587.67482</v>
      </c>
      <c r="AC542" s="20">
        <f t="shared" si="6"/>
        <v>205582.1769</v>
      </c>
      <c r="AD542" s="2"/>
      <c r="AE542" s="20">
        <v>6135.966566222484</v>
      </c>
      <c r="AF542" s="20">
        <f t="shared" si="7"/>
        <v>25152.78992</v>
      </c>
      <c r="AG542" s="20">
        <f t="shared" si="8"/>
        <v>69203.9687</v>
      </c>
      <c r="AH542" s="20">
        <f t="shared" si="9"/>
        <v>162819.7196</v>
      </c>
      <c r="AI542" s="20">
        <v>205582.17686788389</v>
      </c>
      <c r="AJ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16">
        <f t="shared" si="10"/>
        <v>47</v>
      </c>
      <c r="X543" s="17">
        <f t="shared" si="1"/>
        <v>0</v>
      </c>
      <c r="Y543" s="17">
        <f t="shared" si="2"/>
        <v>0</v>
      </c>
      <c r="Z543" s="17">
        <f t="shared" si="3"/>
        <v>4828.218893</v>
      </c>
      <c r="AA543" s="17">
        <f t="shared" si="4"/>
        <v>1.660255474</v>
      </c>
      <c r="AB543" s="17">
        <f t="shared" si="5"/>
        <v>33244.36396</v>
      </c>
      <c r="AC543" s="17">
        <f t="shared" si="6"/>
        <v>197501.9632</v>
      </c>
      <c r="AD543" s="2"/>
      <c r="AE543" s="17">
        <v>4828.21889335982</v>
      </c>
      <c r="AF543" s="17">
        <f t="shared" si="7"/>
        <v>20787.30154</v>
      </c>
      <c r="AG543" s="17">
        <f t="shared" si="8"/>
        <v>60102.29666</v>
      </c>
      <c r="AH543" s="17">
        <f t="shared" si="9"/>
        <v>148681.7431</v>
      </c>
      <c r="AI543" s="17">
        <v>197501.96324670914</v>
      </c>
      <c r="AJ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19">
        <f t="shared" si="10"/>
        <v>47.05</v>
      </c>
      <c r="X544" s="20">
        <f t="shared" si="1"/>
        <v>0</v>
      </c>
      <c r="Y544" s="20">
        <f t="shared" si="2"/>
        <v>0</v>
      </c>
      <c r="Z544" s="20">
        <f t="shared" si="3"/>
        <v>3773.635008</v>
      </c>
      <c r="AA544" s="20">
        <f t="shared" si="4"/>
        <v>0.01544712937</v>
      </c>
      <c r="AB544" s="20">
        <f t="shared" si="5"/>
        <v>10324.90927</v>
      </c>
      <c r="AC544" s="20">
        <f t="shared" si="6"/>
        <v>188476.9068</v>
      </c>
      <c r="AD544" s="2"/>
      <c r="AE544" s="20">
        <v>3773.6350081812634</v>
      </c>
      <c r="AF544" s="20">
        <f t="shared" si="7"/>
        <v>17064.23051</v>
      </c>
      <c r="AG544" s="20">
        <f t="shared" si="8"/>
        <v>51848.43309</v>
      </c>
      <c r="AH544" s="20">
        <f t="shared" si="9"/>
        <v>134865.4883</v>
      </c>
      <c r="AI544" s="20">
        <v>188476.90678042994</v>
      </c>
      <c r="AJ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16">
        <f t="shared" si="10"/>
        <v>47.1</v>
      </c>
      <c r="X545" s="17">
        <f t="shared" si="1"/>
        <v>0</v>
      </c>
      <c r="Y545" s="17">
        <f t="shared" si="2"/>
        <v>0</v>
      </c>
      <c r="Z545" s="17">
        <f t="shared" si="3"/>
        <v>2929.556162</v>
      </c>
      <c r="AA545" s="17">
        <f t="shared" si="4"/>
        <v>0.00007372212517</v>
      </c>
      <c r="AB545" s="17">
        <f t="shared" si="5"/>
        <v>2713.774515</v>
      </c>
      <c r="AC545" s="17">
        <f t="shared" si="6"/>
        <v>178667.5353</v>
      </c>
      <c r="AD545" s="2"/>
      <c r="AE545" s="17">
        <v>2929.556161720602</v>
      </c>
      <c r="AF545" s="17">
        <f t="shared" si="7"/>
        <v>13913.99822</v>
      </c>
      <c r="AG545" s="17">
        <f t="shared" si="8"/>
        <v>44428.81257</v>
      </c>
      <c r="AH545" s="17">
        <f t="shared" si="9"/>
        <v>121516.8653</v>
      </c>
      <c r="AI545" s="17">
        <v>178667.53525566554</v>
      </c>
      <c r="AJ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19">
        <f t="shared" si="10"/>
        <v>47.15</v>
      </c>
      <c r="X546" s="20">
        <f t="shared" si="1"/>
        <v>0</v>
      </c>
      <c r="Y546" s="20">
        <f t="shared" si="2"/>
        <v>0</v>
      </c>
      <c r="Z546" s="20">
        <f t="shared" si="3"/>
        <v>2258.982165</v>
      </c>
      <c r="AA546" s="20">
        <f t="shared" si="4"/>
        <v>0.0000001804783482</v>
      </c>
      <c r="AB546" s="20">
        <f t="shared" si="5"/>
        <v>603.6435646</v>
      </c>
      <c r="AC546" s="20">
        <f t="shared" si="6"/>
        <v>168241.8049</v>
      </c>
      <c r="AD546" s="2"/>
      <c r="AE546" s="20">
        <v>2258.982164578653</v>
      </c>
      <c r="AF546" s="20">
        <f t="shared" si="7"/>
        <v>11269.219</v>
      </c>
      <c r="AG546" s="20">
        <f t="shared" si="8"/>
        <v>37816.23409</v>
      </c>
      <c r="AH546" s="20">
        <f t="shared" si="9"/>
        <v>108758.9058</v>
      </c>
      <c r="AI546" s="20">
        <v>168241.80493436338</v>
      </c>
      <c r="AJ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16">
        <f t="shared" si="10"/>
        <v>47.2</v>
      </c>
      <c r="X547" s="17">
        <f t="shared" si="1"/>
        <v>0</v>
      </c>
      <c r="Y547" s="17">
        <f t="shared" si="2"/>
        <v>0</v>
      </c>
      <c r="Z547" s="17">
        <f t="shared" si="3"/>
        <v>1730.186443</v>
      </c>
      <c r="AA547" s="17">
        <f t="shared" si="4"/>
        <v>0.0000000002266363506</v>
      </c>
      <c r="AB547" s="17">
        <f t="shared" si="5"/>
        <v>113.6335803</v>
      </c>
      <c r="AC547" s="17">
        <f t="shared" si="6"/>
        <v>157370.3691</v>
      </c>
      <c r="AD547" s="2"/>
      <c r="AE547" s="17">
        <v>1730.186442985447</v>
      </c>
      <c r="AF547" s="17">
        <f t="shared" si="7"/>
        <v>9065.929466</v>
      </c>
      <c r="AG547" s="17">
        <f t="shared" si="8"/>
        <v>31972.48195</v>
      </c>
      <c r="AH547" s="17">
        <f t="shared" si="9"/>
        <v>96690.90942</v>
      </c>
      <c r="AI547" s="17">
        <v>157370.3691330337</v>
      </c>
      <c r="AJ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19">
        <f t="shared" si="10"/>
        <v>47.25</v>
      </c>
      <c r="X548" s="20">
        <f t="shared" si="1"/>
        <v>0</v>
      </c>
      <c r="Y548" s="20">
        <f t="shared" si="2"/>
        <v>0</v>
      </c>
      <c r="Z548" s="20">
        <f t="shared" si="3"/>
        <v>1316.261954</v>
      </c>
      <c r="AA548" s="20">
        <f t="shared" si="4"/>
        <v>0</v>
      </c>
      <c r="AB548" s="20">
        <f t="shared" si="5"/>
        <v>18.10306477</v>
      </c>
      <c r="AC548" s="20">
        <f t="shared" si="6"/>
        <v>146222.0203</v>
      </c>
      <c r="AD548" s="2"/>
      <c r="AE548" s="20">
        <v>1316.2619537401972</v>
      </c>
      <c r="AF548" s="20">
        <f t="shared" si="7"/>
        <v>7244.484617</v>
      </c>
      <c r="AG548" s="20">
        <f t="shared" si="8"/>
        <v>26850.90486</v>
      </c>
      <c r="AH548" s="20">
        <f t="shared" si="9"/>
        <v>85388.42514</v>
      </c>
      <c r="AI548" s="20">
        <v>146222.02030237482</v>
      </c>
      <c r="AJ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16">
        <f t="shared" si="10"/>
        <v>47.3</v>
      </c>
      <c r="X549" s="17">
        <f t="shared" si="1"/>
        <v>0</v>
      </c>
      <c r="Y549" s="17">
        <f t="shared" si="2"/>
        <v>0</v>
      </c>
      <c r="Z549" s="17">
        <f t="shared" si="3"/>
        <v>994.6298259</v>
      </c>
      <c r="AA549" s="17">
        <f t="shared" si="4"/>
        <v>0</v>
      </c>
      <c r="AB549" s="17">
        <f t="shared" si="5"/>
        <v>2.440713594</v>
      </c>
      <c r="AC549" s="17">
        <f t="shared" si="6"/>
        <v>134959.4714</v>
      </c>
      <c r="AD549" s="2"/>
      <c r="AE549" s="17">
        <v>994.6298258861876</v>
      </c>
      <c r="AF549" s="17">
        <f t="shared" si="7"/>
        <v>5750.151617</v>
      </c>
      <c r="AG549" s="17">
        <f t="shared" si="8"/>
        <v>22398.86448</v>
      </c>
      <c r="AH549" s="17">
        <f t="shared" si="9"/>
        <v>74903.98198</v>
      </c>
      <c r="AI549" s="17">
        <v>134959.47144342682</v>
      </c>
      <c r="AJ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19">
        <f t="shared" si="10"/>
        <v>47.35</v>
      </c>
      <c r="X550" s="20">
        <f t="shared" si="1"/>
        <v>0</v>
      </c>
      <c r="Y550" s="20">
        <f t="shared" si="2"/>
        <v>0</v>
      </c>
      <c r="Z550" s="20">
        <f t="shared" si="3"/>
        <v>746.5367841</v>
      </c>
      <c r="AA550" s="20">
        <f t="shared" si="4"/>
        <v>0</v>
      </c>
      <c r="AB550" s="20">
        <f t="shared" si="5"/>
        <v>0.278484376</v>
      </c>
      <c r="AC550" s="20">
        <f t="shared" si="6"/>
        <v>123735.6173</v>
      </c>
      <c r="AD550" s="2"/>
      <c r="AE550" s="20">
        <v>746.5367841452987</v>
      </c>
      <c r="AF550" s="20">
        <f t="shared" si="7"/>
        <v>4533.438645</v>
      </c>
      <c r="AG550" s="20">
        <f t="shared" si="8"/>
        <v>18559.98326</v>
      </c>
      <c r="AH550" s="20">
        <f t="shared" si="9"/>
        <v>65268.45786</v>
      </c>
      <c r="AI550" s="20">
        <v>123735.61729844488</v>
      </c>
      <c r="AJ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16">
        <f t="shared" si="10"/>
        <v>47.4</v>
      </c>
      <c r="X551" s="17">
        <f t="shared" si="1"/>
        <v>0</v>
      </c>
      <c r="Y551" s="17">
        <f t="shared" si="2"/>
        <v>0</v>
      </c>
      <c r="Z551" s="17">
        <f t="shared" si="3"/>
        <v>556.5617293</v>
      </c>
      <c r="AA551" s="17">
        <f t="shared" si="4"/>
        <v>0</v>
      </c>
      <c r="AB551" s="17">
        <f t="shared" si="5"/>
        <v>0.02689082641</v>
      </c>
      <c r="AC551" s="17">
        <f t="shared" si="6"/>
        <v>112690.3848</v>
      </c>
      <c r="AD551" s="2"/>
      <c r="AE551" s="17">
        <v>556.5617292898378</v>
      </c>
      <c r="AF551" s="17">
        <f t="shared" si="7"/>
        <v>3550.20015</v>
      </c>
      <c r="AG551" s="17">
        <f t="shared" si="8"/>
        <v>15276.14105</v>
      </c>
      <c r="AH551" s="17">
        <f t="shared" si="9"/>
        <v>56492.96129</v>
      </c>
      <c r="AI551" s="17">
        <v>112690.38480272194</v>
      </c>
      <c r="AJ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19">
        <f t="shared" si="10"/>
        <v>47.45</v>
      </c>
      <c r="X552" s="20">
        <f t="shared" si="1"/>
        <v>0</v>
      </c>
      <c r="Y552" s="20">
        <f t="shared" si="2"/>
        <v>0</v>
      </c>
      <c r="Z552" s="20">
        <f t="shared" si="3"/>
        <v>412.1465723</v>
      </c>
      <c r="AA552" s="20">
        <f t="shared" si="4"/>
        <v>0</v>
      </c>
      <c r="AB552" s="20">
        <f t="shared" si="5"/>
        <v>0.002197489271</v>
      </c>
      <c r="AC552" s="20">
        <f t="shared" si="6"/>
        <v>101948.2479</v>
      </c>
      <c r="AD552" s="2"/>
      <c r="AE552" s="20">
        <v>412.14657231009573</v>
      </c>
      <c r="AF552" s="20">
        <f t="shared" si="7"/>
        <v>2761.56069</v>
      </c>
      <c r="AG552" s="20">
        <f t="shared" si="8"/>
        <v>12489.18909</v>
      </c>
      <c r="AH552" s="20">
        <f t="shared" si="9"/>
        <v>48571.09259</v>
      </c>
      <c r="AI552" s="20">
        <v>101948.24792940634</v>
      </c>
      <c r="AJ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16">
        <f t="shared" si="10"/>
        <v>47.5</v>
      </c>
      <c r="X553" s="17">
        <f t="shared" si="1"/>
        <v>0</v>
      </c>
      <c r="Y553" s="17">
        <f t="shared" si="2"/>
        <v>0</v>
      </c>
      <c r="Z553" s="17">
        <f t="shared" si="3"/>
        <v>303.1617238</v>
      </c>
      <c r="AA553" s="17">
        <f t="shared" si="4"/>
        <v>0</v>
      </c>
      <c r="AB553" s="17">
        <f t="shared" si="5"/>
        <v>0.0001519737841</v>
      </c>
      <c r="AC553" s="17">
        <f t="shared" si="6"/>
        <v>91616.44652</v>
      </c>
      <c r="AD553" s="2"/>
      <c r="AE553" s="17">
        <v>303.1617237902339</v>
      </c>
      <c r="AF553" s="17">
        <f t="shared" si="7"/>
        <v>2133.698363</v>
      </c>
      <c r="AG553" s="17">
        <f t="shared" si="8"/>
        <v>10142.36706</v>
      </c>
      <c r="AH553" s="17">
        <f t="shared" si="9"/>
        <v>41481.45189</v>
      </c>
      <c r="AI553" s="17">
        <v>91616.44651960541</v>
      </c>
      <c r="AJ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19">
        <f t="shared" si="10"/>
        <v>47.55</v>
      </c>
      <c r="X554" s="20">
        <f t="shared" si="1"/>
        <v>0</v>
      </c>
      <c r="Y554" s="20">
        <f t="shared" si="2"/>
        <v>0</v>
      </c>
      <c r="Z554" s="20">
        <f t="shared" si="3"/>
        <v>221.5126309</v>
      </c>
      <c r="AA554" s="20">
        <f t="shared" si="4"/>
        <v>0</v>
      </c>
      <c r="AB554" s="20">
        <f t="shared" si="5"/>
        <v>0.000008894671053</v>
      </c>
      <c r="AC554" s="20">
        <f t="shared" si="6"/>
        <v>81783.91409</v>
      </c>
      <c r="AD554" s="2"/>
      <c r="AE554" s="20">
        <v>221.51263088351658</v>
      </c>
      <c r="AF554" s="20">
        <f t="shared" si="7"/>
        <v>1637.525892</v>
      </c>
      <c r="AG554" s="20">
        <f t="shared" si="8"/>
        <v>8181.424153</v>
      </c>
      <c r="AH554" s="20">
        <f t="shared" si="9"/>
        <v>35190.26748</v>
      </c>
      <c r="AI554" s="20">
        <v>81783.9140867681</v>
      </c>
      <c r="AJ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16">
        <f t="shared" si="10"/>
        <v>47.6</v>
      </c>
      <c r="X555" s="17">
        <f t="shared" si="1"/>
        <v>0</v>
      </c>
      <c r="Y555" s="17">
        <f t="shared" si="2"/>
        <v>0</v>
      </c>
      <c r="Z555" s="17">
        <f t="shared" si="3"/>
        <v>160.79047</v>
      </c>
      <c r="AA555" s="17">
        <f t="shared" si="4"/>
        <v>0</v>
      </c>
      <c r="AB555" s="17">
        <f t="shared" si="5"/>
        <v>0.0000004405654188</v>
      </c>
      <c r="AC555" s="17">
        <f t="shared" si="6"/>
        <v>72520.8878</v>
      </c>
      <c r="AD555" s="2"/>
      <c r="AE555" s="17">
        <v>160.7904699889188</v>
      </c>
      <c r="AF555" s="17">
        <f t="shared" si="7"/>
        <v>1248.303346</v>
      </c>
      <c r="AG555" s="17">
        <f t="shared" si="8"/>
        <v>6555.457334</v>
      </c>
      <c r="AH555" s="17">
        <f t="shared" si="9"/>
        <v>29654.03054</v>
      </c>
      <c r="AI555" s="17">
        <v>72520.88780478325</v>
      </c>
      <c r="AJ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19">
        <f t="shared" si="10"/>
        <v>47.65</v>
      </c>
      <c r="X556" s="20">
        <f t="shared" si="1"/>
        <v>0</v>
      </c>
      <c r="Y556" s="20">
        <f t="shared" si="2"/>
        <v>0</v>
      </c>
      <c r="Z556" s="20">
        <f t="shared" si="3"/>
        <v>115.9675307</v>
      </c>
      <c r="AA556" s="20">
        <f t="shared" si="4"/>
        <v>0</v>
      </c>
      <c r="AB556" s="20">
        <f t="shared" si="5"/>
        <v>0.00000001846758977</v>
      </c>
      <c r="AC556" s="20">
        <f t="shared" si="6"/>
        <v>63879.14648</v>
      </c>
      <c r="AD556" s="2"/>
      <c r="AE556" s="20">
        <v>115.96753072053474</v>
      </c>
      <c r="AF556" s="20">
        <f t="shared" si="7"/>
        <v>945.2116972</v>
      </c>
      <c r="AG556" s="20">
        <f t="shared" si="8"/>
        <v>5217.489502</v>
      </c>
      <c r="AH556" s="20">
        <f t="shared" si="9"/>
        <v>24822.03803</v>
      </c>
      <c r="AI556" s="20">
        <v>63879.14647520049</v>
      </c>
      <c r="AJ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16">
        <f t="shared" si="10"/>
        <v>47.7</v>
      </c>
      <c r="X557" s="17">
        <f t="shared" si="1"/>
        <v>0</v>
      </c>
      <c r="Y557" s="17">
        <f t="shared" si="2"/>
        <v>0</v>
      </c>
      <c r="Z557" s="17">
        <f t="shared" si="3"/>
        <v>83.13591581</v>
      </c>
      <c r="AA557" s="17">
        <f t="shared" si="4"/>
        <v>0</v>
      </c>
      <c r="AB557" s="17">
        <f t="shared" si="5"/>
        <v>0.0000000006551327828</v>
      </c>
      <c r="AC557" s="17">
        <f t="shared" si="6"/>
        <v>55892.80034</v>
      </c>
      <c r="AD557" s="2"/>
      <c r="AE557" s="17">
        <v>83.13591581394037</v>
      </c>
      <c r="AF557" s="17">
        <f t="shared" si="7"/>
        <v>710.9113216</v>
      </c>
      <c r="AG557" s="17">
        <f t="shared" si="8"/>
        <v>4124.816904</v>
      </c>
      <c r="AH557" s="17">
        <f t="shared" si="9"/>
        <v>20638.76405</v>
      </c>
      <c r="AI557" s="17">
        <v>55892.800341894705</v>
      </c>
      <c r="AJ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19">
        <f t="shared" si="10"/>
        <v>47.75</v>
      </c>
      <c r="X558" s="20">
        <f t="shared" si="1"/>
        <v>0</v>
      </c>
      <c r="Y558" s="20">
        <f t="shared" si="2"/>
        <v>0</v>
      </c>
      <c r="Z558" s="20">
        <f t="shared" si="3"/>
        <v>59.28685772</v>
      </c>
      <c r="AA558" s="20">
        <f t="shared" si="4"/>
        <v>0</v>
      </c>
      <c r="AB558" s="20">
        <f t="shared" si="5"/>
        <v>0</v>
      </c>
      <c r="AC558" s="20">
        <f t="shared" si="6"/>
        <v>48579.54085</v>
      </c>
      <c r="AD558" s="2"/>
      <c r="AE558" s="20">
        <v>59.28685771850942</v>
      </c>
      <c r="AF558" s="20">
        <f t="shared" si="7"/>
        <v>531.1045285</v>
      </c>
      <c r="AG558" s="20">
        <f t="shared" si="8"/>
        <v>3239.159036</v>
      </c>
      <c r="AH558" s="20">
        <f t="shared" si="9"/>
        <v>17045.9998</v>
      </c>
      <c r="AI558" s="20">
        <v>48579.540846244054</v>
      </c>
      <c r="AJ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16">
        <f t="shared" si="10"/>
        <v>47.8</v>
      </c>
      <c r="X559" s="17">
        <f t="shared" si="1"/>
        <v>0</v>
      </c>
      <c r="Y559" s="17">
        <f t="shared" si="2"/>
        <v>0</v>
      </c>
      <c r="Z559" s="17">
        <f t="shared" si="3"/>
        <v>42.1271282</v>
      </c>
      <c r="AA559" s="17">
        <f t="shared" si="4"/>
        <v>0</v>
      </c>
      <c r="AB559" s="17">
        <f t="shared" si="5"/>
        <v>0</v>
      </c>
      <c r="AC559" s="17">
        <f t="shared" si="6"/>
        <v>41942.249</v>
      </c>
      <c r="AD559" s="2"/>
      <c r="AE559" s="17">
        <v>42.12712819998699</v>
      </c>
      <c r="AF559" s="17">
        <f t="shared" si="7"/>
        <v>394.1164789</v>
      </c>
      <c r="AG559" s="17">
        <f t="shared" si="8"/>
        <v>2526.645861</v>
      </c>
      <c r="AH559" s="17">
        <f t="shared" si="9"/>
        <v>13984.72128</v>
      </c>
      <c r="AI559" s="17">
        <v>41942.24900252229</v>
      </c>
      <c r="AJ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19">
        <f t="shared" si="10"/>
        <v>47.85</v>
      </c>
      <c r="X560" s="20">
        <f t="shared" si="1"/>
        <v>0</v>
      </c>
      <c r="Y560" s="20">
        <f t="shared" si="2"/>
        <v>0</v>
      </c>
      <c r="Z560" s="20">
        <f t="shared" si="3"/>
        <v>29.92860078</v>
      </c>
      <c r="AA560" s="20">
        <f t="shared" si="4"/>
        <v>0</v>
      </c>
      <c r="AB560" s="20">
        <f t="shared" si="5"/>
        <v>0</v>
      </c>
      <c r="AC560" s="20">
        <f t="shared" si="6"/>
        <v>35970.85781</v>
      </c>
      <c r="AD560" s="2"/>
      <c r="AE560" s="20">
        <v>29.92860077579559</v>
      </c>
      <c r="AF560" s="20">
        <f t="shared" si="7"/>
        <v>290.5045844</v>
      </c>
      <c r="AG560" s="20">
        <f t="shared" si="8"/>
        <v>1957.67679</v>
      </c>
      <c r="AH560" s="20">
        <f t="shared" si="9"/>
        <v>11396.6627</v>
      </c>
      <c r="AI560" s="20">
        <v>35970.85781244563</v>
      </c>
      <c r="AJ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16">
        <f t="shared" si="10"/>
        <v>47.9</v>
      </c>
      <c r="X561" s="17">
        <f t="shared" si="1"/>
        <v>0</v>
      </c>
      <c r="Y561" s="17">
        <f t="shared" si="2"/>
        <v>0</v>
      </c>
      <c r="Z561" s="17">
        <f t="shared" si="3"/>
        <v>21.40692858</v>
      </c>
      <c r="AA561" s="17">
        <f t="shared" si="4"/>
        <v>0</v>
      </c>
      <c r="AB561" s="17">
        <f t="shared" si="5"/>
        <v>0</v>
      </c>
      <c r="AC561" s="17">
        <f t="shared" si="6"/>
        <v>30644.36646</v>
      </c>
      <c r="AD561" s="2"/>
      <c r="AE561" s="17">
        <v>21.406928582888142</v>
      </c>
      <c r="AF561" s="17">
        <f t="shared" si="7"/>
        <v>212.7028193</v>
      </c>
      <c r="AG561" s="17">
        <f t="shared" si="8"/>
        <v>1506.683863</v>
      </c>
      <c r="AH561" s="17">
        <f t="shared" si="9"/>
        <v>9225.589326</v>
      </c>
      <c r="AI561" s="17">
        <v>30644.366463778508</v>
      </c>
      <c r="AJ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19">
        <f t="shared" si="10"/>
        <v>47.95</v>
      </c>
      <c r="X562" s="20">
        <f t="shared" si="1"/>
        <v>0</v>
      </c>
      <c r="Y562" s="20">
        <f t="shared" si="2"/>
        <v>0</v>
      </c>
      <c r="Z562" s="20">
        <f t="shared" si="3"/>
        <v>15.62544132</v>
      </c>
      <c r="AA562" s="20">
        <f t="shared" si="4"/>
        <v>0</v>
      </c>
      <c r="AB562" s="20">
        <f t="shared" si="5"/>
        <v>0</v>
      </c>
      <c r="AC562" s="20">
        <f t="shared" si="6"/>
        <v>25932.91113</v>
      </c>
      <c r="AD562" s="2"/>
      <c r="AE562" s="20">
        <v>15.625441321127607</v>
      </c>
      <c r="AF562" s="20">
        <f t="shared" si="7"/>
        <v>154.7043317</v>
      </c>
      <c r="AG562" s="20">
        <f t="shared" si="8"/>
        <v>1151.82855</v>
      </c>
      <c r="AH562" s="20">
        <f t="shared" si="9"/>
        <v>7418.277667</v>
      </c>
      <c r="AI562" s="20">
        <v>25932.91112989136</v>
      </c>
      <c r="AJ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16">
        <f t="shared" si="10"/>
        <v>48</v>
      </c>
      <c r="X563" s="17">
        <f t="shared" si="1"/>
        <v>0</v>
      </c>
      <c r="Y563" s="17">
        <f t="shared" si="2"/>
        <v>0</v>
      </c>
      <c r="Z563" s="17">
        <f t="shared" si="3"/>
        <v>11.92067366</v>
      </c>
      <c r="AA563" s="17">
        <f t="shared" si="4"/>
        <v>0</v>
      </c>
      <c r="AB563" s="17">
        <f t="shared" si="5"/>
        <v>0</v>
      </c>
      <c r="AC563" s="17">
        <f t="shared" si="6"/>
        <v>21799.80798</v>
      </c>
      <c r="AD563" s="2"/>
      <c r="AE563" s="17">
        <v>11.92067365608424</v>
      </c>
      <c r="AF563" s="17">
        <f t="shared" si="7"/>
        <v>111.7833272</v>
      </c>
      <c r="AG563" s="17">
        <f t="shared" si="8"/>
        <v>874.6577756</v>
      </c>
      <c r="AH563" s="17">
        <f t="shared" si="9"/>
        <v>5925.221574</v>
      </c>
      <c r="AI563" s="17">
        <v>21799.807981592825</v>
      </c>
      <c r="AJ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19">
        <f t="shared" si="10"/>
        <v>48.05</v>
      </c>
      <c r="X564" s="20">
        <f t="shared" si="1"/>
        <v>0</v>
      </c>
      <c r="Y564" s="20">
        <f t="shared" si="2"/>
        <v>0</v>
      </c>
      <c r="Z564" s="20">
        <f t="shared" si="3"/>
        <v>9.846354998</v>
      </c>
      <c r="AA564" s="20">
        <f t="shared" si="4"/>
        <v>0</v>
      </c>
      <c r="AB564" s="20">
        <f t="shared" si="5"/>
        <v>0</v>
      </c>
      <c r="AC564" s="20">
        <f t="shared" si="6"/>
        <v>18203.49743</v>
      </c>
      <c r="AD564" s="2"/>
      <c r="AE564" s="20">
        <v>9.846354998048248</v>
      </c>
      <c r="AF564" s="20">
        <f t="shared" si="7"/>
        <v>80.25538097</v>
      </c>
      <c r="AG564" s="20">
        <f t="shared" si="8"/>
        <v>659.7406405</v>
      </c>
      <c r="AH564" s="20">
        <f t="shared" si="9"/>
        <v>4701.090914</v>
      </c>
      <c r="AI564" s="20">
        <v>18203.497426456684</v>
      </c>
      <c r="AJ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16">
        <f t="shared" si="10"/>
        <v>48.1</v>
      </c>
      <c r="X565" s="17">
        <f t="shared" si="1"/>
        <v>0</v>
      </c>
      <c r="Y565" s="17">
        <f t="shared" si="2"/>
        <v>0</v>
      </c>
      <c r="Z565" s="17">
        <f t="shared" si="3"/>
        <v>9.13316962</v>
      </c>
      <c r="AA565" s="17">
        <f t="shared" si="4"/>
        <v>0</v>
      </c>
      <c r="AB565" s="17">
        <f t="shared" si="5"/>
        <v>0</v>
      </c>
      <c r="AC565" s="17">
        <f t="shared" si="6"/>
        <v>15099.33349</v>
      </c>
      <c r="AD565" s="2"/>
      <c r="AE565" s="17">
        <v>9.133169620349719</v>
      </c>
      <c r="AF565" s="17">
        <f t="shared" si="7"/>
        <v>57.27403815</v>
      </c>
      <c r="AG565" s="17">
        <f t="shared" si="8"/>
        <v>494.3031225</v>
      </c>
      <c r="AH565" s="17">
        <f t="shared" si="9"/>
        <v>3704.974723</v>
      </c>
      <c r="AI565" s="17">
        <v>15099.333489214627</v>
      </c>
      <c r="AJ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19">
        <f t="shared" si="10"/>
        <v>48.15</v>
      </c>
      <c r="X566" s="20">
        <f t="shared" si="1"/>
        <v>0</v>
      </c>
      <c r="Y566" s="20">
        <f t="shared" si="2"/>
        <v>0</v>
      </c>
      <c r="Z566" s="20">
        <f t="shared" si="3"/>
        <v>9.662100042</v>
      </c>
      <c r="AA566" s="20">
        <f t="shared" si="4"/>
        <v>0</v>
      </c>
      <c r="AB566" s="20">
        <f t="shared" si="5"/>
        <v>0</v>
      </c>
      <c r="AC566" s="20">
        <f t="shared" si="6"/>
        <v>12441.1776</v>
      </c>
      <c r="AD566" s="2"/>
      <c r="AE566" s="20">
        <v>9.662100042049117</v>
      </c>
      <c r="AF566" s="20">
        <f t="shared" si="7"/>
        <v>40.66073391</v>
      </c>
      <c r="AG566" s="20">
        <f t="shared" si="8"/>
        <v>367.8740205</v>
      </c>
      <c r="AH566" s="20">
        <f t="shared" si="9"/>
        <v>2900.443401</v>
      </c>
      <c r="AI566" s="20">
        <v>12441.177597688757</v>
      </c>
      <c r="AJ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16">
        <f t="shared" si="10"/>
        <v>48.2</v>
      </c>
      <c r="X567" s="17">
        <f t="shared" si="1"/>
        <v>0</v>
      </c>
      <c r="Y567" s="17">
        <f t="shared" si="2"/>
        <v>0</v>
      </c>
      <c r="Z567" s="17">
        <f t="shared" si="3"/>
        <v>11.44966801</v>
      </c>
      <c r="AA567" s="17">
        <f t="shared" si="4"/>
        <v>0</v>
      </c>
      <c r="AB567" s="17">
        <f t="shared" si="5"/>
        <v>0</v>
      </c>
      <c r="AC567" s="17">
        <f t="shared" si="6"/>
        <v>10182.77093</v>
      </c>
      <c r="AD567" s="2"/>
      <c r="AE567" s="17">
        <v>11.449668014288708</v>
      </c>
      <c r="AF567" s="17">
        <f t="shared" si="7"/>
        <v>28.76460108</v>
      </c>
      <c r="AG567" s="17">
        <f t="shared" si="8"/>
        <v>271.9517336</v>
      </c>
      <c r="AH567" s="17">
        <f t="shared" si="9"/>
        <v>2255.464991</v>
      </c>
      <c r="AI567" s="17">
        <v>10182.77093214519</v>
      </c>
      <c r="AJ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19">
        <f t="shared" si="10"/>
        <v>48.25</v>
      </c>
      <c r="X568" s="20">
        <f t="shared" si="1"/>
        <v>0</v>
      </c>
      <c r="Y568" s="20">
        <f t="shared" si="2"/>
        <v>0</v>
      </c>
      <c r="Z568" s="20">
        <f t="shared" si="3"/>
        <v>14.64386611</v>
      </c>
      <c r="AA568" s="20">
        <f t="shared" si="4"/>
        <v>0</v>
      </c>
      <c r="AB568" s="20">
        <f t="shared" si="5"/>
        <v>0</v>
      </c>
      <c r="AC568" s="20">
        <f t="shared" si="6"/>
        <v>8278.873194</v>
      </c>
      <c r="AD568" s="2"/>
      <c r="AE568" s="20">
        <v>14.643866106902534</v>
      </c>
      <c r="AF568" s="20">
        <f t="shared" si="7"/>
        <v>20.3485754</v>
      </c>
      <c r="AG568" s="20">
        <f t="shared" si="8"/>
        <v>199.6982524</v>
      </c>
      <c r="AH568" s="20">
        <f t="shared" si="9"/>
        <v>1742.209361</v>
      </c>
      <c r="AI568" s="20">
        <v>8278.873193847217</v>
      </c>
      <c r="AJ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16">
        <f t="shared" si="10"/>
        <v>48.3</v>
      </c>
      <c r="X569" s="17">
        <f t="shared" si="1"/>
        <v>0</v>
      </c>
      <c r="Y569" s="17">
        <f t="shared" si="2"/>
        <v>0</v>
      </c>
      <c r="Z569" s="17">
        <f t="shared" si="3"/>
        <v>19.53001384</v>
      </c>
      <c r="AA569" s="17">
        <f t="shared" si="4"/>
        <v>0</v>
      </c>
      <c r="AB569" s="17">
        <f t="shared" si="5"/>
        <v>0</v>
      </c>
      <c r="AC569" s="17">
        <f t="shared" si="6"/>
        <v>6686.167606</v>
      </c>
      <c r="AD569" s="2"/>
      <c r="AE569" s="17">
        <v>19.530013842010973</v>
      </c>
      <c r="AF569" s="17">
        <f t="shared" si="7"/>
        <v>14.49826993</v>
      </c>
      <c r="AG569" s="17">
        <f t="shared" si="8"/>
        <v>145.6640336</v>
      </c>
      <c r="AH569" s="17">
        <f t="shared" si="9"/>
        <v>1336.771468</v>
      </c>
      <c r="AI569" s="17">
        <v>6686.167606308252</v>
      </c>
      <c r="AJ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19">
        <f t="shared" si="10"/>
        <v>48.35</v>
      </c>
      <c r="X570" s="20">
        <f t="shared" si="1"/>
        <v>0</v>
      </c>
      <c r="Y570" s="20">
        <f t="shared" si="2"/>
        <v>0</v>
      </c>
      <c r="Z570" s="20">
        <f t="shared" si="3"/>
        <v>26.54616393</v>
      </c>
      <c r="AA570" s="20">
        <f t="shared" si="4"/>
        <v>0</v>
      </c>
      <c r="AB570" s="20">
        <f t="shared" si="5"/>
        <v>0</v>
      </c>
      <c r="AC570" s="20">
        <f t="shared" si="6"/>
        <v>5363.941833</v>
      </c>
      <c r="AD570" s="2"/>
      <c r="AE570" s="20">
        <v>26.54616393396721</v>
      </c>
      <c r="AF570" s="20">
        <f t="shared" si="7"/>
        <v>10.55031338</v>
      </c>
      <c r="AG570" s="20">
        <f t="shared" si="8"/>
        <v>105.5452426</v>
      </c>
      <c r="AH570" s="20">
        <f t="shared" si="9"/>
        <v>1018.841431</v>
      </c>
      <c r="AI570" s="20">
        <v>5363.941832820493</v>
      </c>
      <c r="AJ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16">
        <f t="shared" si="10"/>
        <v>48.4</v>
      </c>
      <c r="X571" s="17">
        <f t="shared" si="1"/>
        <v>0</v>
      </c>
      <c r="Y571" s="17">
        <f t="shared" si="2"/>
        <v>0</v>
      </c>
      <c r="Z571" s="17">
        <f t="shared" si="3"/>
        <v>36.30801641</v>
      </c>
      <c r="AA571" s="17">
        <f t="shared" si="4"/>
        <v>0</v>
      </c>
      <c r="AB571" s="17">
        <f t="shared" si="5"/>
        <v>0</v>
      </c>
      <c r="AC571" s="17">
        <f t="shared" si="6"/>
        <v>4274.562115</v>
      </c>
      <c r="AD571" s="2"/>
      <c r="AE571" s="17">
        <v>36.30801640911674</v>
      </c>
      <c r="AF571" s="17">
        <f t="shared" si="7"/>
        <v>8.037176131</v>
      </c>
      <c r="AG571" s="17">
        <f t="shared" si="8"/>
        <v>75.97316384</v>
      </c>
      <c r="AH571" s="17">
        <f t="shared" si="9"/>
        <v>771.3450593</v>
      </c>
      <c r="AI571" s="17">
        <v>4274.562114958391</v>
      </c>
      <c r="AJ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19">
        <f t="shared" si="10"/>
        <v>48.45</v>
      </c>
      <c r="X572" s="20">
        <f t="shared" si="1"/>
        <v>0</v>
      </c>
      <c r="Y572" s="20">
        <f t="shared" si="2"/>
        <v>0</v>
      </c>
      <c r="Z572" s="20">
        <f t="shared" si="3"/>
        <v>49.64356124</v>
      </c>
      <c r="AA572" s="20">
        <f t="shared" si="4"/>
        <v>0</v>
      </c>
      <c r="AB572" s="20">
        <f t="shared" si="5"/>
        <v>0</v>
      </c>
      <c r="AC572" s="20">
        <f t="shared" si="6"/>
        <v>3383.763311</v>
      </c>
      <c r="AD572" s="2"/>
      <c r="AE572" s="20">
        <v>49.6435612409225</v>
      </c>
      <c r="AF572" s="20">
        <f t="shared" si="7"/>
        <v>6.645898089</v>
      </c>
      <c r="AG572" s="20">
        <f t="shared" si="8"/>
        <v>54.33435653</v>
      </c>
      <c r="AH572" s="20">
        <f t="shared" si="9"/>
        <v>580.0743112</v>
      </c>
      <c r="AI572" s="20">
        <v>3383.763311306111</v>
      </c>
      <c r="AJ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16">
        <f t="shared" si="10"/>
        <v>48.5</v>
      </c>
      <c r="X573" s="17">
        <f t="shared" si="1"/>
        <v>0</v>
      </c>
      <c r="Y573" s="17">
        <f t="shared" si="2"/>
        <v>0</v>
      </c>
      <c r="Z573" s="17">
        <f t="shared" si="3"/>
        <v>67.63785271</v>
      </c>
      <c r="AA573" s="17">
        <f t="shared" si="4"/>
        <v>0</v>
      </c>
      <c r="AB573" s="17">
        <f t="shared" si="5"/>
        <v>0</v>
      </c>
      <c r="AC573" s="17">
        <f t="shared" si="6"/>
        <v>2660.78078</v>
      </c>
      <c r="AD573" s="2"/>
      <c r="AE573" s="17">
        <v>67.63785270626283</v>
      </c>
      <c r="AF573" s="17">
        <f t="shared" si="7"/>
        <v>6.188551846</v>
      </c>
      <c r="AG573" s="17">
        <f t="shared" si="8"/>
        <v>38.61929859</v>
      </c>
      <c r="AH573" s="17">
        <f t="shared" si="9"/>
        <v>433.3229708</v>
      </c>
      <c r="AI573" s="17">
        <v>2660.780779549937</v>
      </c>
      <c r="AJ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19">
        <f t="shared" si="10"/>
        <v>48.55</v>
      </c>
      <c r="X574" s="20">
        <f t="shared" si="1"/>
        <v>0</v>
      </c>
      <c r="Y574" s="20">
        <f t="shared" si="2"/>
        <v>0</v>
      </c>
      <c r="Z574" s="20">
        <f t="shared" si="3"/>
        <v>91.68840836</v>
      </c>
      <c r="AA574" s="20">
        <f t="shared" si="4"/>
        <v>0</v>
      </c>
      <c r="AB574" s="20">
        <f t="shared" si="5"/>
        <v>0</v>
      </c>
      <c r="AC574" s="20">
        <f t="shared" si="6"/>
        <v>2078.351434</v>
      </c>
      <c r="AD574" s="2"/>
      <c r="AE574" s="20">
        <v>91.68840835818416</v>
      </c>
      <c r="AF574" s="20">
        <f t="shared" si="7"/>
        <v>6.582696468</v>
      </c>
      <c r="AG574" s="20">
        <f t="shared" si="8"/>
        <v>27.29677367</v>
      </c>
      <c r="AH574" s="20">
        <f t="shared" si="9"/>
        <v>321.5389796</v>
      </c>
      <c r="AI574" s="20">
        <v>2078.351433677975</v>
      </c>
      <c r="AJ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16">
        <f t="shared" si="10"/>
        <v>48.6</v>
      </c>
      <c r="X575" s="17">
        <f t="shared" si="1"/>
        <v>0</v>
      </c>
      <c r="Y575" s="17">
        <f t="shared" si="2"/>
        <v>0</v>
      </c>
      <c r="Z575" s="17">
        <f t="shared" si="3"/>
        <v>123.5717079</v>
      </c>
      <c r="AA575" s="17">
        <f t="shared" si="4"/>
        <v>0</v>
      </c>
      <c r="AB575" s="17">
        <f t="shared" si="5"/>
        <v>0</v>
      </c>
      <c r="AC575" s="17">
        <f t="shared" si="6"/>
        <v>1612.611122</v>
      </c>
      <c r="AD575" s="2"/>
      <c r="AE575" s="17">
        <v>123.57170790244248</v>
      </c>
      <c r="AF575" s="17">
        <f t="shared" si="7"/>
        <v>7.840484304</v>
      </c>
      <c r="AG575" s="17">
        <f t="shared" si="8"/>
        <v>19.21102552</v>
      </c>
      <c r="AH575" s="17">
        <f t="shared" si="9"/>
        <v>237.0013741</v>
      </c>
      <c r="AI575" s="17">
        <v>1612.6111215167832</v>
      </c>
      <c r="AJ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19">
        <f t="shared" si="10"/>
        <v>48.65</v>
      </c>
      <c r="X576" s="20">
        <f t="shared" si="1"/>
        <v>0</v>
      </c>
      <c r="Y576" s="20">
        <f t="shared" si="2"/>
        <v>0</v>
      </c>
      <c r="Z576" s="20">
        <f t="shared" si="3"/>
        <v>165.5211265</v>
      </c>
      <c r="AA576" s="20">
        <f t="shared" si="4"/>
        <v>0</v>
      </c>
      <c r="AB576" s="20">
        <f t="shared" si="5"/>
        <v>0</v>
      </c>
      <c r="AC576" s="20">
        <f t="shared" si="6"/>
        <v>1242.914039</v>
      </c>
      <c r="AD576" s="2"/>
      <c r="AE576" s="20">
        <v>165.5211264642144</v>
      </c>
      <c r="AF576" s="20">
        <f t="shared" si="7"/>
        <v>10.06546283</v>
      </c>
      <c r="AG576" s="20">
        <f t="shared" si="8"/>
        <v>13.49868473</v>
      </c>
      <c r="AH576" s="20">
        <f t="shared" si="9"/>
        <v>173.5268112</v>
      </c>
      <c r="AI576" s="20">
        <v>1242.9140387600319</v>
      </c>
      <c r="AJ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16">
        <f t="shared" si="10"/>
        <v>48.7</v>
      </c>
      <c r="X577" s="17">
        <f t="shared" si="1"/>
        <v>0</v>
      </c>
      <c r="Y577" s="17">
        <f t="shared" si="2"/>
        <v>0</v>
      </c>
      <c r="Z577" s="17">
        <f t="shared" si="3"/>
        <v>220.3163563</v>
      </c>
      <c r="AA577" s="17">
        <f t="shared" si="4"/>
        <v>0</v>
      </c>
      <c r="AB577" s="17">
        <f t="shared" si="5"/>
        <v>0</v>
      </c>
      <c r="AC577" s="17">
        <f t="shared" si="6"/>
        <v>951.5975608</v>
      </c>
      <c r="AD577" s="2"/>
      <c r="AE577" s="17">
        <v>220.31635626908803</v>
      </c>
      <c r="AF577" s="17">
        <f t="shared" si="7"/>
        <v>13.45645718</v>
      </c>
      <c r="AG577" s="17">
        <f t="shared" si="8"/>
        <v>9.522600055</v>
      </c>
      <c r="AH577" s="17">
        <f t="shared" si="9"/>
        <v>126.2082056</v>
      </c>
      <c r="AI577" s="17">
        <v>951.5975607608113</v>
      </c>
      <c r="AJ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19">
        <f t="shared" si="10"/>
        <v>48.75</v>
      </c>
      <c r="X578" s="20">
        <f t="shared" si="1"/>
        <v>0</v>
      </c>
      <c r="Y578" s="20">
        <f t="shared" si="2"/>
        <v>0</v>
      </c>
      <c r="Z578" s="20">
        <f t="shared" si="3"/>
        <v>291.3839351</v>
      </c>
      <c r="AA578" s="20">
        <f t="shared" si="4"/>
        <v>0</v>
      </c>
      <c r="AB578" s="20">
        <f t="shared" si="5"/>
        <v>0</v>
      </c>
      <c r="AC578" s="20">
        <f t="shared" si="6"/>
        <v>723.712951</v>
      </c>
      <c r="AD578" s="2"/>
      <c r="AE578" s="20">
        <v>291.38393507219683</v>
      </c>
      <c r="AF578" s="20">
        <f t="shared" si="7"/>
        <v>18.31822044</v>
      </c>
      <c r="AG578" s="20">
        <f t="shared" si="8"/>
        <v>6.819936026</v>
      </c>
      <c r="AH578" s="20">
        <f t="shared" si="9"/>
        <v>91.18606089</v>
      </c>
      <c r="AI578" s="20">
        <v>723.7129509873877</v>
      </c>
      <c r="AJ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16">
        <f t="shared" si="10"/>
        <v>48.8</v>
      </c>
      <c r="X579" s="17">
        <f t="shared" si="1"/>
        <v>0</v>
      </c>
      <c r="Y579" s="17">
        <f t="shared" si="2"/>
        <v>0</v>
      </c>
      <c r="Z579" s="17">
        <f t="shared" si="3"/>
        <v>382.9078961</v>
      </c>
      <c r="AA579" s="17">
        <f t="shared" si="4"/>
        <v>0</v>
      </c>
      <c r="AB579" s="17">
        <f t="shared" si="5"/>
        <v>0</v>
      </c>
      <c r="AC579" s="17">
        <f t="shared" si="6"/>
        <v>546.7391785</v>
      </c>
      <c r="AD579" s="2"/>
      <c r="AE579" s="17">
        <v>382.9078961097995</v>
      </c>
      <c r="AF579" s="17">
        <f t="shared" si="7"/>
        <v>25.07879262</v>
      </c>
      <c r="AG579" s="17">
        <f t="shared" si="8"/>
        <v>5.062189407</v>
      </c>
      <c r="AH579" s="17">
        <f t="shared" si="9"/>
        <v>65.45162443</v>
      </c>
      <c r="AI579" s="17">
        <v>546.739178538629</v>
      </c>
      <c r="AJ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19">
        <f t="shared" si="10"/>
        <v>48.85</v>
      </c>
      <c r="X580" s="20">
        <f t="shared" si="1"/>
        <v>0</v>
      </c>
      <c r="Y580" s="20">
        <f t="shared" si="2"/>
        <v>0</v>
      </c>
      <c r="Z580" s="20">
        <f t="shared" si="3"/>
        <v>499.9487757</v>
      </c>
      <c r="AA580" s="20">
        <f t="shared" si="4"/>
        <v>0</v>
      </c>
      <c r="AB580" s="20">
        <f t="shared" si="5"/>
        <v>0</v>
      </c>
      <c r="AC580" s="20">
        <f t="shared" si="6"/>
        <v>410.2937844</v>
      </c>
      <c r="AD580" s="2"/>
      <c r="AE580" s="20">
        <v>499.9487757161725</v>
      </c>
      <c r="AF580" s="20">
        <f t="shared" si="7"/>
        <v>34.31371033</v>
      </c>
      <c r="AG580" s="20">
        <f t="shared" si="8"/>
        <v>4.025099193</v>
      </c>
      <c r="AH580" s="20">
        <f t="shared" si="9"/>
        <v>46.67996593</v>
      </c>
      <c r="AI580" s="20">
        <v>410.2937843902871</v>
      </c>
      <c r="AJ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16">
        <f t="shared" si="10"/>
        <v>48.9</v>
      </c>
      <c r="X581" s="17">
        <f t="shared" si="1"/>
        <v>0</v>
      </c>
      <c r="Y581" s="17">
        <f t="shared" si="2"/>
        <v>0</v>
      </c>
      <c r="Z581" s="17">
        <f t="shared" si="3"/>
        <v>648.5682622</v>
      </c>
      <c r="AA581" s="17">
        <f t="shared" si="4"/>
        <v>0</v>
      </c>
      <c r="AB581" s="17">
        <f t="shared" si="5"/>
        <v>0</v>
      </c>
      <c r="AC581" s="17">
        <f t="shared" si="6"/>
        <v>305.8515646</v>
      </c>
      <c r="AD581" s="2"/>
      <c r="AE581" s="17">
        <v>648.5682621723199</v>
      </c>
      <c r="AF581" s="17">
        <f t="shared" si="7"/>
        <v>46.777351</v>
      </c>
      <c r="AG581" s="17">
        <f t="shared" si="8"/>
        <v>3.566754719</v>
      </c>
      <c r="AH581" s="17">
        <f t="shared" si="9"/>
        <v>33.09042581</v>
      </c>
      <c r="AI581" s="17">
        <v>305.85156458654143</v>
      </c>
      <c r="AJ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19">
        <f t="shared" si="10"/>
        <v>48.95</v>
      </c>
      <c r="X582" s="20">
        <f t="shared" si="1"/>
        <v>0</v>
      </c>
      <c r="Y582" s="20">
        <f t="shared" si="2"/>
        <v>0</v>
      </c>
      <c r="Z582" s="20">
        <f t="shared" si="3"/>
        <v>835.9556554</v>
      </c>
      <c r="AA582" s="20">
        <f t="shared" si="4"/>
        <v>0</v>
      </c>
      <c r="AB582" s="20">
        <f t="shared" si="5"/>
        <v>0</v>
      </c>
      <c r="AC582" s="20">
        <f t="shared" si="6"/>
        <v>226.4789251</v>
      </c>
      <c r="AD582" s="2"/>
      <c r="AE582" s="20">
        <v>835.9556553819609</v>
      </c>
      <c r="AF582" s="20">
        <f t="shared" si="7"/>
        <v>63.44177043</v>
      </c>
      <c r="AG582" s="20">
        <f t="shared" si="8"/>
        <v>3.612527843</v>
      </c>
      <c r="AH582" s="20">
        <f t="shared" si="9"/>
        <v>23.33152122</v>
      </c>
      <c r="AI582" s="20">
        <v>226.47892514285763</v>
      </c>
      <c r="AJ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16">
        <f t="shared" si="10"/>
        <v>49</v>
      </c>
      <c r="X583" s="17">
        <f t="shared" si="1"/>
        <v>0</v>
      </c>
      <c r="Y583" s="17">
        <f t="shared" si="2"/>
        <v>0</v>
      </c>
      <c r="Z583" s="17">
        <f t="shared" si="3"/>
        <v>1070.551059</v>
      </c>
      <c r="AA583" s="17">
        <f t="shared" si="4"/>
        <v>0</v>
      </c>
      <c r="AB583" s="17">
        <f t="shared" si="5"/>
        <v>0</v>
      </c>
      <c r="AC583" s="17">
        <f t="shared" si="6"/>
        <v>166.5891972</v>
      </c>
      <c r="AD583" s="2"/>
      <c r="AE583" s="17">
        <v>1070.551058631426</v>
      </c>
      <c r="AF583" s="17">
        <f t="shared" si="7"/>
        <v>85.54339118</v>
      </c>
      <c r="AG583" s="17">
        <f t="shared" si="8"/>
        <v>4.145757036</v>
      </c>
      <c r="AH583" s="17">
        <f t="shared" si="9"/>
        <v>16.3872798</v>
      </c>
      <c r="AI583" s="17">
        <v>166.58919724726428</v>
      </c>
      <c r="AJ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19">
        <f t="shared" si="10"/>
        <v>49.05</v>
      </c>
      <c r="X584" s="20">
        <f t="shared" si="1"/>
        <v>0</v>
      </c>
      <c r="Y584" s="20">
        <f t="shared" si="2"/>
        <v>0</v>
      </c>
      <c r="Z584" s="20">
        <f t="shared" si="3"/>
        <v>1362.158885</v>
      </c>
      <c r="AA584" s="20">
        <f t="shared" si="4"/>
        <v>0</v>
      </c>
      <c r="AB584" s="20">
        <f t="shared" si="5"/>
        <v>0</v>
      </c>
      <c r="AC584" s="20">
        <f t="shared" si="6"/>
        <v>121.72203</v>
      </c>
      <c r="AD584" s="2"/>
      <c r="AE584" s="20">
        <v>1362.1588851906527</v>
      </c>
      <c r="AF584" s="20">
        <f t="shared" si="7"/>
        <v>114.6378112</v>
      </c>
      <c r="AG584" s="20">
        <f t="shared" si="8"/>
        <v>5.203386586</v>
      </c>
      <c r="AH584" s="20">
        <f t="shared" si="9"/>
        <v>11.50202953</v>
      </c>
      <c r="AI584" s="20">
        <v>121.72202999563682</v>
      </c>
      <c r="AJ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16">
        <f t="shared" si="10"/>
        <v>49.1</v>
      </c>
      <c r="X585" s="17">
        <f t="shared" si="1"/>
        <v>0</v>
      </c>
      <c r="Y585" s="17">
        <f t="shared" si="2"/>
        <v>0</v>
      </c>
      <c r="Z585" s="17">
        <f t="shared" si="3"/>
        <v>1722.043897</v>
      </c>
      <c r="AA585" s="17">
        <f t="shared" si="4"/>
        <v>0</v>
      </c>
      <c r="AB585" s="17">
        <f t="shared" si="5"/>
        <v>0</v>
      </c>
      <c r="AC585" s="17">
        <f t="shared" si="6"/>
        <v>88.34821448</v>
      </c>
      <c r="AD585" s="2"/>
      <c r="AE585" s="17">
        <v>1722.0438972255233</v>
      </c>
      <c r="AF585" s="17">
        <f t="shared" si="7"/>
        <v>152.6628156</v>
      </c>
      <c r="AG585" s="17">
        <f t="shared" si="8"/>
        <v>6.87600918</v>
      </c>
      <c r="AH585" s="17">
        <f t="shared" si="9"/>
        <v>8.120856137</v>
      </c>
      <c r="AI585" s="17">
        <v>88.34821447758097</v>
      </c>
      <c r="AJ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19">
        <f t="shared" si="10"/>
        <v>49.15</v>
      </c>
      <c r="X586" s="20">
        <f t="shared" si="1"/>
        <v>0</v>
      </c>
      <c r="Y586" s="20">
        <f t="shared" si="2"/>
        <v>0</v>
      </c>
      <c r="Z586" s="20">
        <f t="shared" si="3"/>
        <v>2163.000686</v>
      </c>
      <c r="AA586" s="20">
        <f t="shared" si="4"/>
        <v>0</v>
      </c>
      <c r="AB586" s="20">
        <f t="shared" si="5"/>
        <v>0</v>
      </c>
      <c r="AC586" s="20">
        <f t="shared" si="6"/>
        <v>63.69992401</v>
      </c>
      <c r="AD586" s="2"/>
      <c r="AE586" s="20">
        <v>2163.000685818613</v>
      </c>
      <c r="AF586" s="20">
        <f t="shared" si="7"/>
        <v>202.0093801</v>
      </c>
      <c r="AG586" s="20">
        <f t="shared" si="8"/>
        <v>9.311972412</v>
      </c>
      <c r="AH586" s="20">
        <f t="shared" si="9"/>
        <v>5.843204071</v>
      </c>
      <c r="AI586" s="20">
        <v>63.69992401464435</v>
      </c>
      <c r="AJ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16">
        <f t="shared" si="10"/>
        <v>49.2</v>
      </c>
      <c r="X587" s="17">
        <f t="shared" si="1"/>
        <v>0</v>
      </c>
      <c r="Y587" s="17">
        <f t="shared" si="2"/>
        <v>0</v>
      </c>
      <c r="Z587" s="17">
        <f t="shared" si="3"/>
        <v>2699.386352</v>
      </c>
      <c r="AA587" s="17">
        <f t="shared" si="4"/>
        <v>0</v>
      </c>
      <c r="AB587" s="17">
        <f t="shared" si="5"/>
        <v>0</v>
      </c>
      <c r="AC587" s="17">
        <f t="shared" si="6"/>
        <v>45.62534825</v>
      </c>
      <c r="AD587" s="2"/>
      <c r="AE587" s="17">
        <v>2699.3863515931403</v>
      </c>
      <c r="AF587" s="17">
        <f t="shared" si="7"/>
        <v>265.6000386</v>
      </c>
      <c r="AG587" s="17">
        <f t="shared" si="8"/>
        <v>12.72538816</v>
      </c>
      <c r="AH587" s="17">
        <f t="shared" si="9"/>
        <v>4.387407766</v>
      </c>
      <c r="AI587" s="17">
        <v>45.62534824767248</v>
      </c>
      <c r="AJ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19">
        <f t="shared" si="10"/>
        <v>49.25</v>
      </c>
      <c r="X588" s="20">
        <f t="shared" si="1"/>
        <v>0</v>
      </c>
      <c r="Y588" s="20">
        <f t="shared" si="2"/>
        <v>0</v>
      </c>
      <c r="Z588" s="20">
        <f t="shared" si="3"/>
        <v>3347.105275</v>
      </c>
      <c r="AA588" s="20">
        <f t="shared" si="4"/>
        <v>0</v>
      </c>
      <c r="AB588" s="20">
        <f t="shared" si="5"/>
        <v>0</v>
      </c>
      <c r="AC588" s="20">
        <f t="shared" si="6"/>
        <v>32.4660091</v>
      </c>
      <c r="AD588" s="2"/>
      <c r="AE588" s="20">
        <v>3347.105275031752</v>
      </c>
      <c r="AF588" s="20">
        <f t="shared" si="7"/>
        <v>346.973452</v>
      </c>
      <c r="AG588" s="20">
        <f t="shared" si="8"/>
        <v>17.40802669</v>
      </c>
      <c r="AH588" s="20">
        <f t="shared" si="9"/>
        <v>3.564269342</v>
      </c>
      <c r="AI588" s="20">
        <v>32.46600910084581</v>
      </c>
      <c r="AJ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16">
        <f t="shared" si="10"/>
        <v>49.3</v>
      </c>
      <c r="X589" s="17">
        <f t="shared" si="1"/>
        <v>0</v>
      </c>
      <c r="Y589" s="17">
        <f t="shared" si="2"/>
        <v>0</v>
      </c>
      <c r="Z589" s="17">
        <f t="shared" si="3"/>
        <v>4123.534406</v>
      </c>
      <c r="AA589" s="17">
        <f t="shared" si="4"/>
        <v>0</v>
      </c>
      <c r="AB589" s="17">
        <f t="shared" si="5"/>
        <v>0</v>
      </c>
      <c r="AC589" s="17">
        <f t="shared" si="6"/>
        <v>22.95462393</v>
      </c>
      <c r="AD589" s="2"/>
      <c r="AE589" s="17">
        <v>4123.534405589206</v>
      </c>
      <c r="AF589" s="17">
        <f t="shared" si="7"/>
        <v>450.3733524</v>
      </c>
      <c r="AG589" s="17">
        <f t="shared" si="8"/>
        <v>23.74518296</v>
      </c>
      <c r="AH589" s="17">
        <f t="shared" si="9"/>
        <v>3.258128609</v>
      </c>
      <c r="AI589" s="17">
        <v>22.95462392806569</v>
      </c>
      <c r="AJ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19">
        <f t="shared" si="10"/>
        <v>49.35</v>
      </c>
      <c r="X590" s="20">
        <f t="shared" si="1"/>
        <v>0</v>
      </c>
      <c r="Y590" s="20">
        <f t="shared" si="2"/>
        <v>0</v>
      </c>
      <c r="Z590" s="20">
        <f t="shared" si="3"/>
        <v>5047.377585</v>
      </c>
      <c r="AA590" s="20">
        <f t="shared" si="4"/>
        <v>0</v>
      </c>
      <c r="AB590" s="20">
        <f t="shared" si="5"/>
        <v>0</v>
      </c>
      <c r="AC590" s="20">
        <f t="shared" si="6"/>
        <v>16.13117365</v>
      </c>
      <c r="AD590" s="2"/>
      <c r="AE590" s="20">
        <v>5047.377585470614</v>
      </c>
      <c r="AF590" s="20">
        <f t="shared" si="7"/>
        <v>580.839256</v>
      </c>
      <c r="AG590" s="20">
        <f t="shared" si="8"/>
        <v>32.23566843</v>
      </c>
      <c r="AH590" s="20">
        <f t="shared" si="9"/>
        <v>3.414186825</v>
      </c>
      <c r="AI590" s="20">
        <v>16.131173648565873</v>
      </c>
      <c r="AJ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16">
        <f t="shared" si="10"/>
        <v>49.4</v>
      </c>
      <c r="X591" s="17">
        <f t="shared" si="1"/>
        <v>0</v>
      </c>
      <c r="Y591" s="17">
        <f t="shared" si="2"/>
        <v>0</v>
      </c>
      <c r="Z591" s="17">
        <f t="shared" si="3"/>
        <v>6138.438189</v>
      </c>
      <c r="AA591" s="17">
        <f t="shared" si="4"/>
        <v>0</v>
      </c>
      <c r="AB591" s="17">
        <f t="shared" si="5"/>
        <v>0</v>
      </c>
      <c r="AC591" s="17">
        <f t="shared" si="6"/>
        <v>11.274792</v>
      </c>
      <c r="AD591" s="2"/>
      <c r="AE591" s="17">
        <v>6138.438189231373</v>
      </c>
      <c r="AF591" s="17">
        <f t="shared" si="7"/>
        <v>744.2954627</v>
      </c>
      <c r="AG591" s="17">
        <f t="shared" si="8"/>
        <v>43.51610342</v>
      </c>
      <c r="AH591" s="17">
        <f t="shared" si="9"/>
        <v>4.031139157</v>
      </c>
      <c r="AI591" s="17">
        <v>11.27479200194338</v>
      </c>
      <c r="AJ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19">
        <f t="shared" si="10"/>
        <v>49.45</v>
      </c>
      <c r="X592" s="20">
        <f t="shared" si="1"/>
        <v>0</v>
      </c>
      <c r="Y592" s="20">
        <f t="shared" si="2"/>
        <v>0</v>
      </c>
      <c r="Z592" s="20">
        <f t="shared" si="3"/>
        <v>7417.30092</v>
      </c>
      <c r="AA592" s="20">
        <f t="shared" si="4"/>
        <v>0</v>
      </c>
      <c r="AB592" s="20">
        <f t="shared" si="5"/>
        <v>0</v>
      </c>
      <c r="AC592" s="20">
        <f t="shared" si="6"/>
        <v>7.849171536</v>
      </c>
      <c r="AD592" s="2"/>
      <c r="AE592" s="20">
        <v>7417.300919820697</v>
      </c>
      <c r="AF592" s="20">
        <f t="shared" si="7"/>
        <v>947.6339103</v>
      </c>
      <c r="AG592" s="20">
        <f t="shared" si="8"/>
        <v>58.38965855</v>
      </c>
      <c r="AH592" s="20">
        <f t="shared" si="9"/>
        <v>5.158436986</v>
      </c>
      <c r="AI592" s="20">
        <v>7.849171535691732</v>
      </c>
      <c r="AJ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16">
        <f t="shared" si="10"/>
        <v>49.5</v>
      </c>
      <c r="X593" s="17">
        <f t="shared" si="1"/>
        <v>0</v>
      </c>
      <c r="Y593" s="17">
        <f t="shared" si="2"/>
        <v>0</v>
      </c>
      <c r="Z593" s="17">
        <f t="shared" si="3"/>
        <v>8904.916042</v>
      </c>
      <c r="AA593" s="17">
        <f t="shared" si="4"/>
        <v>0</v>
      </c>
      <c r="AB593" s="17">
        <f t="shared" si="5"/>
        <v>0</v>
      </c>
      <c r="AC593" s="17">
        <f t="shared" si="6"/>
        <v>5.45934407</v>
      </c>
      <c r="AD593" s="2"/>
      <c r="AE593" s="17">
        <v>8904.916041997618</v>
      </c>
      <c r="AF593" s="17">
        <f t="shared" si="7"/>
        <v>1198.785478</v>
      </c>
      <c r="AG593" s="17">
        <f t="shared" si="8"/>
        <v>77.85931326</v>
      </c>
      <c r="AH593" s="17">
        <f t="shared" si="9"/>
        <v>6.897737635</v>
      </c>
      <c r="AI593" s="17">
        <v>5.4593440702080915</v>
      </c>
      <c r="AJ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19">
        <f t="shared" si="10"/>
        <v>49.55</v>
      </c>
      <c r="X594" s="20">
        <f t="shared" si="1"/>
        <v>0</v>
      </c>
      <c r="Y594" s="20">
        <f t="shared" si="2"/>
        <v>0</v>
      </c>
      <c r="Z594" s="20">
        <f t="shared" si="3"/>
        <v>10622.0827</v>
      </c>
      <c r="AA594" s="20">
        <f t="shared" si="4"/>
        <v>0</v>
      </c>
      <c r="AB594" s="20">
        <f t="shared" si="5"/>
        <v>0</v>
      </c>
      <c r="AC594" s="20">
        <f t="shared" si="6"/>
        <v>3.817906401</v>
      </c>
      <c r="AD594" s="2"/>
      <c r="AE594" s="20">
        <v>10622.082699300065</v>
      </c>
      <c r="AF594" s="20">
        <f t="shared" si="7"/>
        <v>1506.773384</v>
      </c>
      <c r="AG594" s="20">
        <f t="shared" si="8"/>
        <v>103.1655595</v>
      </c>
      <c r="AH594" s="20">
        <f t="shared" si="9"/>
        <v>9.408304331</v>
      </c>
      <c r="AI594" s="20">
        <v>3.8179064009125416</v>
      </c>
      <c r="AJ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16">
        <f t="shared" si="10"/>
        <v>49.6</v>
      </c>
      <c r="X595" s="17">
        <f t="shared" si="1"/>
        <v>0</v>
      </c>
      <c r="Y595" s="17">
        <f t="shared" si="2"/>
        <v>0</v>
      </c>
      <c r="Z595" s="17">
        <f t="shared" si="3"/>
        <v>12588.83224</v>
      </c>
      <c r="AA595" s="17">
        <f t="shared" si="4"/>
        <v>0</v>
      </c>
      <c r="AB595" s="17">
        <f t="shared" si="5"/>
        <v>0</v>
      </c>
      <c r="AC595" s="17">
        <f t="shared" si="6"/>
        <v>2.719000836</v>
      </c>
      <c r="AD595" s="2"/>
      <c r="AE595" s="17">
        <v>12588.832239433945</v>
      </c>
      <c r="AF595" s="17">
        <f t="shared" si="7"/>
        <v>1881.741491</v>
      </c>
      <c r="AG595" s="17">
        <f t="shared" si="8"/>
        <v>135.828274</v>
      </c>
      <c r="AH595" s="17">
        <f t="shared" si="9"/>
        <v>12.91629258</v>
      </c>
      <c r="AI595" s="17">
        <v>2.719000836219365</v>
      </c>
      <c r="AJ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19">
        <f t="shared" si="10"/>
        <v>49.65</v>
      </c>
      <c r="X596" s="20">
        <f t="shared" si="1"/>
        <v>0</v>
      </c>
      <c r="Y596" s="20">
        <f t="shared" si="2"/>
        <v>0</v>
      </c>
      <c r="Z596" s="20">
        <f t="shared" si="3"/>
        <v>14823.71759</v>
      </c>
      <c r="AA596" s="20">
        <f t="shared" si="4"/>
        <v>0</v>
      </c>
      <c r="AB596" s="20">
        <f t="shared" si="5"/>
        <v>0</v>
      </c>
      <c r="AC596" s="20">
        <f t="shared" si="6"/>
        <v>2.018606002</v>
      </c>
      <c r="AD596" s="2"/>
      <c r="AE596" s="20">
        <v>14823.717586685472</v>
      </c>
      <c r="AF596" s="20">
        <f t="shared" si="7"/>
        <v>2334.94965</v>
      </c>
      <c r="AG596" s="20">
        <f t="shared" si="8"/>
        <v>177.6922115</v>
      </c>
      <c r="AH596" s="20">
        <f t="shared" si="9"/>
        <v>17.72799929</v>
      </c>
      <c r="AI596" s="20">
        <v>2.0186060022020884</v>
      </c>
      <c r="AJ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16">
        <f t="shared" si="10"/>
        <v>49.7</v>
      </c>
      <c r="X597" s="17">
        <f t="shared" si="1"/>
        <v>0</v>
      </c>
      <c r="Y597" s="17">
        <f t="shared" si="2"/>
        <v>0</v>
      </c>
      <c r="Z597" s="17">
        <f t="shared" si="3"/>
        <v>17343.0205</v>
      </c>
      <c r="AA597" s="17">
        <f t="shared" si="4"/>
        <v>0</v>
      </c>
      <c r="AB597" s="17">
        <f t="shared" si="5"/>
        <v>0</v>
      </c>
      <c r="AC597" s="17">
        <f t="shared" si="6"/>
        <v>1.619932804</v>
      </c>
      <c r="AD597" s="2"/>
      <c r="AE597" s="17">
        <v>17343.02049545592</v>
      </c>
      <c r="AF597" s="17">
        <f t="shared" si="7"/>
        <v>2878.727854</v>
      </c>
      <c r="AG597" s="17">
        <f t="shared" si="8"/>
        <v>230.9752285</v>
      </c>
      <c r="AH597" s="17">
        <f t="shared" si="9"/>
        <v>24.24725597</v>
      </c>
      <c r="AI597" s="17">
        <v>1.6199328035581857</v>
      </c>
      <c r="AJ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19">
        <f t="shared" si="10"/>
        <v>49.75</v>
      </c>
      <c r="X598" s="20">
        <f t="shared" si="1"/>
        <v>0</v>
      </c>
      <c r="Y598" s="20">
        <f t="shared" si="2"/>
        <v>0</v>
      </c>
      <c r="Z598" s="20">
        <f t="shared" si="3"/>
        <v>20159.89476</v>
      </c>
      <c r="AA598" s="20">
        <f t="shared" si="4"/>
        <v>0</v>
      </c>
      <c r="AB598" s="20">
        <f t="shared" si="5"/>
        <v>0</v>
      </c>
      <c r="AC598" s="20">
        <f t="shared" si="6"/>
        <v>1.462944707</v>
      </c>
      <c r="AD598" s="2"/>
      <c r="AE598" s="20">
        <v>20159.89476467553</v>
      </c>
      <c r="AF598" s="20">
        <f t="shared" si="7"/>
        <v>3526.380956</v>
      </c>
      <c r="AG598" s="20">
        <f t="shared" si="8"/>
        <v>298.3179428</v>
      </c>
      <c r="AH598" s="20">
        <f t="shared" si="9"/>
        <v>32.9972141</v>
      </c>
      <c r="AI598" s="20">
        <v>1.4629447074925046</v>
      </c>
      <c r="AJ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16">
        <f t="shared" si="10"/>
        <v>49.8</v>
      </c>
      <c r="X599" s="17">
        <f t="shared" si="1"/>
        <v>0</v>
      </c>
      <c r="Y599" s="17">
        <f t="shared" si="2"/>
        <v>0</v>
      </c>
      <c r="Z599" s="17">
        <f t="shared" si="3"/>
        <v>23283.46988</v>
      </c>
      <c r="AA599" s="17">
        <f t="shared" si="4"/>
        <v>0</v>
      </c>
      <c r="AB599" s="17">
        <f t="shared" si="5"/>
        <v>0</v>
      </c>
      <c r="AC599" s="17">
        <f t="shared" si="6"/>
        <v>1.517225414</v>
      </c>
      <c r="AD599" s="2"/>
      <c r="AE599" s="17">
        <v>23283.46988125656</v>
      </c>
      <c r="AF599" s="17">
        <f t="shared" si="7"/>
        <v>4292.036149</v>
      </c>
      <c r="AG599" s="17">
        <f t="shared" si="8"/>
        <v>382.8330674</v>
      </c>
      <c r="AH599" s="17">
        <f t="shared" si="9"/>
        <v>44.64679468</v>
      </c>
      <c r="AI599" s="17">
        <v>1.5172254142135166</v>
      </c>
      <c r="AJ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19">
        <f t="shared" si="10"/>
        <v>49.85</v>
      </c>
      <c r="X600" s="20">
        <f t="shared" si="1"/>
        <v>0</v>
      </c>
      <c r="Y600" s="20">
        <f t="shared" si="2"/>
        <v>0.000000000357837699</v>
      </c>
      <c r="Z600" s="20">
        <f t="shared" si="3"/>
        <v>26717.94572</v>
      </c>
      <c r="AA600" s="20">
        <f t="shared" si="4"/>
        <v>0</v>
      </c>
      <c r="AB600" s="20">
        <f t="shared" si="5"/>
        <v>0</v>
      </c>
      <c r="AC600" s="20">
        <f t="shared" si="6"/>
        <v>1.777597994</v>
      </c>
      <c r="AD600" s="2"/>
      <c r="AE600" s="20">
        <v>26717.945717957962</v>
      </c>
      <c r="AF600" s="20">
        <f t="shared" si="7"/>
        <v>5190.426433</v>
      </c>
      <c r="AG600" s="20">
        <f t="shared" si="8"/>
        <v>488.1521528</v>
      </c>
      <c r="AH600" s="20">
        <f t="shared" si="9"/>
        <v>60.04204914</v>
      </c>
      <c r="AI600" s="20">
        <v>1.777597993975359</v>
      </c>
      <c r="AJ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16">
        <f t="shared" si="10"/>
        <v>49.9</v>
      </c>
      <c r="X601" s="17">
        <f t="shared" si="1"/>
        <v>0</v>
      </c>
      <c r="Y601" s="17">
        <f t="shared" si="2"/>
        <v>0.000000009494411873</v>
      </c>
      <c r="Z601" s="17">
        <f t="shared" si="3"/>
        <v>30461.71441</v>
      </c>
      <c r="AA601" s="17">
        <f t="shared" si="4"/>
        <v>0</v>
      </c>
      <c r="AB601" s="17">
        <f t="shared" si="5"/>
        <v>0</v>
      </c>
      <c r="AC601" s="17">
        <f t="shared" si="6"/>
        <v>2.262057073</v>
      </c>
      <c r="AD601" s="2"/>
      <c r="AE601" s="17">
        <v>30461.71441314618</v>
      </c>
      <c r="AF601" s="17">
        <f t="shared" si="7"/>
        <v>6236.60493</v>
      </c>
      <c r="AG601" s="17">
        <f t="shared" si="8"/>
        <v>618.466936</v>
      </c>
      <c r="AH601" s="17">
        <f t="shared" si="9"/>
        <v>80.24259916</v>
      </c>
      <c r="AI601" s="17">
        <v>2.2620570733948133</v>
      </c>
      <c r="AJ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19">
        <f t="shared" si="10"/>
        <v>49.95</v>
      </c>
      <c r="X602" s="20">
        <f t="shared" si="1"/>
        <v>0</v>
      </c>
      <c r="Y602" s="20">
        <f t="shared" si="2"/>
        <v>0.0000002143621015</v>
      </c>
      <c r="Z602" s="20">
        <f t="shared" si="3"/>
        <v>34506.54996</v>
      </c>
      <c r="AA602" s="20">
        <f t="shared" si="4"/>
        <v>0</v>
      </c>
      <c r="AB602" s="20">
        <f t="shared" si="5"/>
        <v>0</v>
      </c>
      <c r="AC602" s="20">
        <f t="shared" si="6"/>
        <v>3.011710162</v>
      </c>
      <c r="AD602" s="2"/>
      <c r="AE602" s="20">
        <v>34506.549956673654</v>
      </c>
      <c r="AF602" s="20">
        <f t="shared" si="7"/>
        <v>7445.587165</v>
      </c>
      <c r="AG602" s="20">
        <f t="shared" si="8"/>
        <v>778.5619769</v>
      </c>
      <c r="AH602" s="20">
        <f t="shared" si="9"/>
        <v>106.5631808</v>
      </c>
      <c r="AI602" s="20">
        <v>3.0117101617114694</v>
      </c>
      <c r="AJ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16">
        <f t="shared" si="10"/>
        <v>50</v>
      </c>
      <c r="X603" s="17">
        <f t="shared" si="1"/>
        <v>0</v>
      </c>
      <c r="Y603" s="17">
        <f t="shared" si="2"/>
        <v>0.000004118375177</v>
      </c>
      <c r="Z603" s="17">
        <f t="shared" si="3"/>
        <v>38836.90885</v>
      </c>
      <c r="AA603" s="17">
        <f t="shared" si="4"/>
        <v>0</v>
      </c>
      <c r="AB603" s="17">
        <f t="shared" si="5"/>
        <v>0</v>
      </c>
      <c r="AC603" s="17">
        <f t="shared" si="6"/>
        <v>4.092536797</v>
      </c>
      <c r="AD603" s="2"/>
      <c r="AE603" s="17">
        <v>38836.90885060267</v>
      </c>
      <c r="AF603" s="17">
        <f t="shared" si="7"/>
        <v>8831.921402</v>
      </c>
      <c r="AG603" s="17">
        <f t="shared" si="8"/>
        <v>973.8347746</v>
      </c>
      <c r="AH603" s="17">
        <f t="shared" si="9"/>
        <v>140.6201072</v>
      </c>
      <c r="AI603" s="17">
        <v>4.092536797383204</v>
      </c>
      <c r="AJ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19">
        <f t="shared" si="10"/>
        <v>50.05</v>
      </c>
      <c r="X604" s="20">
        <f t="shared" si="1"/>
        <v>0</v>
      </c>
      <c r="Y604" s="20">
        <f t="shared" si="2"/>
        <v>0.00006732893925</v>
      </c>
      <c r="Z604" s="20">
        <f t="shared" si="3"/>
        <v>43429.3861</v>
      </c>
      <c r="AA604" s="20">
        <f t="shared" si="4"/>
        <v>0</v>
      </c>
      <c r="AB604" s="20">
        <f t="shared" si="5"/>
        <v>0</v>
      </c>
      <c r="AC604" s="20">
        <f t="shared" si="6"/>
        <v>5.598866034</v>
      </c>
      <c r="AD604" s="2"/>
      <c r="AE604" s="20">
        <v>43429.386096628645</v>
      </c>
      <c r="AF604" s="20">
        <f t="shared" si="7"/>
        <v>10409.19066</v>
      </c>
      <c r="AG604" s="20">
        <f t="shared" si="8"/>
        <v>1210.299166</v>
      </c>
      <c r="AH604" s="20">
        <f t="shared" si="9"/>
        <v>184.3821796</v>
      </c>
      <c r="AI604" s="20">
        <v>5.5988660337738985</v>
      </c>
      <c r="AJ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16">
        <f t="shared" si="10"/>
        <v>50.1</v>
      </c>
      <c r="X605" s="17">
        <f t="shared" si="1"/>
        <v>0</v>
      </c>
      <c r="Y605" s="17">
        <f t="shared" si="2"/>
        <v>0.0009366462534</v>
      </c>
      <c r="Z605" s="17">
        <f t="shared" si="3"/>
        <v>48252.36935</v>
      </c>
      <c r="AA605" s="17">
        <f t="shared" si="4"/>
        <v>0</v>
      </c>
      <c r="AB605" s="17">
        <f t="shared" si="5"/>
        <v>0</v>
      </c>
      <c r="AC605" s="17">
        <f t="shared" si="6"/>
        <v>7.658544779</v>
      </c>
      <c r="AD605" s="2"/>
      <c r="AE605" s="17">
        <v>48252.36934884743</v>
      </c>
      <c r="AF605" s="17">
        <f t="shared" si="7"/>
        <v>12189.45409</v>
      </c>
      <c r="AG605" s="17">
        <f t="shared" si="8"/>
        <v>1494.567545</v>
      </c>
      <c r="AH605" s="17">
        <f t="shared" si="9"/>
        <v>240.2252121</v>
      </c>
      <c r="AI605" s="17">
        <v>7.658544779359184</v>
      </c>
      <c r="AJ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19">
        <f t="shared" si="10"/>
        <v>50.15</v>
      </c>
      <c r="X606" s="20">
        <f t="shared" si="1"/>
        <v>0</v>
      </c>
      <c r="Y606" s="20">
        <f t="shared" si="2"/>
        <v>0.01108785126</v>
      </c>
      <c r="Z606" s="20">
        <f t="shared" si="3"/>
        <v>53265.93014</v>
      </c>
      <c r="AA606" s="20">
        <f t="shared" si="4"/>
        <v>0</v>
      </c>
      <c r="AB606" s="20">
        <f t="shared" si="5"/>
        <v>0</v>
      </c>
      <c r="AC606" s="20">
        <f t="shared" si="6"/>
        <v>10.43982208</v>
      </c>
      <c r="AD606" s="2"/>
      <c r="AE606" s="20">
        <v>53265.93013593884</v>
      </c>
      <c r="AF606" s="20">
        <f t="shared" si="7"/>
        <v>14182.6398</v>
      </c>
      <c r="AG606" s="20">
        <f t="shared" si="8"/>
        <v>1833.807373</v>
      </c>
      <c r="AH606" s="20">
        <f t="shared" si="9"/>
        <v>310.9889001</v>
      </c>
      <c r="AI606" s="20">
        <v>10.43982208091374</v>
      </c>
      <c r="AJ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16">
        <f t="shared" si="10"/>
        <v>50.2</v>
      </c>
      <c r="X607" s="17">
        <f t="shared" si="1"/>
        <v>0</v>
      </c>
      <c r="Y607" s="17">
        <f t="shared" si="2"/>
        <v>0.1116907342</v>
      </c>
      <c r="Z607" s="17">
        <f t="shared" si="3"/>
        <v>58421.98452</v>
      </c>
      <c r="AA607" s="17">
        <f t="shared" si="4"/>
        <v>0</v>
      </c>
      <c r="AB607" s="17">
        <f t="shared" si="5"/>
        <v>0</v>
      </c>
      <c r="AC607" s="17">
        <f t="shared" si="6"/>
        <v>14.16000739</v>
      </c>
      <c r="AD607" s="2"/>
      <c r="AE607" s="17">
        <v>58421.98451754179</v>
      </c>
      <c r="AF607" s="17">
        <f t="shared" si="7"/>
        <v>16395.90582</v>
      </c>
      <c r="AG607" s="17">
        <f t="shared" si="8"/>
        <v>2235.667604</v>
      </c>
      <c r="AH607" s="17">
        <f t="shared" si="9"/>
        <v>400.0342508</v>
      </c>
      <c r="AI607" s="17">
        <v>14.16000738514882</v>
      </c>
      <c r="AJ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19">
        <f t="shared" si="10"/>
        <v>50.25</v>
      </c>
      <c r="X608" s="20">
        <f t="shared" si="1"/>
        <v>0</v>
      </c>
      <c r="Y608" s="20">
        <f t="shared" si="2"/>
        <v>0.9573811298</v>
      </c>
      <c r="Z608" s="20">
        <f t="shared" si="3"/>
        <v>63664.74648</v>
      </c>
      <c r="AA608" s="20">
        <f t="shared" si="4"/>
        <v>0</v>
      </c>
      <c r="AB608" s="20">
        <f t="shared" si="5"/>
        <v>0</v>
      </c>
      <c r="AC608" s="20">
        <f t="shared" si="6"/>
        <v>19.09597328</v>
      </c>
      <c r="AD608" s="2"/>
      <c r="AE608" s="20">
        <v>63664.746478285175</v>
      </c>
      <c r="AF608" s="20">
        <f t="shared" si="7"/>
        <v>18832.99024</v>
      </c>
      <c r="AG608" s="20">
        <f t="shared" si="8"/>
        <v>2708.171131</v>
      </c>
      <c r="AH608" s="20">
        <f t="shared" si="9"/>
        <v>511.2992295</v>
      </c>
      <c r="AI608" s="20">
        <v>19.095973283060562</v>
      </c>
      <c r="AJ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16">
        <f t="shared" si="10"/>
        <v>50.3</v>
      </c>
      <c r="X609" s="17">
        <f t="shared" si="1"/>
        <v>0</v>
      </c>
      <c r="Y609" s="17">
        <f t="shared" si="2"/>
        <v>6.983136702</v>
      </c>
      <c r="Z609" s="17">
        <f t="shared" si="3"/>
        <v>68931.48604</v>
      </c>
      <c r="AA609" s="17">
        <f t="shared" si="4"/>
        <v>0</v>
      </c>
      <c r="AB609" s="17">
        <f t="shared" si="5"/>
        <v>0</v>
      </c>
      <c r="AC609" s="17">
        <f t="shared" si="6"/>
        <v>25.5965638</v>
      </c>
      <c r="AD609" s="2"/>
      <c r="AE609" s="17">
        <v>68931.48604234408</v>
      </c>
      <c r="AF609" s="17">
        <f t="shared" si="7"/>
        <v>21493.57576</v>
      </c>
      <c r="AG609" s="17">
        <f t="shared" si="8"/>
        <v>3259.5701</v>
      </c>
      <c r="AH609" s="17">
        <f t="shared" si="9"/>
        <v>649.3496745</v>
      </c>
      <c r="AI609" s="17">
        <v>25.596563796019172</v>
      </c>
      <c r="AJ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19">
        <f t="shared" si="10"/>
        <v>50.35</v>
      </c>
      <c r="X610" s="20">
        <f t="shared" si="1"/>
        <v>0</v>
      </c>
      <c r="Y610" s="20">
        <f t="shared" si="2"/>
        <v>43.34252295</v>
      </c>
      <c r="Z610" s="20">
        <f t="shared" si="3"/>
        <v>74153.59096</v>
      </c>
      <c r="AA610" s="20">
        <f t="shared" si="4"/>
        <v>0</v>
      </c>
      <c r="AB610" s="20">
        <f t="shared" si="5"/>
        <v>0</v>
      </c>
      <c r="AC610" s="20">
        <f t="shared" si="6"/>
        <v>34.09693604</v>
      </c>
      <c r="AD610" s="2"/>
      <c r="AE610" s="20">
        <v>74153.59095532869</v>
      </c>
      <c r="AF610" s="20">
        <f t="shared" si="7"/>
        <v>24372.69693</v>
      </c>
      <c r="AG610" s="20">
        <f t="shared" si="8"/>
        <v>3898.162122</v>
      </c>
      <c r="AH610" s="20">
        <f t="shared" si="9"/>
        <v>819.4219183</v>
      </c>
      <c r="AI610" s="20">
        <v>34.096936042823984</v>
      </c>
      <c r="AJ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16">
        <f t="shared" si="10"/>
        <v>50.4</v>
      </c>
      <c r="X611" s="17">
        <f t="shared" si="1"/>
        <v>0.00000003474586282</v>
      </c>
      <c r="Y611" s="17">
        <f t="shared" si="2"/>
        <v>228.9158135</v>
      </c>
      <c r="Z611" s="17">
        <f t="shared" si="3"/>
        <v>79257.91644</v>
      </c>
      <c r="AA611" s="17">
        <f t="shared" si="4"/>
        <v>0</v>
      </c>
      <c r="AB611" s="17">
        <f t="shared" si="5"/>
        <v>0</v>
      </c>
      <c r="AC611" s="17">
        <f t="shared" si="6"/>
        <v>45.1348041</v>
      </c>
      <c r="AD611" s="2"/>
      <c r="AE611" s="17">
        <v>79257.91644024292</v>
      </c>
      <c r="AF611" s="17">
        <f t="shared" si="7"/>
        <v>27460.22102</v>
      </c>
      <c r="AG611" s="17">
        <f t="shared" si="8"/>
        <v>4632.066861</v>
      </c>
      <c r="AH611" s="17">
        <f t="shared" si="9"/>
        <v>1027.452978</v>
      </c>
      <c r="AI611" s="17">
        <v>45.13480409637194</v>
      </c>
      <c r="AJ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19">
        <f t="shared" si="10"/>
        <v>50.45</v>
      </c>
      <c r="X612" s="20">
        <f t="shared" si="1"/>
        <v>0.00001417559777</v>
      </c>
      <c r="Y612" s="20">
        <f t="shared" si="2"/>
        <v>1028.810446</v>
      </c>
      <c r="Z612" s="20">
        <f t="shared" si="3"/>
        <v>84168.39274</v>
      </c>
      <c r="AA612" s="20">
        <f t="shared" si="4"/>
        <v>0</v>
      </c>
      <c r="AB612" s="20">
        <f t="shared" si="5"/>
        <v>0</v>
      </c>
      <c r="AC612" s="20">
        <f t="shared" si="6"/>
        <v>59.36846712</v>
      </c>
      <c r="AD612" s="2"/>
      <c r="AE612" s="20">
        <v>84168.39274100002</v>
      </c>
      <c r="AF612" s="20">
        <f t="shared" si="7"/>
        <v>30740.43392</v>
      </c>
      <c r="AG612" s="20">
        <f t="shared" si="8"/>
        <v>5468.964349</v>
      </c>
      <c r="AH612" s="20">
        <f t="shared" si="9"/>
        <v>1280.093667</v>
      </c>
      <c r="AI612" s="20">
        <v>59.36846712025142</v>
      </c>
      <c r="AJ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16">
        <f t="shared" si="10"/>
        <v>50.5</v>
      </c>
      <c r="X613" s="17">
        <f t="shared" si="1"/>
        <v>0.003032295459</v>
      </c>
      <c r="Y613" s="17">
        <f t="shared" si="2"/>
        <v>3934.53034</v>
      </c>
      <c r="Z613" s="17">
        <f t="shared" si="3"/>
        <v>88807.84577</v>
      </c>
      <c r="AA613" s="17">
        <f t="shared" si="4"/>
        <v>0</v>
      </c>
      <c r="AB613" s="17">
        <f t="shared" si="5"/>
        <v>0</v>
      </c>
      <c r="AC613" s="17">
        <f t="shared" si="6"/>
        <v>77.59638816</v>
      </c>
      <c r="AD613" s="2"/>
      <c r="AE613" s="17">
        <v>88807.84576858731</v>
      </c>
      <c r="AF613" s="17">
        <f t="shared" si="7"/>
        <v>34191.7621</v>
      </c>
      <c r="AG613" s="17">
        <f t="shared" si="8"/>
        <v>6415.798499</v>
      </c>
      <c r="AH613" s="17">
        <f t="shared" si="9"/>
        <v>1584.699611</v>
      </c>
      <c r="AI613" s="17">
        <v>77.59638816405051</v>
      </c>
      <c r="AJ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19">
        <f t="shared" si="10"/>
        <v>50.55</v>
      </c>
      <c r="X614" s="20">
        <f t="shared" si="1"/>
        <v>0.3400897181</v>
      </c>
      <c r="Y614" s="20">
        <f t="shared" si="2"/>
        <v>12804.08048</v>
      </c>
      <c r="Z614" s="20">
        <f t="shared" si="3"/>
        <v>93099.97305</v>
      </c>
      <c r="AA614" s="20">
        <f t="shared" si="4"/>
        <v>0</v>
      </c>
      <c r="AB614" s="20">
        <f t="shared" si="5"/>
        <v>0</v>
      </c>
      <c r="AC614" s="20">
        <f t="shared" si="6"/>
        <v>100.777945</v>
      </c>
      <c r="AD614" s="2"/>
      <c r="AE614" s="20">
        <v>93099.97305299834</v>
      </c>
      <c r="AF614" s="20">
        <f t="shared" si="7"/>
        <v>37786.65925</v>
      </c>
      <c r="AG614" s="20">
        <f t="shared" si="8"/>
        <v>7478.451634</v>
      </c>
      <c r="AH614" s="20">
        <f t="shared" si="9"/>
        <v>1949.294955</v>
      </c>
      <c r="AI614" s="20">
        <v>100.77794503258306</v>
      </c>
      <c r="AJ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16">
        <f t="shared" si="10"/>
        <v>50.6</v>
      </c>
      <c r="X615" s="17">
        <f t="shared" si="1"/>
        <v>19.99895677</v>
      </c>
      <c r="Y615" s="17">
        <f t="shared" si="2"/>
        <v>35456.9892</v>
      </c>
      <c r="Z615" s="17">
        <f t="shared" si="3"/>
        <v>96971.40625</v>
      </c>
      <c r="AA615" s="17">
        <f t="shared" si="4"/>
        <v>0</v>
      </c>
      <c r="AB615" s="17">
        <f t="shared" si="5"/>
        <v>0</v>
      </c>
      <c r="AC615" s="17">
        <f t="shared" si="6"/>
        <v>130.0548017</v>
      </c>
      <c r="AD615" s="2"/>
      <c r="AE615" s="17">
        <v>96971.40625204492</v>
      </c>
      <c r="AF615" s="17">
        <f t="shared" si="7"/>
        <v>41491.68156</v>
      </c>
      <c r="AG615" s="17">
        <f t="shared" si="8"/>
        <v>8661.39836</v>
      </c>
      <c r="AH615" s="17">
        <f t="shared" si="9"/>
        <v>2382.503625</v>
      </c>
      <c r="AI615" s="17">
        <v>130.05480173074847</v>
      </c>
      <c r="AJ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19">
        <f t="shared" si="10"/>
        <v>50.65</v>
      </c>
      <c r="X616" s="20">
        <f t="shared" si="1"/>
        <v>616.6135069</v>
      </c>
      <c r="Y616" s="20">
        <f t="shared" si="2"/>
        <v>83551.31279</v>
      </c>
      <c r="Z616" s="20">
        <f t="shared" si="3"/>
        <v>100353.7835</v>
      </c>
      <c r="AA616" s="20">
        <f t="shared" si="4"/>
        <v>0</v>
      </c>
      <c r="AB616" s="20">
        <f t="shared" si="5"/>
        <v>0</v>
      </c>
      <c r="AC616" s="20">
        <f t="shared" si="6"/>
        <v>166.7721515</v>
      </c>
      <c r="AD616" s="2"/>
      <c r="AE616" s="20">
        <v>100353.78346690189</v>
      </c>
      <c r="AF616" s="20">
        <f t="shared" si="7"/>
        <v>45267.7699</v>
      </c>
      <c r="AG616" s="20">
        <f t="shared" si="8"/>
        <v>9967.349526</v>
      </c>
      <c r="AH616" s="20">
        <f t="shared" si="9"/>
        <v>2893.443357</v>
      </c>
      <c r="AI616" s="20">
        <v>166.77215150637645</v>
      </c>
      <c r="AJ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16">
        <f t="shared" si="10"/>
        <v>50.7</v>
      </c>
      <c r="X617" s="17">
        <f t="shared" si="1"/>
        <v>9968.058512</v>
      </c>
      <c r="Y617" s="17">
        <f t="shared" si="2"/>
        <v>167533.8868</v>
      </c>
      <c r="Z617" s="17">
        <f t="shared" si="3"/>
        <v>103185.7502</v>
      </c>
      <c r="AA617" s="17">
        <f t="shared" si="4"/>
        <v>0</v>
      </c>
      <c r="AB617" s="17">
        <f t="shared" si="5"/>
        <v>0</v>
      </c>
      <c r="AC617" s="17">
        <f t="shared" si="6"/>
        <v>212.4988664</v>
      </c>
      <c r="AD617" s="2"/>
      <c r="AE617" s="17">
        <v>103185.7502090923</v>
      </c>
      <c r="AF617" s="17">
        <f t="shared" si="7"/>
        <v>49070.74909</v>
      </c>
      <c r="AG617" s="17">
        <f t="shared" si="8"/>
        <v>11396.89935</v>
      </c>
      <c r="AH617" s="17">
        <f t="shared" si="9"/>
        <v>3491.578435</v>
      </c>
      <c r="AI617" s="17">
        <v>212.49886641719635</v>
      </c>
      <c r="AJ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19">
        <f t="shared" si="10"/>
        <v>50.75</v>
      </c>
      <c r="X618" s="20">
        <f t="shared" si="1"/>
        <v>84488.96233</v>
      </c>
      <c r="Y618" s="20">
        <f t="shared" si="2"/>
        <v>285857.7781</v>
      </c>
      <c r="Z618" s="20">
        <f t="shared" si="3"/>
        <v>105414.8075</v>
      </c>
      <c r="AA618" s="20">
        <f t="shared" si="4"/>
        <v>0</v>
      </c>
      <c r="AB618" s="20">
        <f t="shared" si="5"/>
        <v>0</v>
      </c>
      <c r="AC618" s="20">
        <f t="shared" si="6"/>
        <v>269.0453625</v>
      </c>
      <c r="AD618" s="2"/>
      <c r="AE618" s="20">
        <v>105414.80749951297</v>
      </c>
      <c r="AF618" s="20">
        <f t="shared" si="7"/>
        <v>52852.04553</v>
      </c>
      <c r="AG618" s="20">
        <f t="shared" si="8"/>
        <v>12948.19074</v>
      </c>
      <c r="AH618" s="20">
        <f t="shared" si="9"/>
        <v>4186.52822</v>
      </c>
      <c r="AI618" s="20">
        <v>269.0453625412023</v>
      </c>
      <c r="AJ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16">
        <f t="shared" si="10"/>
        <v>50.8</v>
      </c>
      <c r="X619" s="17">
        <f t="shared" si="1"/>
        <v>375475.1735</v>
      </c>
      <c r="Y619" s="17">
        <f t="shared" si="2"/>
        <v>415045.1338</v>
      </c>
      <c r="Z619" s="17">
        <f t="shared" si="3"/>
        <v>106998.9295</v>
      </c>
      <c r="AA619" s="17">
        <f t="shared" si="4"/>
        <v>0</v>
      </c>
      <c r="AB619" s="17">
        <f t="shared" si="5"/>
        <v>0</v>
      </c>
      <c r="AC619" s="17">
        <f t="shared" si="6"/>
        <v>338.4777665</v>
      </c>
      <c r="AD619" s="2"/>
      <c r="AE619" s="17">
        <v>106998.92945919187</v>
      </c>
      <c r="AF619" s="17">
        <f t="shared" si="7"/>
        <v>56559.61413</v>
      </c>
      <c r="AG619" s="17">
        <f t="shared" si="8"/>
        <v>14616.61522</v>
      </c>
      <c r="AH619" s="17">
        <f t="shared" si="9"/>
        <v>4987.830036</v>
      </c>
      <c r="AI619" s="17">
        <v>338.4777665348038</v>
      </c>
      <c r="AJ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19">
        <f t="shared" si="10"/>
        <v>50.85</v>
      </c>
      <c r="X620" s="20">
        <f t="shared" si="1"/>
        <v>874891.7674</v>
      </c>
      <c r="Y620" s="20">
        <f t="shared" si="2"/>
        <v>512788.884</v>
      </c>
      <c r="Z620" s="20">
        <f t="shared" si="3"/>
        <v>107907.8808</v>
      </c>
      <c r="AA620" s="20">
        <f t="shared" si="4"/>
        <v>0</v>
      </c>
      <c r="AB620" s="20">
        <f t="shared" si="5"/>
        <v>0</v>
      </c>
      <c r="AC620" s="20">
        <f t="shared" si="6"/>
        <v>423.1267635</v>
      </c>
      <c r="AD620" s="2"/>
      <c r="AE620" s="20">
        <v>107907.88080782053</v>
      </c>
      <c r="AF620" s="20">
        <f t="shared" si="7"/>
        <v>60139.05505</v>
      </c>
      <c r="AG620" s="20">
        <f t="shared" si="8"/>
        <v>16394.56472</v>
      </c>
      <c r="AH620" s="20">
        <f t="shared" si="9"/>
        <v>5904.656966</v>
      </c>
      <c r="AI620" s="20">
        <v>423.1267635415282</v>
      </c>
      <c r="AJ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16">
        <f t="shared" si="10"/>
        <v>50.9</v>
      </c>
      <c r="X621" s="17">
        <f t="shared" si="1"/>
        <v>1068856.213</v>
      </c>
      <c r="Y621" s="17">
        <f t="shared" si="2"/>
        <v>539113.0456</v>
      </c>
      <c r="Z621" s="17">
        <f t="shared" si="3"/>
        <v>108124.1766</v>
      </c>
      <c r="AA621" s="17">
        <f t="shared" si="4"/>
        <v>0</v>
      </c>
      <c r="AB621" s="17">
        <f t="shared" si="5"/>
        <v>0</v>
      </c>
      <c r="AC621" s="17">
        <f t="shared" si="6"/>
        <v>525.5893367</v>
      </c>
      <c r="AD621" s="2"/>
      <c r="AE621" s="17">
        <v>108124.17658020067</v>
      </c>
      <c r="AF621" s="17">
        <f t="shared" si="7"/>
        <v>63534.89061</v>
      </c>
      <c r="AG621" s="17">
        <f t="shared" si="8"/>
        <v>18271.25241</v>
      </c>
      <c r="AH621" s="17">
        <f t="shared" si="9"/>
        <v>6945.493365</v>
      </c>
      <c r="AI621" s="17">
        <v>525.5893367470101</v>
      </c>
      <c r="AJ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19">
        <f t="shared" si="10"/>
        <v>50.95</v>
      </c>
      <c r="X622" s="20">
        <f t="shared" si="1"/>
        <v>684661.7954</v>
      </c>
      <c r="Y622" s="20">
        <f t="shared" si="2"/>
        <v>482301.9783</v>
      </c>
      <c r="Z622" s="20">
        <f t="shared" si="3"/>
        <v>107643.6415</v>
      </c>
      <c r="AA622" s="20">
        <f t="shared" si="4"/>
        <v>0</v>
      </c>
      <c r="AB622" s="20">
        <f t="shared" si="5"/>
        <v>0</v>
      </c>
      <c r="AC622" s="20">
        <f t="shared" si="6"/>
        <v>648.7214958</v>
      </c>
      <c r="AD622" s="2"/>
      <c r="AE622" s="20">
        <v>107643.64150510142</v>
      </c>
      <c r="AF622" s="20">
        <f t="shared" si="7"/>
        <v>66691.96257</v>
      </c>
      <c r="AG622" s="20">
        <f t="shared" si="8"/>
        <v>20232.61859</v>
      </c>
      <c r="AH622" s="20">
        <f t="shared" si="9"/>
        <v>8117.773547</v>
      </c>
      <c r="AI622" s="20">
        <v>648.7214958133522</v>
      </c>
      <c r="AJ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16">
        <f t="shared" si="10"/>
        <v>51</v>
      </c>
      <c r="X623" s="17">
        <f t="shared" si="1"/>
        <v>229945.4159</v>
      </c>
      <c r="Y623" s="17">
        <f t="shared" si="2"/>
        <v>367160.7165</v>
      </c>
      <c r="Z623" s="17">
        <f t="shared" si="3"/>
        <v>106475.544</v>
      </c>
      <c r="AA623" s="17">
        <f t="shared" si="4"/>
        <v>0</v>
      </c>
      <c r="AB623" s="17">
        <f t="shared" si="5"/>
        <v>0</v>
      </c>
      <c r="AC623" s="17">
        <f t="shared" si="6"/>
        <v>795.6200571</v>
      </c>
      <c r="AD623" s="2"/>
      <c r="AE623" s="17">
        <v>106475.54404624313</v>
      </c>
      <c r="AF623" s="17">
        <f t="shared" si="7"/>
        <v>69556.90247</v>
      </c>
      <c r="AG623" s="17">
        <f t="shared" si="8"/>
        <v>22261.33587</v>
      </c>
      <c r="AH623" s="17">
        <f t="shared" si="9"/>
        <v>9427.491861</v>
      </c>
      <c r="AI623" s="17">
        <v>795.620057064608</v>
      </c>
      <c r="AJ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19">
        <f t="shared" si="10"/>
        <v>51.05</v>
      </c>
      <c r="X624" s="20">
        <f t="shared" si="1"/>
        <v>40491.63099</v>
      </c>
      <c r="Y624" s="20">
        <f t="shared" si="2"/>
        <v>237843.5275</v>
      </c>
      <c r="Z624" s="20">
        <f t="shared" si="3"/>
        <v>104642.2991</v>
      </c>
      <c r="AA624" s="20">
        <f t="shared" si="4"/>
        <v>0</v>
      </c>
      <c r="AB624" s="20">
        <f t="shared" si="5"/>
        <v>0</v>
      </c>
      <c r="AC624" s="20">
        <f t="shared" si="6"/>
        <v>969.5916048</v>
      </c>
      <c r="AD624" s="2"/>
      <c r="AE624" s="20">
        <v>104642.29909384635</v>
      </c>
      <c r="AF624" s="20">
        <f t="shared" si="7"/>
        <v>72079.62096</v>
      </c>
      <c r="AG624" s="20">
        <f t="shared" si="8"/>
        <v>24336.9248</v>
      </c>
      <c r="AH624" s="20">
        <f t="shared" si="9"/>
        <v>10878.79525</v>
      </c>
      <c r="AI624" s="20">
        <v>969.5916047605022</v>
      </c>
      <c r="AJ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16">
        <f t="shared" si="10"/>
        <v>51.1</v>
      </c>
      <c r="X625" s="17">
        <f t="shared" si="1"/>
        <v>3738.502173</v>
      </c>
      <c r="Y625" s="17">
        <f t="shared" si="2"/>
        <v>131106.562</v>
      </c>
      <c r="Z625" s="17">
        <f t="shared" si="3"/>
        <v>102178.7526</v>
      </c>
      <c r="AA625" s="17">
        <f t="shared" si="4"/>
        <v>0</v>
      </c>
      <c r="AB625" s="17">
        <f t="shared" si="5"/>
        <v>0</v>
      </c>
      <c r="AC625" s="17">
        <f t="shared" si="6"/>
        <v>1174.106951</v>
      </c>
      <c r="AD625" s="2"/>
      <c r="AE625" s="17">
        <v>102178.75262980924</v>
      </c>
      <c r="AF625" s="17">
        <f t="shared" si="7"/>
        <v>74214.75863</v>
      </c>
      <c r="AG625" s="17">
        <f t="shared" si="8"/>
        <v>26435.98694</v>
      </c>
      <c r="AH625" s="17">
        <f t="shared" si="9"/>
        <v>12473.57212</v>
      </c>
      <c r="AI625" s="17">
        <v>1174.10695058997</v>
      </c>
      <c r="AJ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19">
        <f t="shared" si="10"/>
        <v>51.15</v>
      </c>
      <c r="X626" s="20">
        <f t="shared" si="1"/>
        <v>180.9763634</v>
      </c>
      <c r="Y626" s="20">
        <f t="shared" si="2"/>
        <v>61497.22002</v>
      </c>
      <c r="Z626" s="20">
        <f t="shared" si="3"/>
        <v>99131.08026</v>
      </c>
      <c r="AA626" s="20">
        <f t="shared" si="4"/>
        <v>0</v>
      </c>
      <c r="AB626" s="20">
        <f t="shared" si="5"/>
        <v>0</v>
      </c>
      <c r="AC626" s="20">
        <f t="shared" si="6"/>
        <v>1412.739735</v>
      </c>
      <c r="AD626" s="2"/>
      <c r="AE626" s="20">
        <v>99131.08025822298</v>
      </c>
      <c r="AF626" s="20">
        <f t="shared" si="7"/>
        <v>75923.03999</v>
      </c>
      <c r="AG626" s="20">
        <f t="shared" si="8"/>
        <v>28532.55792</v>
      </c>
      <c r="AH626" s="20">
        <f t="shared" si="9"/>
        <v>14211.05383</v>
      </c>
      <c r="AI626" s="20">
        <v>1412.7397345427758</v>
      </c>
      <c r="AJ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16">
        <f t="shared" si="10"/>
        <v>51.2</v>
      </c>
      <c r="X627" s="17">
        <f t="shared" si="1"/>
        <v>4.59343875</v>
      </c>
      <c r="Y627" s="17">
        <f t="shared" si="2"/>
        <v>24546.21321</v>
      </c>
      <c r="Z627" s="17">
        <f t="shared" si="3"/>
        <v>95555.34824</v>
      </c>
      <c r="AA627" s="17">
        <f t="shared" si="4"/>
        <v>0</v>
      </c>
      <c r="AB627" s="17">
        <f t="shared" si="5"/>
        <v>0</v>
      </c>
      <c r="AC627" s="17">
        <f t="shared" si="6"/>
        <v>1689.088286</v>
      </c>
      <c r="AD627" s="2"/>
      <c r="AE627" s="17">
        <v>95555.34823743593</v>
      </c>
      <c r="AF627" s="17">
        <f t="shared" si="7"/>
        <v>77172.47407</v>
      </c>
      <c r="AG627" s="17">
        <f t="shared" si="8"/>
        <v>30598.5775</v>
      </c>
      <c r="AH627" s="17">
        <f t="shared" si="9"/>
        <v>16087.447</v>
      </c>
      <c r="AI627" s="17">
        <v>1689.0882857290264</v>
      </c>
      <c r="AJ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19">
        <f t="shared" si="10"/>
        <v>51.25</v>
      </c>
      <c r="X628" s="20">
        <f t="shared" si="1"/>
        <v>0.06112879785</v>
      </c>
      <c r="Y628" s="20">
        <f t="shared" si="2"/>
        <v>8337.032288</v>
      </c>
      <c r="Z628" s="20">
        <f t="shared" si="3"/>
        <v>91515.79964</v>
      </c>
      <c r="AA628" s="20">
        <f t="shared" si="4"/>
        <v>0</v>
      </c>
      <c r="AB628" s="20">
        <f t="shared" si="5"/>
        <v>0</v>
      </c>
      <c r="AC628" s="20">
        <f t="shared" si="6"/>
        <v>2006.68049</v>
      </c>
      <c r="AD628" s="2"/>
      <c r="AE628" s="20">
        <v>91515.79963931518</v>
      </c>
      <c r="AF628" s="20">
        <f t="shared" si="7"/>
        <v>77939.35054</v>
      </c>
      <c r="AG628" s="20">
        <f t="shared" si="8"/>
        <v>32604.46788</v>
      </c>
      <c r="AH628" s="20">
        <f t="shared" si="9"/>
        <v>18095.61621</v>
      </c>
      <c r="AI628" s="20">
        <v>2006.68048974537</v>
      </c>
      <c r="AJ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16">
        <f t="shared" si="10"/>
        <v>51.3</v>
      </c>
      <c r="X629" s="17">
        <f t="shared" si="1"/>
        <v>0.0004265261211</v>
      </c>
      <c r="Y629" s="17">
        <f t="shared" si="2"/>
        <v>2409.552693</v>
      </c>
      <c r="Z629" s="17">
        <f t="shared" si="3"/>
        <v>87082.93876</v>
      </c>
      <c r="AA629" s="17">
        <f t="shared" si="4"/>
        <v>0</v>
      </c>
      <c r="AB629" s="17">
        <f t="shared" si="5"/>
        <v>0</v>
      </c>
      <c r="AC629" s="17">
        <f t="shared" si="6"/>
        <v>2368.862183</v>
      </c>
      <c r="AD629" s="2"/>
      <c r="AE629" s="17">
        <v>87082.93875513511</v>
      </c>
      <c r="AF629" s="17">
        <f t="shared" si="7"/>
        <v>78208.98798</v>
      </c>
      <c r="AG629" s="17">
        <f t="shared" si="8"/>
        <v>34519.80605</v>
      </c>
      <c r="AH629" s="17">
        <f t="shared" si="9"/>
        <v>20224.83685</v>
      </c>
      <c r="AI629" s="17">
        <v>2368.86218314776</v>
      </c>
      <c r="AJ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19">
        <f t="shared" si="10"/>
        <v>51.35</v>
      </c>
      <c r="X630" s="20">
        <f t="shared" si="1"/>
        <v>0.000001560404751</v>
      </c>
      <c r="Y630" s="20">
        <f t="shared" si="2"/>
        <v>592.596846</v>
      </c>
      <c r="Z630" s="20">
        <f t="shared" si="3"/>
        <v>82331.49336</v>
      </c>
      <c r="AA630" s="20">
        <f t="shared" si="4"/>
        <v>0</v>
      </c>
      <c r="AB630" s="20">
        <f t="shared" si="5"/>
        <v>0</v>
      </c>
      <c r="AC630" s="20">
        <f t="shared" si="6"/>
        <v>2778.670497</v>
      </c>
      <c r="AD630" s="2"/>
      <c r="AE630" s="20">
        <v>82331.49336294875</v>
      </c>
      <c r="AF630" s="20">
        <f t="shared" si="7"/>
        <v>77976.20135</v>
      </c>
      <c r="AG630" s="20">
        <f t="shared" si="8"/>
        <v>36314.0701</v>
      </c>
      <c r="AH630" s="20">
        <f t="shared" si="9"/>
        <v>22460.63756</v>
      </c>
      <c r="AI630" s="20">
        <v>2778.6704972759876</v>
      </c>
      <c r="AJ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16">
        <f t="shared" si="10"/>
        <v>51.4</v>
      </c>
      <c r="X631" s="17">
        <f t="shared" si="1"/>
        <v>0.000000002993096697</v>
      </c>
      <c r="Y631" s="17">
        <f t="shared" si="2"/>
        <v>124.0167102</v>
      </c>
      <c r="Z631" s="17">
        <f t="shared" si="3"/>
        <v>77338.33673</v>
      </c>
      <c r="AA631" s="17">
        <f t="shared" si="4"/>
        <v>0</v>
      </c>
      <c r="AB631" s="17">
        <f t="shared" si="5"/>
        <v>0</v>
      </c>
      <c r="AC631" s="17">
        <f t="shared" si="6"/>
        <v>3238.694572</v>
      </c>
      <c r="AD631" s="2"/>
      <c r="AE631" s="17">
        <v>77338.33673204345</v>
      </c>
      <c r="AF631" s="17">
        <f t="shared" si="7"/>
        <v>77245.46777</v>
      </c>
      <c r="AG631" s="17">
        <f t="shared" si="8"/>
        <v>37957.43515</v>
      </c>
      <c r="AH631" s="17">
        <f t="shared" si="9"/>
        <v>24784.74959</v>
      </c>
      <c r="AI631" s="17">
        <v>3238.6945723687722</v>
      </c>
      <c r="AJ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19">
        <f t="shared" si="10"/>
        <v>51.45</v>
      </c>
      <c r="X632" s="20">
        <f t="shared" si="1"/>
        <v>0</v>
      </c>
      <c r="Y632" s="20">
        <f t="shared" si="2"/>
        <v>22.08508325</v>
      </c>
      <c r="Z632" s="20">
        <f t="shared" si="3"/>
        <v>72180.4493</v>
      </c>
      <c r="AA632" s="20">
        <f t="shared" si="4"/>
        <v>0</v>
      </c>
      <c r="AB632" s="20">
        <f t="shared" si="5"/>
        <v>0</v>
      </c>
      <c r="AC632" s="20">
        <f t="shared" si="6"/>
        <v>3750.927115</v>
      </c>
      <c r="AD632" s="2"/>
      <c r="AE632" s="20">
        <v>72180.44930378188</v>
      </c>
      <c r="AF632" s="20">
        <f t="shared" si="7"/>
        <v>76030.78333</v>
      </c>
      <c r="AG632" s="20">
        <f t="shared" si="8"/>
        <v>39421.59031</v>
      </c>
      <c r="AH632" s="20">
        <f t="shared" si="9"/>
        <v>27175.17777</v>
      </c>
      <c r="AI632" s="20">
        <v>3750.9271152365586</v>
      </c>
      <c r="AJ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16">
        <f t="shared" si="10"/>
        <v>51.5</v>
      </c>
      <c r="X633" s="17">
        <f t="shared" si="1"/>
        <v>0</v>
      </c>
      <c r="Y633" s="17">
        <f t="shared" si="2"/>
        <v>3.346692712</v>
      </c>
      <c r="Z633" s="17">
        <f t="shared" si="3"/>
        <v>66932.99415</v>
      </c>
      <c r="AA633" s="17">
        <f t="shared" si="4"/>
        <v>0</v>
      </c>
      <c r="AB633" s="17">
        <f t="shared" si="5"/>
        <v>0</v>
      </c>
      <c r="AC633" s="17">
        <f t="shared" si="6"/>
        <v>4316.611325</v>
      </c>
      <c r="AD633" s="2"/>
      <c r="AE633" s="17">
        <v>66932.99415310993</v>
      </c>
      <c r="AF633" s="17">
        <f t="shared" si="7"/>
        <v>74355.2173</v>
      </c>
      <c r="AG633" s="17">
        <f t="shared" si="8"/>
        <v>40680.5459</v>
      </c>
      <c r="AH633" s="17">
        <f t="shared" si="9"/>
        <v>29606.40357</v>
      </c>
      <c r="AI633" s="17">
        <v>4316.611324557715</v>
      </c>
      <c r="AJ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19">
        <f t="shared" si="10"/>
        <v>51.55</v>
      </c>
      <c r="X634" s="20">
        <f t="shared" si="1"/>
        <v>0</v>
      </c>
      <c r="Y634" s="20">
        <f t="shared" si="2"/>
        <v>0.4315494808</v>
      </c>
      <c r="Z634" s="20">
        <f t="shared" si="3"/>
        <v>61667.57113</v>
      </c>
      <c r="AA634" s="20">
        <f t="shared" si="4"/>
        <v>0</v>
      </c>
      <c r="AB634" s="20">
        <f t="shared" si="5"/>
        <v>0.0000000002283267225</v>
      </c>
      <c r="AC634" s="20">
        <f t="shared" si="6"/>
        <v>4936.088692</v>
      </c>
      <c r="AD634" s="2"/>
      <c r="AE634" s="20">
        <v>61667.57112808797</v>
      </c>
      <c r="AF634" s="20">
        <f t="shared" si="7"/>
        <v>72250.18342</v>
      </c>
      <c r="AG634" s="20">
        <f t="shared" si="8"/>
        <v>41711.39883</v>
      </c>
      <c r="AH634" s="20">
        <f t="shared" si="9"/>
        <v>32049.72581</v>
      </c>
      <c r="AI634" s="20">
        <v>4936.0886921719675</v>
      </c>
      <c r="AJ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16">
        <f t="shared" si="10"/>
        <v>51.6</v>
      </c>
      <c r="X635" s="17">
        <f t="shared" si="1"/>
        <v>0</v>
      </c>
      <c r="Y635" s="17">
        <f t="shared" si="2"/>
        <v>0.04735254464</v>
      </c>
      <c r="Z635" s="17">
        <f t="shared" si="3"/>
        <v>56450.70269</v>
      </c>
      <c r="AA635" s="17">
        <f t="shared" si="4"/>
        <v>0</v>
      </c>
      <c r="AB635" s="17">
        <f t="shared" si="5"/>
        <v>0.000000005564795035</v>
      </c>
      <c r="AC635" s="17">
        <f t="shared" si="6"/>
        <v>5608.654035</v>
      </c>
      <c r="AD635" s="2"/>
      <c r="AE635" s="17">
        <v>56450.70269356864</v>
      </c>
      <c r="AF635" s="17">
        <f t="shared" si="7"/>
        <v>69754.46071</v>
      </c>
      <c r="AG635" s="17">
        <f t="shared" si="8"/>
        <v>42495.02484</v>
      </c>
      <c r="AH635" s="17">
        <f t="shared" si="9"/>
        <v>34473.73865</v>
      </c>
      <c r="AI635" s="17">
        <v>5608.654034964947</v>
      </c>
      <c r="AJ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19">
        <f t="shared" si="10"/>
        <v>51.65</v>
      </c>
      <c r="X636" s="20">
        <f t="shared" si="1"/>
        <v>0</v>
      </c>
      <c r="Y636" s="20">
        <f t="shared" si="2"/>
        <v>0.004421340974</v>
      </c>
      <c r="Z636" s="20">
        <f t="shared" si="3"/>
        <v>51342.5908</v>
      </c>
      <c r="AA636" s="20">
        <f t="shared" si="4"/>
        <v>0</v>
      </c>
      <c r="AB636" s="20">
        <f t="shared" si="5"/>
        <v>0.0000001156734832</v>
      </c>
      <c r="AC636" s="20">
        <f t="shared" si="6"/>
        <v>6332.424746</v>
      </c>
      <c r="AD636" s="2"/>
      <c r="AE636" s="20">
        <v>51342.59079942093</v>
      </c>
      <c r="AF636" s="20">
        <f t="shared" si="7"/>
        <v>66913.00614</v>
      </c>
      <c r="AG636" s="20">
        <f t="shared" si="8"/>
        <v>43016.6683</v>
      </c>
      <c r="AH636" s="20">
        <f t="shared" si="9"/>
        <v>36844.94002</v>
      </c>
      <c r="AI636" s="20">
        <v>6332.4247460748975</v>
      </c>
      <c r="AJ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16">
        <f t="shared" si="10"/>
        <v>51.7</v>
      </c>
      <c r="X637" s="17">
        <f t="shared" si="1"/>
        <v>0</v>
      </c>
      <c r="Y637" s="17">
        <f t="shared" si="2"/>
        <v>0.0003512874698</v>
      </c>
      <c r="Z637" s="17">
        <f t="shared" si="3"/>
        <v>46396.16944</v>
      </c>
      <c r="AA637" s="17">
        <f t="shared" si="4"/>
        <v>0</v>
      </c>
      <c r="AB637" s="17">
        <f t="shared" si="5"/>
        <v>0.000002050740294</v>
      </c>
      <c r="AC637" s="17">
        <f t="shared" si="6"/>
        <v>7104.231605</v>
      </c>
      <c r="AD637" s="2"/>
      <c r="AE637" s="17">
        <v>46396.16944144262</v>
      </c>
      <c r="AF637" s="17">
        <f t="shared" si="7"/>
        <v>63775.61014</v>
      </c>
      <c r="AG637" s="17">
        <f t="shared" si="8"/>
        <v>43266.40432</v>
      </c>
      <c r="AH637" s="17">
        <f t="shared" si="9"/>
        <v>39128.45731</v>
      </c>
      <c r="AI637" s="17">
        <v>7104.231604950354</v>
      </c>
      <c r="AJ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19">
        <f t="shared" si="10"/>
        <v>51.75</v>
      </c>
      <c r="X638" s="20">
        <f t="shared" si="1"/>
        <v>0</v>
      </c>
      <c r="Y638" s="20">
        <f t="shared" si="2"/>
        <v>0.00002375030944</v>
      </c>
      <c r="Z638" s="20">
        <f t="shared" si="3"/>
        <v>41656.46287</v>
      </c>
      <c r="AA638" s="20">
        <f t="shared" si="4"/>
        <v>0</v>
      </c>
      <c r="AB638" s="20">
        <f t="shared" si="5"/>
        <v>0.00003100842634</v>
      </c>
      <c r="AC638" s="20">
        <f t="shared" si="6"/>
        <v>7919.53849</v>
      </c>
      <c r="AD638" s="2"/>
      <c r="AE638" s="20">
        <v>41656.46286625966</v>
      </c>
      <c r="AF638" s="20">
        <f t="shared" si="7"/>
        <v>60395.45084</v>
      </c>
      <c r="AG638" s="20">
        <f t="shared" si="8"/>
        <v>43239.45273</v>
      </c>
      <c r="AH638" s="20">
        <f t="shared" si="9"/>
        <v>41288.87028</v>
      </c>
      <c r="AI638" s="20">
        <v>7919.538490445577</v>
      </c>
      <c r="AJ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16">
        <f t="shared" si="10"/>
        <v>51.8</v>
      </c>
      <c r="X639" s="17">
        <f t="shared" si="1"/>
        <v>0</v>
      </c>
      <c r="Y639" s="17">
        <f t="shared" si="2"/>
        <v>0.000001366387401</v>
      </c>
      <c r="Z639" s="17">
        <f t="shared" si="3"/>
        <v>37160.24541</v>
      </c>
      <c r="AA639" s="17">
        <f t="shared" si="4"/>
        <v>0</v>
      </c>
      <c r="AB639" s="17">
        <f t="shared" si="5"/>
        <v>0.000399890419</v>
      </c>
      <c r="AC639" s="17">
        <f t="shared" si="6"/>
        <v>8772.397951</v>
      </c>
      <c r="AD639" s="2"/>
      <c r="AE639" s="17">
        <v>37160.24540697192</v>
      </c>
      <c r="AF639" s="17">
        <f t="shared" si="7"/>
        <v>56827.60558</v>
      </c>
      <c r="AG639" s="17">
        <f t="shared" si="8"/>
        <v>42936.33029</v>
      </c>
      <c r="AH639" s="17">
        <f t="shared" si="9"/>
        <v>43291.1056</v>
      </c>
      <c r="AI639" s="17">
        <v>8772.397951205534</v>
      </c>
      <c r="AJ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19">
        <f t="shared" si="10"/>
        <v>51.85</v>
      </c>
      <c r="X640" s="20">
        <f t="shared" si="1"/>
        <v>0</v>
      </c>
      <c r="Y640" s="20">
        <f t="shared" si="2"/>
        <v>0.00000006689233998</v>
      </c>
      <c r="Z640" s="20">
        <f t="shared" si="3"/>
        <v>32935.98643</v>
      </c>
      <c r="AA640" s="20">
        <f t="shared" si="4"/>
        <v>0</v>
      </c>
      <c r="AB640" s="20">
        <f t="shared" si="5"/>
        <v>0.004398397563</v>
      </c>
      <c r="AC640" s="20">
        <f t="shared" si="6"/>
        <v>9655.448775</v>
      </c>
      <c r="AD640" s="2"/>
      <c r="AE640" s="20">
        <v>32935.98642622578</v>
      </c>
      <c r="AF640" s="20">
        <f t="shared" si="7"/>
        <v>53127.57733</v>
      </c>
      <c r="AG640" s="20">
        <f t="shared" si="8"/>
        <v>42362.83421</v>
      </c>
      <c r="AH640" s="20">
        <f t="shared" si="9"/>
        <v>45101.37238</v>
      </c>
      <c r="AI640" s="20">
        <v>9655.44877453236</v>
      </c>
      <c r="AJ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16">
        <f t="shared" si="10"/>
        <v>51.9</v>
      </c>
      <c r="X641" s="17">
        <f t="shared" si="1"/>
        <v>0</v>
      </c>
      <c r="Y641" s="17">
        <f t="shared" si="2"/>
        <v>0.000000002786614491</v>
      </c>
      <c r="Z641" s="17">
        <f t="shared" si="3"/>
        <v>29004.05334</v>
      </c>
      <c r="AA641" s="17">
        <f t="shared" si="4"/>
        <v>0</v>
      </c>
      <c r="AB641" s="17">
        <f t="shared" si="5"/>
        <v>0.04126104047</v>
      </c>
      <c r="AC641" s="17">
        <f t="shared" si="6"/>
        <v>10559.96045</v>
      </c>
      <c r="AD641" s="2"/>
      <c r="AE641" s="17">
        <v>29004.053338110196</v>
      </c>
      <c r="AF641" s="17">
        <f t="shared" si="7"/>
        <v>49349.89027</v>
      </c>
      <c r="AG641" s="17">
        <f t="shared" si="8"/>
        <v>41529.85775</v>
      </c>
      <c r="AH641" s="17">
        <f t="shared" si="9"/>
        <v>46688.10422</v>
      </c>
      <c r="AI641" s="17">
        <v>10559.960454856211</v>
      </c>
      <c r="AJ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19">
        <f t="shared" si="10"/>
        <v>51.95</v>
      </c>
      <c r="X642" s="20">
        <f t="shared" si="1"/>
        <v>0</v>
      </c>
      <c r="Y642" s="20">
        <f t="shared" si="2"/>
        <v>0</v>
      </c>
      <c r="Z642" s="20">
        <f t="shared" si="3"/>
        <v>25377.13756</v>
      </c>
      <c r="AA642" s="20">
        <f t="shared" si="4"/>
        <v>0</v>
      </c>
      <c r="AB642" s="20">
        <f t="shared" si="5"/>
        <v>0.3301247454</v>
      </c>
      <c r="AC642" s="20">
        <f t="shared" si="6"/>
        <v>11475.92782</v>
      </c>
      <c r="AD642" s="2"/>
      <c r="AE642" s="20">
        <v>25377.137555611574</v>
      </c>
      <c r="AF642" s="20">
        <f t="shared" si="7"/>
        <v>45546.80264</v>
      </c>
      <c r="AG642" s="20">
        <f t="shared" si="8"/>
        <v>40453.0461</v>
      </c>
      <c r="AH642" s="20">
        <f t="shared" si="9"/>
        <v>48022.8715</v>
      </c>
      <c r="AI642" s="20">
        <v>11475.927819978073</v>
      </c>
      <c r="AJ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16">
        <f t="shared" si="10"/>
        <v>52</v>
      </c>
      <c r="X643" s="17">
        <f t="shared" si="1"/>
        <v>0</v>
      </c>
      <c r="Y643" s="17">
        <f t="shared" si="2"/>
        <v>0</v>
      </c>
      <c r="Z643" s="17">
        <f t="shared" si="3"/>
        <v>22060.86266</v>
      </c>
      <c r="AA643" s="17">
        <f t="shared" si="4"/>
        <v>0</v>
      </c>
      <c r="AB643" s="17">
        <f t="shared" si="5"/>
        <v>2.252725078</v>
      </c>
      <c r="AC643" s="17">
        <f t="shared" si="6"/>
        <v>12392.21708</v>
      </c>
      <c r="AD643" s="2"/>
      <c r="AE643" s="17">
        <v>22060.862659830545</v>
      </c>
      <c r="AF643" s="17">
        <f t="shared" si="7"/>
        <v>41767.17709</v>
      </c>
      <c r="AG643" s="17">
        <f t="shared" si="8"/>
        <v>39152.30775</v>
      </c>
      <c r="AH643" s="17">
        <f t="shared" si="9"/>
        <v>49081.22718</v>
      </c>
      <c r="AI643" s="17">
        <v>12392.21708106726</v>
      </c>
      <c r="AJ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19">
        <f t="shared" si="10"/>
        <v>52.05</v>
      </c>
      <c r="X644" s="20">
        <f t="shared" si="1"/>
        <v>0</v>
      </c>
      <c r="Y644" s="20">
        <f t="shared" si="2"/>
        <v>0</v>
      </c>
      <c r="Z644" s="20">
        <f t="shared" si="3"/>
        <v>19054.53113</v>
      </c>
      <c r="AA644" s="20">
        <f t="shared" si="4"/>
        <v>0</v>
      </c>
      <c r="AB644" s="20">
        <f t="shared" si="5"/>
        <v>13.11084004</v>
      </c>
      <c r="AC644" s="20">
        <f t="shared" si="6"/>
        <v>13296.76231</v>
      </c>
      <c r="AD644" s="2"/>
      <c r="AE644" s="20">
        <v>19054.531128133603</v>
      </c>
      <c r="AF644" s="20">
        <f t="shared" si="7"/>
        <v>38055.53894</v>
      </c>
      <c r="AG644" s="20">
        <f t="shared" si="8"/>
        <v>37651.20261</v>
      </c>
      <c r="AH644" s="20">
        <f t="shared" si="9"/>
        <v>49843.45096</v>
      </c>
      <c r="AI644" s="20">
        <v>13296.762313526144</v>
      </c>
      <c r="AJ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16">
        <f t="shared" si="10"/>
        <v>52.1</v>
      </c>
      <c r="X645" s="17">
        <f t="shared" si="1"/>
        <v>0</v>
      </c>
      <c r="Y645" s="17">
        <f t="shared" si="2"/>
        <v>0</v>
      </c>
      <c r="Z645" s="17">
        <f t="shared" si="3"/>
        <v>16351.96545</v>
      </c>
      <c r="AA645" s="17">
        <f t="shared" si="4"/>
        <v>0.00000004202684706</v>
      </c>
      <c r="AB645" s="17">
        <f t="shared" si="5"/>
        <v>65.07962689</v>
      </c>
      <c r="AC645" s="17">
        <f t="shared" si="6"/>
        <v>14176.80896</v>
      </c>
      <c r="AD645" s="2"/>
      <c r="AE645" s="17">
        <v>16351.965450389298</v>
      </c>
      <c r="AF645" s="17">
        <f t="shared" si="7"/>
        <v>34451.34284</v>
      </c>
      <c r="AG645" s="17">
        <f t="shared" si="8"/>
        <v>35976.2332</v>
      </c>
      <c r="AH645" s="17">
        <f t="shared" si="9"/>
        <v>50295.16031</v>
      </c>
      <c r="AI645" s="17">
        <v>14176.80895869994</v>
      </c>
      <c r="AJ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19">
        <f t="shared" si="10"/>
        <v>52.15</v>
      </c>
      <c r="X646" s="20">
        <f t="shared" si="1"/>
        <v>0</v>
      </c>
      <c r="Y646" s="20">
        <f t="shared" si="2"/>
        <v>0</v>
      </c>
      <c r="Z646" s="20">
        <f t="shared" si="3"/>
        <v>13942.40113</v>
      </c>
      <c r="AA646" s="20">
        <f t="shared" si="4"/>
        <v>0.00001350062251</v>
      </c>
      <c r="AB646" s="20">
        <f t="shared" si="5"/>
        <v>275.5191567</v>
      </c>
      <c r="AC646" s="20">
        <f t="shared" si="6"/>
        <v>15019.19849</v>
      </c>
      <c r="AD646" s="2"/>
      <c r="AE646" s="20">
        <v>13942.401134621623</v>
      </c>
      <c r="AF646" s="20">
        <f t="shared" si="7"/>
        <v>30988.45734</v>
      </c>
      <c r="AG646" s="20">
        <f t="shared" si="8"/>
        <v>34156.06861</v>
      </c>
      <c r="AH646" s="20">
        <f t="shared" si="9"/>
        <v>50427.76181</v>
      </c>
      <c r="AI646" s="20">
        <v>15019.198489951568</v>
      </c>
      <c r="AJ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16">
        <f t="shared" si="10"/>
        <v>52.2</v>
      </c>
      <c r="X647" s="17">
        <f t="shared" si="1"/>
        <v>0</v>
      </c>
      <c r="Y647" s="17">
        <f t="shared" si="2"/>
        <v>0</v>
      </c>
      <c r="Z647" s="17">
        <f t="shared" si="3"/>
        <v>11811.39259</v>
      </c>
      <c r="AA647" s="17">
        <f t="shared" si="4"/>
        <v>0.002294825256</v>
      </c>
      <c r="AB647" s="17">
        <f t="shared" si="5"/>
        <v>994.8343154</v>
      </c>
      <c r="AC647" s="17">
        <f t="shared" si="6"/>
        <v>15810.68605</v>
      </c>
      <c r="AD647" s="2"/>
      <c r="AE647" s="17">
        <v>11811.392588355173</v>
      </c>
      <c r="AF647" s="17">
        <f t="shared" si="7"/>
        <v>27694.867</v>
      </c>
      <c r="AG647" s="17">
        <f t="shared" si="8"/>
        <v>32220.73294</v>
      </c>
      <c r="AH647" s="17">
        <f t="shared" si="9"/>
        <v>50238.72298</v>
      </c>
      <c r="AI647" s="17">
        <v>15810.686052828452</v>
      </c>
      <c r="AJ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19">
        <f t="shared" si="10"/>
        <v>52.25</v>
      </c>
      <c r="X648" s="20">
        <f t="shared" si="1"/>
        <v>0</v>
      </c>
      <c r="Y648" s="20">
        <f t="shared" si="2"/>
        <v>0</v>
      </c>
      <c r="Z648" s="20">
        <f t="shared" si="3"/>
        <v>9941.697732</v>
      </c>
      <c r="AA648" s="20">
        <f t="shared" si="4"/>
        <v>0.2064021847</v>
      </c>
      <c r="AB648" s="20">
        <f t="shared" si="5"/>
        <v>3063.669581</v>
      </c>
      <c r="AC648" s="20">
        <f t="shared" si="6"/>
        <v>16538.28081</v>
      </c>
      <c r="AD648" s="2"/>
      <c r="AE648" s="20">
        <v>9941.697731923727</v>
      </c>
      <c r="AF648" s="20">
        <f t="shared" si="7"/>
        <v>24592.58242</v>
      </c>
      <c r="AG648" s="20">
        <f t="shared" si="8"/>
        <v>30200.79002</v>
      </c>
      <c r="AH648" s="20">
        <f t="shared" si="9"/>
        <v>49731.6528</v>
      </c>
      <c r="AI648" s="20">
        <v>16538.280813813082</v>
      </c>
      <c r="AJ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16">
        <f t="shared" si="10"/>
        <v>52.3</v>
      </c>
      <c r="X649" s="17">
        <f t="shared" si="1"/>
        <v>0</v>
      </c>
      <c r="Y649" s="17">
        <f t="shared" si="2"/>
        <v>0</v>
      </c>
      <c r="Z649" s="17">
        <f t="shared" si="3"/>
        <v>8314.113003</v>
      </c>
      <c r="AA649" s="17">
        <f t="shared" si="4"/>
        <v>9.823082711</v>
      </c>
      <c r="AB649" s="17">
        <f t="shared" si="5"/>
        <v>8046.838817</v>
      </c>
      <c r="AC649" s="17">
        <f t="shared" si="6"/>
        <v>17189.59708</v>
      </c>
      <c r="AD649" s="2"/>
      <c r="AE649" s="17">
        <v>8314.113003071934</v>
      </c>
      <c r="AF649" s="17">
        <f t="shared" si="7"/>
        <v>21697.74055</v>
      </c>
      <c r="AG649" s="17">
        <f t="shared" si="8"/>
        <v>28126.55504</v>
      </c>
      <c r="AH649" s="17">
        <f t="shared" si="9"/>
        <v>48916.18705</v>
      </c>
      <c r="AI649" s="17">
        <v>17189.597075095804</v>
      </c>
      <c r="AJ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19">
        <f t="shared" si="10"/>
        <v>52.35</v>
      </c>
      <c r="X650" s="20">
        <f t="shared" si="1"/>
        <v>0</v>
      </c>
      <c r="Y650" s="20">
        <f t="shared" si="2"/>
        <v>0</v>
      </c>
      <c r="Z650" s="20">
        <f t="shared" si="3"/>
        <v>6908.236705</v>
      </c>
      <c r="AA650" s="20">
        <f t="shared" si="4"/>
        <v>247.37178</v>
      </c>
      <c r="AB650" s="20">
        <f t="shared" si="5"/>
        <v>18026.06325</v>
      </c>
      <c r="AC650" s="20">
        <f t="shared" si="6"/>
        <v>17753.20306</v>
      </c>
      <c r="AD650" s="2"/>
      <c r="AE650" s="20">
        <v>6908.236704832558</v>
      </c>
      <c r="AF650" s="20">
        <f t="shared" si="7"/>
        <v>19020.87155</v>
      </c>
      <c r="AG650" s="20">
        <f t="shared" si="8"/>
        <v>26027.36078</v>
      </c>
      <c r="AH650" s="20">
        <f t="shared" si="9"/>
        <v>47807.68385</v>
      </c>
      <c r="AI650" s="20">
        <v>17753.203056871345</v>
      </c>
      <c r="AJ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16">
        <f t="shared" si="10"/>
        <v>52.4</v>
      </c>
      <c r="X651" s="17">
        <f t="shared" si="1"/>
        <v>0</v>
      </c>
      <c r="Y651" s="17">
        <f t="shared" si="2"/>
        <v>0</v>
      </c>
      <c r="Z651" s="17">
        <f t="shared" si="3"/>
        <v>5703.145024</v>
      </c>
      <c r="AA651" s="17">
        <f t="shared" si="4"/>
        <v>3296.259159</v>
      </c>
      <c r="AB651" s="17">
        <f t="shared" si="5"/>
        <v>34440.43985</v>
      </c>
      <c r="AC651" s="17">
        <f t="shared" si="6"/>
        <v>18218.95371</v>
      </c>
      <c r="AD651" s="2"/>
      <c r="AE651" s="17">
        <v>5703.145023563736</v>
      </c>
      <c r="AF651" s="17">
        <f t="shared" si="7"/>
        <v>16567.30388</v>
      </c>
      <c r="AG651" s="17">
        <f t="shared" si="8"/>
        <v>23930.9022</v>
      </c>
      <c r="AH651" s="17">
        <f t="shared" si="9"/>
        <v>46426.74256</v>
      </c>
      <c r="AI651" s="17">
        <v>18218.953710275113</v>
      </c>
      <c r="AJ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19">
        <f t="shared" si="10"/>
        <v>52.45</v>
      </c>
      <c r="X652" s="20">
        <f t="shared" si="1"/>
        <v>0</v>
      </c>
      <c r="Y652" s="20">
        <f t="shared" si="2"/>
        <v>0</v>
      </c>
      <c r="Z652" s="20">
        <f t="shared" si="3"/>
        <v>4677.971151</v>
      </c>
      <c r="AA652" s="20">
        <f t="shared" si="4"/>
        <v>23241.35194</v>
      </c>
      <c r="AB652" s="20">
        <f t="shared" si="5"/>
        <v>56121.42616</v>
      </c>
      <c r="AC652" s="20">
        <f t="shared" si="6"/>
        <v>18578.29406</v>
      </c>
      <c r="AD652" s="2"/>
      <c r="AE652" s="20">
        <v>4677.971150947078</v>
      </c>
      <c r="AF652" s="20">
        <f t="shared" si="7"/>
        <v>14337.67687</v>
      </c>
      <c r="AG652" s="20">
        <f t="shared" si="8"/>
        <v>21862.67818</v>
      </c>
      <c r="AH652" s="20">
        <f t="shared" si="9"/>
        <v>44798.56734</v>
      </c>
      <c r="AI652" s="20">
        <v>18578.29406484882</v>
      </c>
      <c r="AJ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16">
        <f t="shared" si="10"/>
        <v>52.5</v>
      </c>
      <c r="X653" s="17">
        <f t="shared" si="1"/>
        <v>0</v>
      </c>
      <c r="Y653" s="17">
        <f t="shared" si="2"/>
        <v>0</v>
      </c>
      <c r="Z653" s="17">
        <f t="shared" si="3"/>
        <v>3812.383503</v>
      </c>
      <c r="AA653" s="17">
        <f t="shared" si="4"/>
        <v>86710.21578</v>
      </c>
      <c r="AB653" s="17">
        <f t="shared" si="5"/>
        <v>77997.54238</v>
      </c>
      <c r="AC653" s="17">
        <f t="shared" si="6"/>
        <v>18824.52046</v>
      </c>
      <c r="AD653" s="2"/>
      <c r="AE653" s="17">
        <v>3812.383503335492</v>
      </c>
      <c r="AF653" s="17">
        <f t="shared" si="7"/>
        <v>12328.52906</v>
      </c>
      <c r="AG653" s="17">
        <f t="shared" si="8"/>
        <v>19845.54375</v>
      </c>
      <c r="AH653" s="17">
        <f t="shared" si="9"/>
        <v>42952.20269</v>
      </c>
      <c r="AI653" s="17">
        <v>18824.520455060825</v>
      </c>
      <c r="AJ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19">
        <f t="shared" si="10"/>
        <v>52.55</v>
      </c>
      <c r="X654" s="20">
        <f t="shared" si="1"/>
        <v>0</v>
      </c>
      <c r="Y654" s="20">
        <f t="shared" si="2"/>
        <v>0</v>
      </c>
      <c r="Z654" s="20">
        <f t="shared" si="3"/>
        <v>3086.963842</v>
      </c>
      <c r="AA654" s="20">
        <f t="shared" si="4"/>
        <v>171178.0162</v>
      </c>
      <c r="AB654" s="20">
        <f t="shared" si="5"/>
        <v>92453.92415</v>
      </c>
      <c r="AC654" s="20">
        <f t="shared" si="6"/>
        <v>18952.98849</v>
      </c>
      <c r="AD654" s="2"/>
      <c r="AE654" s="20">
        <v>3086.963842277303</v>
      </c>
      <c r="AF654" s="20">
        <f t="shared" si="7"/>
        <v>10532.93157</v>
      </c>
      <c r="AG654" s="20">
        <f t="shared" si="8"/>
        <v>17899.38024</v>
      </c>
      <c r="AH654" s="20">
        <f t="shared" si="9"/>
        <v>40919.67333</v>
      </c>
      <c r="AI654" s="20">
        <v>18952.988487508166</v>
      </c>
      <c r="AJ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16">
        <f t="shared" si="10"/>
        <v>52.6</v>
      </c>
      <c r="X655" s="17">
        <f t="shared" si="1"/>
        <v>0</v>
      </c>
      <c r="Y655" s="17">
        <f t="shared" si="2"/>
        <v>0</v>
      </c>
      <c r="Z655" s="17">
        <f t="shared" si="3"/>
        <v>2483.490037</v>
      </c>
      <c r="AA655" s="17">
        <f t="shared" si="4"/>
        <v>178811.1322</v>
      </c>
      <c r="AB655" s="17">
        <f t="shared" si="5"/>
        <v>93467.79347</v>
      </c>
      <c r="AC655" s="17">
        <f t="shared" si="6"/>
        <v>18961.25874</v>
      </c>
      <c r="AD655" s="2"/>
      <c r="AE655" s="17">
        <v>2483.490037149496</v>
      </c>
      <c r="AF655" s="17">
        <f t="shared" si="7"/>
        <v>8941.137765</v>
      </c>
      <c r="AG655" s="17">
        <f t="shared" si="8"/>
        <v>16040.88537</v>
      </c>
      <c r="AH655" s="17">
        <f t="shared" si="9"/>
        <v>38735.06403</v>
      </c>
      <c r="AI655" s="17">
        <v>18961.258736561194</v>
      </c>
      <c r="AJ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19">
        <f t="shared" si="10"/>
        <v>52.65</v>
      </c>
      <c r="X656" s="20">
        <f t="shared" si="1"/>
        <v>0</v>
      </c>
      <c r="Y656" s="20">
        <f t="shared" si="2"/>
        <v>0</v>
      </c>
      <c r="Z656" s="20">
        <f t="shared" si="3"/>
        <v>1985.131223</v>
      </c>
      <c r="AA656" s="20">
        <f t="shared" si="4"/>
        <v>98834.8163</v>
      </c>
      <c r="AB656" s="20">
        <f t="shared" si="5"/>
        <v>80591.79742</v>
      </c>
      <c r="AC656" s="20">
        <f t="shared" si="6"/>
        <v>18849.17378</v>
      </c>
      <c r="AD656" s="2"/>
      <c r="AE656" s="20">
        <v>1985.131222747317</v>
      </c>
      <c r="AF656" s="20">
        <f t="shared" si="7"/>
        <v>7541.223899</v>
      </c>
      <c r="AG656" s="20">
        <f t="shared" si="8"/>
        <v>14283.47988</v>
      </c>
      <c r="AH656" s="20">
        <f t="shared" si="9"/>
        <v>36433.57611</v>
      </c>
      <c r="AI656" s="20">
        <v>18849.173783351256</v>
      </c>
      <c r="AJ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16">
        <f t="shared" si="10"/>
        <v>52.7</v>
      </c>
      <c r="X657" s="17">
        <f t="shared" si="1"/>
        <v>0</v>
      </c>
      <c r="Y657" s="17">
        <f t="shared" si="2"/>
        <v>0</v>
      </c>
      <c r="Z657" s="17">
        <f t="shared" si="3"/>
        <v>1576.565202</v>
      </c>
      <c r="AA657" s="17">
        <f t="shared" si="4"/>
        <v>28906.4133</v>
      </c>
      <c r="AB657" s="17">
        <f t="shared" si="5"/>
        <v>59266.858</v>
      </c>
      <c r="AC657" s="17">
        <f t="shared" si="6"/>
        <v>18618.8632</v>
      </c>
      <c r="AD657" s="2"/>
      <c r="AE657" s="17">
        <v>1576.5652024280441</v>
      </c>
      <c r="AF657" s="17">
        <f t="shared" si="7"/>
        <v>6319.699213</v>
      </c>
      <c r="AG657" s="17">
        <f t="shared" si="8"/>
        <v>12637.32253</v>
      </c>
      <c r="AH657" s="17">
        <f t="shared" si="9"/>
        <v>34050.5967</v>
      </c>
      <c r="AI657" s="17">
        <v>18618.863199153617</v>
      </c>
      <c r="AJ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19">
        <f t="shared" si="10"/>
        <v>52.75</v>
      </c>
      <c r="X658" s="20">
        <f t="shared" si="1"/>
        <v>0</v>
      </c>
      <c r="Y658" s="20">
        <f t="shared" si="2"/>
        <v>0</v>
      </c>
      <c r="Z658" s="20">
        <f t="shared" si="3"/>
        <v>1244.029193</v>
      </c>
      <c r="AA658" s="20">
        <f t="shared" si="4"/>
        <v>4473.498526</v>
      </c>
      <c r="AB658" s="20">
        <f t="shared" si="5"/>
        <v>37172.79157</v>
      </c>
      <c r="AC658" s="20">
        <f t="shared" si="6"/>
        <v>18274.67625</v>
      </c>
      <c r="AD658" s="2"/>
      <c r="AE658" s="20">
        <v>1244.029192797989</v>
      </c>
      <c r="AF658" s="20">
        <f t="shared" si="7"/>
        <v>5262.068611</v>
      </c>
      <c r="AG658" s="20">
        <f t="shared" si="8"/>
        <v>11109.42196</v>
      </c>
      <c r="AH658" s="20">
        <f t="shared" si="9"/>
        <v>31620.8147</v>
      </c>
      <c r="AI658" s="20">
        <v>18274.676252770812</v>
      </c>
      <c r="AJ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16">
        <f t="shared" si="10"/>
        <v>52.8</v>
      </c>
      <c r="X659" s="17">
        <f t="shared" si="1"/>
        <v>0</v>
      </c>
      <c r="Y659" s="17">
        <f t="shared" si="2"/>
        <v>0</v>
      </c>
      <c r="Z659" s="17">
        <f t="shared" si="3"/>
        <v>975.3154982</v>
      </c>
      <c r="AA659" s="17">
        <f t="shared" si="4"/>
        <v>366.3272548</v>
      </c>
      <c r="AB659" s="17">
        <f t="shared" si="5"/>
        <v>19885.23189</v>
      </c>
      <c r="AC659" s="17">
        <f t="shared" si="6"/>
        <v>17823.04531</v>
      </c>
      <c r="AD659" s="2"/>
      <c r="AE659" s="17">
        <v>975.315498150523</v>
      </c>
      <c r="AF659" s="17">
        <f t="shared" si="7"/>
        <v>4353.335406</v>
      </c>
      <c r="AG659" s="17">
        <f t="shared" si="8"/>
        <v>9703.830586</v>
      </c>
      <c r="AH659" s="17">
        <f t="shared" si="9"/>
        <v>29177.41323</v>
      </c>
      <c r="AI659" s="17">
        <v>17823.045312580052</v>
      </c>
      <c r="AJ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19">
        <f t="shared" si="10"/>
        <v>52.85</v>
      </c>
      <c r="X660" s="20">
        <f t="shared" si="1"/>
        <v>0</v>
      </c>
      <c r="Y660" s="20">
        <f t="shared" si="2"/>
        <v>0</v>
      </c>
      <c r="Z660" s="20">
        <f t="shared" si="3"/>
        <v>759.723565</v>
      </c>
      <c r="AA660" s="20">
        <f t="shared" si="4"/>
        <v>15.87303619</v>
      </c>
      <c r="AB660" s="20">
        <f t="shared" si="5"/>
        <v>9072.52876</v>
      </c>
      <c r="AC660" s="20">
        <f t="shared" si="6"/>
        <v>17272.28594</v>
      </c>
      <c r="AD660" s="2"/>
      <c r="AE660" s="20">
        <v>759.7235650382202</v>
      </c>
      <c r="AF660" s="20">
        <f t="shared" si="7"/>
        <v>3578.43618</v>
      </c>
      <c r="AG660" s="20">
        <f t="shared" si="8"/>
        <v>8421.904249</v>
      </c>
      <c r="AH660" s="20">
        <f t="shared" si="9"/>
        <v>26751.36334</v>
      </c>
      <c r="AI660" s="20">
        <v>17272.285936711716</v>
      </c>
      <c r="AJ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16">
        <f t="shared" si="10"/>
        <v>52.9</v>
      </c>
      <c r="X661" s="17">
        <f t="shared" si="1"/>
        <v>0</v>
      </c>
      <c r="Y661" s="17">
        <f t="shared" si="2"/>
        <v>0</v>
      </c>
      <c r="Z661" s="17">
        <f t="shared" si="3"/>
        <v>587.9792341</v>
      </c>
      <c r="AA661" s="17">
        <f t="shared" si="4"/>
        <v>0.36393148</v>
      </c>
      <c r="AB661" s="17">
        <f t="shared" si="5"/>
        <v>3530.354018</v>
      </c>
      <c r="AC661" s="17">
        <f t="shared" si="6"/>
        <v>16632.34233</v>
      </c>
      <c r="AD661" s="2"/>
      <c r="AE661" s="17">
        <v>587.9792340915922</v>
      </c>
      <c r="AF661" s="17">
        <f t="shared" si="7"/>
        <v>2922.603823</v>
      </c>
      <c r="AG661" s="17">
        <f t="shared" si="8"/>
        <v>7262.61034</v>
      </c>
      <c r="AH661" s="17">
        <f t="shared" si="9"/>
        <v>24370.83764</v>
      </c>
      <c r="AI661" s="17">
        <v>16632.342330236927</v>
      </c>
      <c r="AJ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19">
        <f t="shared" si="10"/>
        <v>52.95</v>
      </c>
      <c r="X662" s="20">
        <f t="shared" si="1"/>
        <v>0</v>
      </c>
      <c r="Y662" s="20">
        <f t="shared" si="2"/>
        <v>0</v>
      </c>
      <c r="Z662" s="20">
        <f t="shared" si="3"/>
        <v>452.1310128</v>
      </c>
      <c r="AA662" s="20">
        <f t="shared" si="4"/>
        <v>0.004415176637</v>
      </c>
      <c r="AB662" s="20">
        <f t="shared" si="5"/>
        <v>1171.65668</v>
      </c>
      <c r="AC662" s="20">
        <f t="shared" si="6"/>
        <v>15914.48905</v>
      </c>
      <c r="AD662" s="2"/>
      <c r="AE662" s="20">
        <v>452.1310127765858</v>
      </c>
      <c r="AF662" s="20">
        <f t="shared" si="7"/>
        <v>2371.658446</v>
      </c>
      <c r="AG662" s="20">
        <f t="shared" si="8"/>
        <v>6222.867276</v>
      </c>
      <c r="AH662" s="20">
        <f t="shared" si="9"/>
        <v>22060.75622</v>
      </c>
      <c r="AI662" s="20">
        <v>15914.489050287135</v>
      </c>
      <c r="AJ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16">
        <f t="shared" si="10"/>
        <v>53</v>
      </c>
      <c r="X663" s="17">
        <f t="shared" si="1"/>
        <v>0</v>
      </c>
      <c r="Y663" s="17">
        <f t="shared" si="2"/>
        <v>0</v>
      </c>
      <c r="Z663" s="17">
        <f t="shared" si="3"/>
        <v>345.4319666</v>
      </c>
      <c r="AA663" s="17">
        <f t="shared" si="4"/>
        <v>0.00002834297179</v>
      </c>
      <c r="AB663" s="17">
        <f t="shared" si="5"/>
        <v>331.64595</v>
      </c>
      <c r="AC663" s="17">
        <f t="shared" si="6"/>
        <v>15131.00145</v>
      </c>
      <c r="AD663" s="2"/>
      <c r="AE663" s="17">
        <v>345.4319665924926</v>
      </c>
      <c r="AF663" s="17">
        <f t="shared" si="7"/>
        <v>1912.228847</v>
      </c>
      <c r="AG663" s="17">
        <f t="shared" si="8"/>
        <v>5297.899106</v>
      </c>
      <c r="AH663" s="17">
        <f t="shared" si="9"/>
        <v>19842.47023</v>
      </c>
      <c r="AI663" s="17">
        <v>15131.001445565416</v>
      </c>
      <c r="AJ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19">
        <f t="shared" si="10"/>
        <v>53.05</v>
      </c>
      <c r="X664" s="20">
        <f t="shared" si="1"/>
        <v>0</v>
      </c>
      <c r="Y664" s="20">
        <f t="shared" si="2"/>
        <v>0</v>
      </c>
      <c r="Z664" s="20">
        <f t="shared" si="3"/>
        <v>262.2144804</v>
      </c>
      <c r="AA664" s="20">
        <f t="shared" si="4"/>
        <v>0.00000009627455685</v>
      </c>
      <c r="AB664" s="20">
        <f t="shared" si="5"/>
        <v>80.06472827</v>
      </c>
      <c r="AC664" s="20">
        <f t="shared" si="6"/>
        <v>14294.80825</v>
      </c>
      <c r="AD664" s="2"/>
      <c r="AE664" s="20">
        <v>262.2144804462307</v>
      </c>
      <c r="AF664" s="20">
        <f t="shared" si="7"/>
        <v>1531.909506</v>
      </c>
      <c r="AG664" s="20">
        <f t="shared" si="8"/>
        <v>4481.590581</v>
      </c>
      <c r="AH664" s="20">
        <f t="shared" si="9"/>
        <v>17733.58259</v>
      </c>
      <c r="AI664" s="20">
        <v>14294.808252461587</v>
      </c>
      <c r="AJ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16">
        <f t="shared" si="10"/>
        <v>53.1</v>
      </c>
      <c r="X665" s="17">
        <f t="shared" si="1"/>
        <v>0</v>
      </c>
      <c r="Y665" s="17">
        <f t="shared" si="2"/>
        <v>0</v>
      </c>
      <c r="Z665" s="17">
        <f t="shared" si="3"/>
        <v>197.7637716</v>
      </c>
      <c r="AA665" s="17">
        <f t="shared" si="4"/>
        <v>0.0000000001730400031</v>
      </c>
      <c r="AB665" s="17">
        <f t="shared" si="5"/>
        <v>16.48541865</v>
      </c>
      <c r="AC665" s="17">
        <f t="shared" si="6"/>
        <v>13419.14001</v>
      </c>
      <c r="AD665" s="2"/>
      <c r="AE665" s="17">
        <v>197.7637716490132</v>
      </c>
      <c r="AF665" s="17">
        <f t="shared" si="7"/>
        <v>1219.359824</v>
      </c>
      <c r="AG665" s="17">
        <f t="shared" si="8"/>
        <v>3766.830034</v>
      </c>
      <c r="AH665" s="17">
        <f t="shared" si="9"/>
        <v>15747.8993</v>
      </c>
      <c r="AI665" s="17">
        <v>13419.140006438363</v>
      </c>
      <c r="AJ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19">
        <f t="shared" si="10"/>
        <v>53.15</v>
      </c>
      <c r="X666" s="20">
        <f t="shared" si="1"/>
        <v>0</v>
      </c>
      <c r="Y666" s="20">
        <f t="shared" si="2"/>
        <v>0</v>
      </c>
      <c r="Z666" s="20">
        <f t="shared" si="3"/>
        <v>148.1947162</v>
      </c>
      <c r="AA666" s="20">
        <f t="shared" si="4"/>
        <v>0</v>
      </c>
      <c r="AB666" s="20">
        <f t="shared" si="5"/>
        <v>2.895015795</v>
      </c>
      <c r="AC666" s="20">
        <f t="shared" si="6"/>
        <v>12517.18648</v>
      </c>
      <c r="AD666" s="2"/>
      <c r="AE666" s="20">
        <v>148.1947162142469</v>
      </c>
      <c r="AF666" s="20">
        <f t="shared" si="7"/>
        <v>964.3533123</v>
      </c>
      <c r="AG666" s="20">
        <f t="shared" si="8"/>
        <v>3145.829791</v>
      </c>
      <c r="AH666" s="20">
        <f t="shared" si="9"/>
        <v>13895.50002</v>
      </c>
      <c r="AI666" s="20">
        <v>12517.186479290971</v>
      </c>
      <c r="AJ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16">
        <f t="shared" si="10"/>
        <v>53.2</v>
      </c>
      <c r="X667" s="17">
        <f t="shared" si="1"/>
        <v>0</v>
      </c>
      <c r="Y667" s="17">
        <f t="shared" si="2"/>
        <v>0</v>
      </c>
      <c r="Z667" s="17">
        <f t="shared" si="3"/>
        <v>110.3353358</v>
      </c>
      <c r="AA667" s="17">
        <f t="shared" si="4"/>
        <v>0</v>
      </c>
      <c r="AB667" s="17">
        <f t="shared" si="5"/>
        <v>0.4336048239</v>
      </c>
      <c r="AC667" s="17">
        <f t="shared" si="6"/>
        <v>11601.77528</v>
      </c>
      <c r="AD667" s="2"/>
      <c r="AE667" s="17">
        <v>110.33533584174324</v>
      </c>
      <c r="AF667" s="17">
        <f t="shared" si="7"/>
        <v>757.7849855</v>
      </c>
      <c r="AG667" s="17">
        <f t="shared" si="8"/>
        <v>2610.41627</v>
      </c>
      <c r="AH667" s="17">
        <f t="shared" si="9"/>
        <v>12182.91269</v>
      </c>
      <c r="AI667" s="17">
        <v>11601.775276597995</v>
      </c>
      <c r="AJ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19">
        <f t="shared" si="10"/>
        <v>53.25</v>
      </c>
      <c r="X668" s="20">
        <f t="shared" si="1"/>
        <v>0</v>
      </c>
      <c r="Y668" s="20">
        <f t="shared" si="2"/>
        <v>0</v>
      </c>
      <c r="Z668" s="20">
        <f t="shared" si="3"/>
        <v>81.61922029</v>
      </c>
      <c r="AA668" s="20">
        <f t="shared" si="4"/>
        <v>0</v>
      </c>
      <c r="AB668" s="20">
        <f t="shared" si="5"/>
        <v>0.05538975998</v>
      </c>
      <c r="AC668" s="20">
        <f t="shared" si="6"/>
        <v>10685.08212</v>
      </c>
      <c r="AD668" s="2"/>
      <c r="AE668" s="20">
        <v>81.61922028852206</v>
      </c>
      <c r="AF668" s="20">
        <f t="shared" si="7"/>
        <v>591.645193</v>
      </c>
      <c r="AG668" s="20">
        <f t="shared" si="8"/>
        <v>2152.284434</v>
      </c>
      <c r="AH668" s="20">
        <f t="shared" si="9"/>
        <v>10613.37445</v>
      </c>
      <c r="AI668" s="20">
        <v>10685.082117288146</v>
      </c>
      <c r="AJ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16">
        <f t="shared" si="10"/>
        <v>53.3</v>
      </c>
      <c r="X669" s="17">
        <f t="shared" si="1"/>
        <v>0</v>
      </c>
      <c r="Y669" s="17">
        <f t="shared" si="2"/>
        <v>0</v>
      </c>
      <c r="Z669" s="17">
        <f t="shared" si="3"/>
        <v>59.98824831</v>
      </c>
      <c r="AA669" s="17">
        <f t="shared" si="4"/>
        <v>0</v>
      </c>
      <c r="AB669" s="17">
        <f t="shared" si="5"/>
        <v>0.00603471927</v>
      </c>
      <c r="AC669" s="17">
        <f t="shared" si="6"/>
        <v>9778.381289</v>
      </c>
      <c r="AD669" s="2"/>
      <c r="AE669" s="17">
        <v>59.988248314058914</v>
      </c>
      <c r="AF669" s="17">
        <f t="shared" si="7"/>
        <v>458.967791</v>
      </c>
      <c r="AG669" s="17">
        <f t="shared" si="8"/>
        <v>1763.213541</v>
      </c>
      <c r="AH669" s="17">
        <f t="shared" si="9"/>
        <v>9187.15926</v>
      </c>
      <c r="AI669" s="17">
        <v>9778.381288603307</v>
      </c>
      <c r="AJ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19">
        <f t="shared" si="10"/>
        <v>53.35</v>
      </c>
      <c r="X670" s="20">
        <f t="shared" si="1"/>
        <v>0</v>
      </c>
      <c r="Y670" s="20">
        <f t="shared" si="2"/>
        <v>0</v>
      </c>
      <c r="Z670" s="20">
        <f t="shared" si="3"/>
        <v>43.80622585</v>
      </c>
      <c r="AA670" s="20">
        <f t="shared" si="4"/>
        <v>0</v>
      </c>
      <c r="AB670" s="20">
        <f t="shared" si="5"/>
        <v>0.0005607597986</v>
      </c>
      <c r="AC670" s="20">
        <f t="shared" si="6"/>
        <v>8891.842463</v>
      </c>
      <c r="AD670" s="2"/>
      <c r="AE670" s="20">
        <v>43.806225852373416</v>
      </c>
      <c r="AF670" s="20">
        <f t="shared" si="7"/>
        <v>353.7599001</v>
      </c>
      <c r="AG670" s="20">
        <f t="shared" si="8"/>
        <v>1435.243241</v>
      </c>
      <c r="AH670" s="20">
        <f t="shared" si="9"/>
        <v>7901.952335</v>
      </c>
      <c r="AI670" s="20">
        <v>8891.84246279095</v>
      </c>
      <c r="AJ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16">
        <f t="shared" si="10"/>
        <v>53.4</v>
      </c>
      <c r="X671" s="17">
        <f t="shared" si="1"/>
        <v>0</v>
      </c>
      <c r="Y671" s="17">
        <f t="shared" si="2"/>
        <v>0</v>
      </c>
      <c r="Z671" s="17">
        <f t="shared" si="3"/>
        <v>31.78347759</v>
      </c>
      <c r="AA671" s="17">
        <f t="shared" si="4"/>
        <v>0</v>
      </c>
      <c r="AB671" s="17">
        <f t="shared" si="5"/>
        <v>0.00004444151759</v>
      </c>
      <c r="AC671" s="17">
        <f t="shared" si="6"/>
        <v>8034.377622</v>
      </c>
      <c r="AD671" s="2"/>
      <c r="AE671" s="17">
        <v>31.783477594276118</v>
      </c>
      <c r="AF671" s="17">
        <f t="shared" si="7"/>
        <v>270.9196593</v>
      </c>
      <c r="AG671" s="17">
        <f t="shared" si="8"/>
        <v>1160.81085</v>
      </c>
      <c r="AH671" s="17">
        <f t="shared" si="9"/>
        <v>6753.252205</v>
      </c>
      <c r="AI671" s="17">
        <v>8034.377622258315</v>
      </c>
      <c r="AJ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19">
        <f t="shared" si="10"/>
        <v>53.45</v>
      </c>
      <c r="X672" s="20">
        <f t="shared" si="1"/>
        <v>0</v>
      </c>
      <c r="Y672" s="20">
        <f t="shared" si="2"/>
        <v>0</v>
      </c>
      <c r="Z672" s="20">
        <f t="shared" si="3"/>
        <v>22.91199513</v>
      </c>
      <c r="AA672" s="20">
        <f t="shared" si="4"/>
        <v>0</v>
      </c>
      <c r="AB672" s="20">
        <f t="shared" si="5"/>
        <v>0.000003003952776</v>
      </c>
      <c r="AC672" s="20">
        <f t="shared" si="6"/>
        <v>7213.539411</v>
      </c>
      <c r="AD672" s="2"/>
      <c r="AE672" s="20">
        <v>22.91199513128623</v>
      </c>
      <c r="AF672" s="20">
        <f t="shared" si="7"/>
        <v>206.1474483</v>
      </c>
      <c r="AG672" s="20">
        <f t="shared" si="8"/>
        <v>932.8520234</v>
      </c>
      <c r="AH672" s="20">
        <f t="shared" si="9"/>
        <v>5734.782286</v>
      </c>
      <c r="AI672" s="20">
        <v>7213.53941076105</v>
      </c>
      <c r="AJ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16">
        <f t="shared" si="10"/>
        <v>53.5</v>
      </c>
      <c r="X673" s="17">
        <f t="shared" si="1"/>
        <v>0</v>
      </c>
      <c r="Y673" s="17">
        <f t="shared" si="2"/>
        <v>0</v>
      </c>
      <c r="Z673" s="17">
        <f t="shared" si="3"/>
        <v>16.41044362</v>
      </c>
      <c r="AA673" s="17">
        <f t="shared" si="4"/>
        <v>0</v>
      </c>
      <c r="AB673" s="17">
        <f t="shared" si="5"/>
        <v>0.0000001731767288</v>
      </c>
      <c r="AC673" s="17">
        <f t="shared" si="6"/>
        <v>6435.469941</v>
      </c>
      <c r="AD673" s="2"/>
      <c r="AE673" s="17">
        <v>16.410443617685132</v>
      </c>
      <c r="AF673" s="17">
        <f t="shared" si="7"/>
        <v>155.8550687</v>
      </c>
      <c r="AG673" s="17">
        <f t="shared" si="8"/>
        <v>744.8681545</v>
      </c>
      <c r="AH673" s="17">
        <f t="shared" si="9"/>
        <v>4838.896176</v>
      </c>
      <c r="AI673" s="17">
        <v>6435.469940695517</v>
      </c>
      <c r="AJ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19">
        <f t="shared" si="10"/>
        <v>53.55</v>
      </c>
      <c r="X674" s="20">
        <f t="shared" si="1"/>
        <v>0</v>
      </c>
      <c r="Y674" s="20">
        <f t="shared" si="2"/>
        <v>0</v>
      </c>
      <c r="Z674" s="20">
        <f t="shared" si="3"/>
        <v>11.67813934</v>
      </c>
      <c r="AA674" s="20">
        <f t="shared" si="4"/>
        <v>0</v>
      </c>
      <c r="AB674" s="20">
        <f t="shared" si="5"/>
        <v>0.00000000851487297</v>
      </c>
      <c r="AC674" s="20">
        <f t="shared" si="6"/>
        <v>5704.897052</v>
      </c>
      <c r="AD674" s="2"/>
      <c r="AE674" s="20">
        <v>11.678139341352939</v>
      </c>
      <c r="AF674" s="20">
        <f t="shared" si="7"/>
        <v>117.076417</v>
      </c>
      <c r="AG674" s="20">
        <f t="shared" si="8"/>
        <v>590.964519</v>
      </c>
      <c r="AH674" s="20">
        <f t="shared" si="9"/>
        <v>4056.963266</v>
      </c>
      <c r="AI674" s="20">
        <v>5704.897052317668</v>
      </c>
      <c r="AJ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16">
        <f t="shared" si="10"/>
        <v>53.6</v>
      </c>
      <c r="X675" s="17">
        <f t="shared" si="1"/>
        <v>0</v>
      </c>
      <c r="Y675" s="17">
        <f t="shared" si="2"/>
        <v>0</v>
      </c>
      <c r="Z675" s="17">
        <f t="shared" si="3"/>
        <v>8.257011756</v>
      </c>
      <c r="AA675" s="17">
        <f t="shared" si="4"/>
        <v>0</v>
      </c>
      <c r="AB675" s="17">
        <f t="shared" si="5"/>
        <v>0.0000000003570746549</v>
      </c>
      <c r="AC675" s="17">
        <f t="shared" si="6"/>
        <v>5025.173326</v>
      </c>
      <c r="AD675" s="2"/>
      <c r="AE675" s="17">
        <v>8.25701175585098</v>
      </c>
      <c r="AF675" s="17">
        <f t="shared" si="7"/>
        <v>87.38229353</v>
      </c>
      <c r="AG675" s="17">
        <f t="shared" si="8"/>
        <v>465.8635773</v>
      </c>
      <c r="AH675" s="17">
        <f t="shared" si="9"/>
        <v>3379.724107</v>
      </c>
      <c r="AI675" s="17">
        <v>5025.173326045449</v>
      </c>
      <c r="AJ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19">
        <f t="shared" si="10"/>
        <v>53.65</v>
      </c>
      <c r="X676" s="20">
        <f t="shared" si="1"/>
        <v>0</v>
      </c>
      <c r="Y676" s="20">
        <f t="shared" si="2"/>
        <v>0</v>
      </c>
      <c r="Z676" s="20">
        <f t="shared" si="3"/>
        <v>5.800535265</v>
      </c>
      <c r="AA676" s="20">
        <f t="shared" si="4"/>
        <v>0</v>
      </c>
      <c r="AB676" s="20">
        <f t="shared" si="5"/>
        <v>0</v>
      </c>
      <c r="AC676" s="20">
        <f t="shared" si="6"/>
        <v>4398.351852</v>
      </c>
      <c r="AD676" s="2"/>
      <c r="AE676" s="20">
        <v>5.800535265297144</v>
      </c>
      <c r="AF676" s="20">
        <f t="shared" si="7"/>
        <v>64.80118992</v>
      </c>
      <c r="AG676" s="20">
        <f t="shared" si="8"/>
        <v>364.8979789</v>
      </c>
      <c r="AH676" s="20">
        <f t="shared" si="9"/>
        <v>2797.607776</v>
      </c>
      <c r="AI676" s="20">
        <v>4398.35185162334</v>
      </c>
      <c r="AJ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16">
        <f t="shared" si="10"/>
        <v>53.7</v>
      </c>
      <c r="X677" s="17">
        <f t="shared" si="1"/>
        <v>0</v>
      </c>
      <c r="Y677" s="17">
        <f t="shared" si="2"/>
        <v>0</v>
      </c>
      <c r="Z677" s="17">
        <f t="shared" si="3"/>
        <v>4.048639972</v>
      </c>
      <c r="AA677" s="17">
        <f t="shared" si="4"/>
        <v>0</v>
      </c>
      <c r="AB677" s="17">
        <f t="shared" si="5"/>
        <v>0</v>
      </c>
      <c r="AC677" s="17">
        <f t="shared" si="6"/>
        <v>3825.291886</v>
      </c>
      <c r="AD677" s="2"/>
      <c r="AE677" s="17">
        <v>4.048639972461503</v>
      </c>
      <c r="AF677" s="17">
        <f t="shared" si="7"/>
        <v>47.74721516</v>
      </c>
      <c r="AG677" s="17">
        <f t="shared" si="8"/>
        <v>283.987686</v>
      </c>
      <c r="AH677" s="17">
        <f t="shared" si="9"/>
        <v>2301.00629</v>
      </c>
      <c r="AI677" s="17">
        <v>3825.291885962871</v>
      </c>
      <c r="AJ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19">
        <f t="shared" si="10"/>
        <v>53.75</v>
      </c>
      <c r="X678" s="20">
        <f t="shared" si="1"/>
        <v>0</v>
      </c>
      <c r="Y678" s="20">
        <f t="shared" si="2"/>
        <v>0</v>
      </c>
      <c r="Z678" s="20">
        <f t="shared" si="3"/>
        <v>2.807670664</v>
      </c>
      <c r="AA678" s="20">
        <f t="shared" si="4"/>
        <v>0</v>
      </c>
      <c r="AB678" s="20">
        <f t="shared" si="5"/>
        <v>0</v>
      </c>
      <c r="AC678" s="20">
        <f t="shared" si="6"/>
        <v>3305.787085</v>
      </c>
      <c r="AD678" s="2"/>
      <c r="AE678" s="20">
        <v>2.8076706637452347</v>
      </c>
      <c r="AF678" s="20">
        <f t="shared" si="7"/>
        <v>34.955751</v>
      </c>
      <c r="AG678" s="20">
        <f t="shared" si="8"/>
        <v>219.6053472</v>
      </c>
      <c r="AH678" s="20">
        <f t="shared" si="9"/>
        <v>1880.503682</v>
      </c>
      <c r="AI678" s="20">
        <v>3305.7870847155195</v>
      </c>
      <c r="AJ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16">
        <f t="shared" si="10"/>
        <v>53.8</v>
      </c>
      <c r="X679" s="17">
        <f t="shared" si="1"/>
        <v>0</v>
      </c>
      <c r="Y679" s="17">
        <f t="shared" si="2"/>
        <v>0</v>
      </c>
      <c r="Z679" s="17">
        <f t="shared" si="3"/>
        <v>1.934546122</v>
      </c>
      <c r="AA679" s="17">
        <f t="shared" si="4"/>
        <v>0</v>
      </c>
      <c r="AB679" s="17">
        <f t="shared" si="5"/>
        <v>0</v>
      </c>
      <c r="AC679" s="17">
        <f t="shared" si="6"/>
        <v>2838.708946</v>
      </c>
      <c r="AD679" s="2"/>
      <c r="AE679" s="17">
        <v>1.9345461224712228</v>
      </c>
      <c r="AF679" s="17">
        <f t="shared" si="7"/>
        <v>25.42697829</v>
      </c>
      <c r="AG679" s="17">
        <f t="shared" si="8"/>
        <v>168.733635</v>
      </c>
      <c r="AH679" s="17">
        <f t="shared" si="9"/>
        <v>1527.059549</v>
      </c>
      <c r="AI679" s="17">
        <v>2838.7089456761832</v>
      </c>
      <c r="AJ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19">
        <f t="shared" si="10"/>
        <v>53.85</v>
      </c>
      <c r="X680" s="20">
        <f t="shared" si="1"/>
        <v>0</v>
      </c>
      <c r="Y680" s="20">
        <f t="shared" si="2"/>
        <v>0</v>
      </c>
      <c r="Z680" s="20">
        <f t="shared" si="3"/>
        <v>1.324365721</v>
      </c>
      <c r="AA680" s="20">
        <f t="shared" si="4"/>
        <v>0</v>
      </c>
      <c r="AB680" s="20">
        <f t="shared" si="5"/>
        <v>0</v>
      </c>
      <c r="AC680" s="20">
        <f t="shared" si="6"/>
        <v>2422.158409</v>
      </c>
      <c r="AD680" s="2"/>
      <c r="AE680" s="20">
        <v>1.3243657205904693</v>
      </c>
      <c r="AF680" s="20">
        <f t="shared" si="7"/>
        <v>18.37707518</v>
      </c>
      <c r="AG680" s="20">
        <f t="shared" si="8"/>
        <v>128.8177665</v>
      </c>
      <c r="AH680" s="20">
        <f t="shared" si="9"/>
        <v>1232.148807</v>
      </c>
      <c r="AI680" s="20">
        <v>2422.158408918174</v>
      </c>
      <c r="AJ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16">
        <f t="shared" si="10"/>
        <v>53.9</v>
      </c>
      <c r="X681" s="17">
        <f t="shared" si="1"/>
        <v>0</v>
      </c>
      <c r="Y681" s="17">
        <f t="shared" si="2"/>
        <v>0</v>
      </c>
      <c r="Z681" s="17">
        <f t="shared" si="3"/>
        <v>0.9008089497</v>
      </c>
      <c r="AA681" s="17">
        <f t="shared" si="4"/>
        <v>0</v>
      </c>
      <c r="AB681" s="17">
        <f t="shared" si="5"/>
        <v>0</v>
      </c>
      <c r="AC681" s="17">
        <f t="shared" si="6"/>
        <v>2053.619158</v>
      </c>
      <c r="AD681" s="2"/>
      <c r="AE681" s="17">
        <v>0.9008089496973104</v>
      </c>
      <c r="AF681" s="17">
        <f t="shared" si="7"/>
        <v>13.19664568</v>
      </c>
      <c r="AG681" s="17">
        <f t="shared" si="8"/>
        <v>97.71589579</v>
      </c>
      <c r="AH681" s="17">
        <f t="shared" si="9"/>
        <v>987.8607974</v>
      </c>
      <c r="AI681" s="17">
        <v>2053.6191579438205</v>
      </c>
      <c r="AJ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19">
        <f t="shared" si="10"/>
        <v>53.95</v>
      </c>
      <c r="X682" s="20">
        <f t="shared" si="1"/>
        <v>0</v>
      </c>
      <c r="Y682" s="20">
        <f t="shared" si="2"/>
        <v>0</v>
      </c>
      <c r="Z682" s="20">
        <f t="shared" si="3"/>
        <v>0.6087701818</v>
      </c>
      <c r="AA682" s="20">
        <f t="shared" si="4"/>
        <v>0</v>
      </c>
      <c r="AB682" s="20">
        <f t="shared" si="5"/>
        <v>0</v>
      </c>
      <c r="AC682" s="20">
        <f t="shared" si="6"/>
        <v>1730.106988</v>
      </c>
      <c r="AD682" s="2"/>
      <c r="AE682" s="20">
        <v>0.6087701817765107</v>
      </c>
      <c r="AF682" s="20">
        <f t="shared" si="7"/>
        <v>9.415778761</v>
      </c>
      <c r="AG682" s="20">
        <f t="shared" si="8"/>
        <v>73.649537</v>
      </c>
      <c r="AH682" s="20">
        <f t="shared" si="9"/>
        <v>786.9619674</v>
      </c>
      <c r="AI682" s="20">
        <v>1730.1069876540755</v>
      </c>
      <c r="AJ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16">
        <f t="shared" si="10"/>
        <v>54</v>
      </c>
      <c r="X683" s="17">
        <f t="shared" si="1"/>
        <v>0</v>
      </c>
      <c r="Y683" s="17">
        <f t="shared" si="2"/>
        <v>0</v>
      </c>
      <c r="Z683" s="17">
        <f t="shared" si="3"/>
        <v>0.408761487</v>
      </c>
      <c r="AA683" s="17">
        <f t="shared" si="4"/>
        <v>0</v>
      </c>
      <c r="AB683" s="17">
        <f t="shared" si="5"/>
        <v>0</v>
      </c>
      <c r="AC683" s="17">
        <f t="shared" si="6"/>
        <v>1448.310575</v>
      </c>
      <c r="AD683" s="2"/>
      <c r="AE683" s="17">
        <v>0.40876148697804887</v>
      </c>
      <c r="AF683" s="17">
        <f t="shared" si="7"/>
        <v>6.675049016</v>
      </c>
      <c r="AG683" s="17">
        <f t="shared" si="8"/>
        <v>55.15567129</v>
      </c>
      <c r="AH683" s="17">
        <f t="shared" si="9"/>
        <v>622.9269779</v>
      </c>
      <c r="AI683" s="17">
        <v>1448.310574656132</v>
      </c>
      <c r="AJ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19">
        <f t="shared" si="10"/>
        <v>54.05</v>
      </c>
      <c r="X684" s="20">
        <f t="shared" si="1"/>
        <v>0</v>
      </c>
      <c r="Y684" s="20">
        <f t="shared" si="2"/>
        <v>0</v>
      </c>
      <c r="Z684" s="20">
        <f t="shared" si="3"/>
        <v>0.2726983355</v>
      </c>
      <c r="AA684" s="20">
        <f t="shared" si="4"/>
        <v>0</v>
      </c>
      <c r="AB684" s="20">
        <f t="shared" si="5"/>
        <v>0</v>
      </c>
      <c r="AC684" s="20">
        <f t="shared" si="6"/>
        <v>1204.720031</v>
      </c>
      <c r="AD684" s="2"/>
      <c r="AE684" s="20">
        <v>0.27269833553105166</v>
      </c>
      <c r="AF684" s="20">
        <f t="shared" si="7"/>
        <v>4.701735539</v>
      </c>
      <c r="AG684" s="20">
        <f t="shared" si="8"/>
        <v>41.04173188</v>
      </c>
      <c r="AH684" s="20">
        <f t="shared" si="9"/>
        <v>489.94343</v>
      </c>
      <c r="AI684" s="20">
        <v>1204.7200311398444</v>
      </c>
      <c r="AJ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16">
        <f t="shared" si="10"/>
        <v>54.1</v>
      </c>
      <c r="X685" s="17">
        <f t="shared" si="1"/>
        <v>0</v>
      </c>
      <c r="Y685" s="17">
        <f t="shared" si="2"/>
        <v>0</v>
      </c>
      <c r="Z685" s="17">
        <f t="shared" si="3"/>
        <v>0.180755251</v>
      </c>
      <c r="AA685" s="17">
        <f t="shared" si="4"/>
        <v>0</v>
      </c>
      <c r="AB685" s="17">
        <f t="shared" si="5"/>
        <v>0</v>
      </c>
      <c r="AC685" s="17">
        <f t="shared" si="6"/>
        <v>995.7406792</v>
      </c>
      <c r="AD685" s="2"/>
      <c r="AE685" s="17">
        <v>0.1807552509699952</v>
      </c>
      <c r="AF685" s="17">
        <f t="shared" si="7"/>
        <v>3.290542166</v>
      </c>
      <c r="AG685" s="17">
        <f t="shared" si="8"/>
        <v>30.34425878</v>
      </c>
      <c r="AH685" s="17">
        <f t="shared" si="9"/>
        <v>382.8953916</v>
      </c>
      <c r="AI685" s="17">
        <v>995.7406791789372</v>
      </c>
      <c r="AJ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19">
        <f t="shared" si="10"/>
        <v>54.15</v>
      </c>
      <c r="X686" s="20">
        <f t="shared" si="1"/>
        <v>0</v>
      </c>
      <c r="Y686" s="20">
        <f t="shared" si="2"/>
        <v>0</v>
      </c>
      <c r="Z686" s="20">
        <f t="shared" si="3"/>
        <v>0.1190406464</v>
      </c>
      <c r="AA686" s="20">
        <f t="shared" si="4"/>
        <v>0</v>
      </c>
      <c r="AB686" s="20">
        <f t="shared" si="5"/>
        <v>0</v>
      </c>
      <c r="AC686" s="20">
        <f t="shared" si="6"/>
        <v>817.7904912</v>
      </c>
      <c r="AD686" s="2"/>
      <c r="AE686" s="20">
        <v>0.11904064636524805</v>
      </c>
      <c r="AF686" s="20">
        <f t="shared" si="7"/>
        <v>2.288138181</v>
      </c>
      <c r="AG686" s="20">
        <f t="shared" si="8"/>
        <v>22.29167683</v>
      </c>
      <c r="AH686" s="20">
        <f t="shared" si="9"/>
        <v>297.3306931</v>
      </c>
      <c r="AI686" s="20">
        <v>817.7904911993373</v>
      </c>
      <c r="AJ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16">
        <f t="shared" si="10"/>
        <v>54.2</v>
      </c>
      <c r="X687" s="17">
        <f t="shared" si="1"/>
        <v>0</v>
      </c>
      <c r="Y687" s="17">
        <f t="shared" si="2"/>
        <v>0</v>
      </c>
      <c r="Z687" s="17">
        <f t="shared" si="3"/>
        <v>0.0778924831</v>
      </c>
      <c r="AA687" s="17">
        <f t="shared" si="4"/>
        <v>0</v>
      </c>
      <c r="AB687" s="17">
        <f t="shared" si="5"/>
        <v>0</v>
      </c>
      <c r="AC687" s="17">
        <f t="shared" si="6"/>
        <v>667.3805594</v>
      </c>
      <c r="AD687" s="2"/>
      <c r="AE687" s="17">
        <v>0.07789248309606633</v>
      </c>
      <c r="AF687" s="17">
        <f t="shared" si="7"/>
        <v>1.580893305</v>
      </c>
      <c r="AG687" s="17">
        <f t="shared" si="8"/>
        <v>16.27137648</v>
      </c>
      <c r="AH687" s="17">
        <f t="shared" si="9"/>
        <v>229.4165527</v>
      </c>
      <c r="AI687" s="17">
        <v>667.3805594382068</v>
      </c>
      <c r="AJ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19">
        <f t="shared" si="10"/>
        <v>54.25</v>
      </c>
      <c r="X688" s="20">
        <f t="shared" si="1"/>
        <v>0</v>
      </c>
      <c r="Y688" s="20">
        <f t="shared" si="2"/>
        <v>0</v>
      </c>
      <c r="Z688" s="20">
        <f t="shared" si="3"/>
        <v>0.05063977176</v>
      </c>
      <c r="AA688" s="20">
        <f t="shared" si="4"/>
        <v>0</v>
      </c>
      <c r="AB688" s="20">
        <f t="shared" si="5"/>
        <v>0</v>
      </c>
      <c r="AC688" s="20">
        <f t="shared" si="6"/>
        <v>541.17875</v>
      </c>
      <c r="AD688" s="2"/>
      <c r="AE688" s="20">
        <v>0.05063977176475039</v>
      </c>
      <c r="AF688" s="20">
        <f t="shared" si="7"/>
        <v>1.085246508</v>
      </c>
      <c r="AG688" s="20">
        <f t="shared" si="8"/>
        <v>11.80106493</v>
      </c>
      <c r="AH688" s="20">
        <f t="shared" si="9"/>
        <v>175.887574</v>
      </c>
      <c r="AI688" s="20">
        <v>541.178750029004</v>
      </c>
      <c r="AJ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16">
        <f t="shared" si="10"/>
        <v>54.3</v>
      </c>
      <c r="X689" s="17">
        <f t="shared" si="1"/>
        <v>0</v>
      </c>
      <c r="Y689" s="17">
        <f t="shared" si="2"/>
        <v>0</v>
      </c>
      <c r="Z689" s="17">
        <f t="shared" si="3"/>
        <v>0.03271024892</v>
      </c>
      <c r="AA689" s="17">
        <f t="shared" si="4"/>
        <v>0</v>
      </c>
      <c r="AB689" s="17">
        <f t="shared" si="5"/>
        <v>0</v>
      </c>
      <c r="AC689" s="17">
        <f t="shared" si="6"/>
        <v>436.057346</v>
      </c>
      <c r="AD689" s="2"/>
      <c r="AE689" s="17">
        <v>0.03271024892163072</v>
      </c>
      <c r="AF689" s="17">
        <f t="shared" si="7"/>
        <v>0.7402181989</v>
      </c>
      <c r="AG689" s="17">
        <f t="shared" si="8"/>
        <v>8.504199819</v>
      </c>
      <c r="AH689" s="17">
        <f t="shared" si="9"/>
        <v>133.989563</v>
      </c>
      <c r="AI689" s="17">
        <v>436.05734600735155</v>
      </c>
      <c r="AJ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19">
        <f t="shared" si="10"/>
        <v>54.35</v>
      </c>
      <c r="X690" s="20">
        <f t="shared" si="1"/>
        <v>0</v>
      </c>
      <c r="Y690" s="20">
        <f t="shared" si="2"/>
        <v>0</v>
      </c>
      <c r="Z690" s="20">
        <f t="shared" si="3"/>
        <v>0.02099287293</v>
      </c>
      <c r="AA690" s="20">
        <f t="shared" si="4"/>
        <v>0</v>
      </c>
      <c r="AB690" s="20">
        <f t="shared" si="5"/>
        <v>0</v>
      </c>
      <c r="AC690" s="20">
        <f t="shared" si="6"/>
        <v>349.1259799</v>
      </c>
      <c r="AD690" s="2"/>
      <c r="AE690" s="20">
        <v>0.020992872932323957</v>
      </c>
      <c r="AF690" s="20">
        <f t="shared" si="7"/>
        <v>0.5016451808</v>
      </c>
      <c r="AG690" s="20">
        <f t="shared" si="8"/>
        <v>6.089211554</v>
      </c>
      <c r="AH690" s="20">
        <f t="shared" si="9"/>
        <v>101.4220035</v>
      </c>
      <c r="AI690" s="20">
        <v>349.1259798555007</v>
      </c>
      <c r="AJ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16">
        <f t="shared" si="10"/>
        <v>54.4</v>
      </c>
      <c r="X691" s="17">
        <f t="shared" si="1"/>
        <v>0</v>
      </c>
      <c r="Y691" s="17">
        <f t="shared" si="2"/>
        <v>0</v>
      </c>
      <c r="Z691" s="17">
        <f t="shared" si="3"/>
        <v>0.0133861542</v>
      </c>
      <c r="AA691" s="17">
        <f t="shared" si="4"/>
        <v>0</v>
      </c>
      <c r="AB691" s="17">
        <f t="shared" si="5"/>
        <v>0</v>
      </c>
      <c r="AC691" s="17">
        <f t="shared" si="6"/>
        <v>277.7515022</v>
      </c>
      <c r="AD691" s="2"/>
      <c r="AE691" s="17">
        <v>0.013386154201403091</v>
      </c>
      <c r="AF691" s="17">
        <f t="shared" si="7"/>
        <v>0.3377839851</v>
      </c>
      <c r="AG691" s="17">
        <f t="shared" si="8"/>
        <v>4.33215533</v>
      </c>
      <c r="AH691" s="17">
        <f t="shared" si="9"/>
        <v>76.28142591</v>
      </c>
      <c r="AI691" s="17">
        <v>277.7515021699591</v>
      </c>
      <c r="AJ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19">
        <f t="shared" si="10"/>
        <v>54.45</v>
      </c>
      <c r="X692" s="20">
        <f t="shared" si="1"/>
        <v>0</v>
      </c>
      <c r="Y692" s="20">
        <f t="shared" si="2"/>
        <v>0</v>
      </c>
      <c r="Z692" s="20">
        <f t="shared" si="3"/>
        <v>0.008480777876</v>
      </c>
      <c r="AA692" s="20">
        <f t="shared" si="4"/>
        <v>0</v>
      </c>
      <c r="AB692" s="20">
        <f t="shared" si="5"/>
        <v>0</v>
      </c>
      <c r="AC692" s="20">
        <f t="shared" si="6"/>
        <v>219.5666388</v>
      </c>
      <c r="AD692" s="2"/>
      <c r="AE692" s="20">
        <v>0.008480777876257345</v>
      </c>
      <c r="AF692" s="20">
        <f t="shared" si="7"/>
        <v>0.2259888387</v>
      </c>
      <c r="AG692" s="20">
        <f t="shared" si="8"/>
        <v>3.062402901</v>
      </c>
      <c r="AH692" s="20">
        <f t="shared" si="9"/>
        <v>57.00734598</v>
      </c>
      <c r="AI692" s="20">
        <v>219.5666388342974</v>
      </c>
      <c r="AJ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16">
        <f t="shared" si="10"/>
        <v>54.5</v>
      </c>
      <c r="X693" s="17">
        <f t="shared" si="1"/>
        <v>0</v>
      </c>
      <c r="Y693" s="17">
        <f t="shared" si="2"/>
        <v>0</v>
      </c>
      <c r="Z693" s="17">
        <f t="shared" si="3"/>
        <v>0.005338404428</v>
      </c>
      <c r="AA693" s="17">
        <f t="shared" si="4"/>
        <v>0</v>
      </c>
      <c r="AB693" s="17">
        <f t="shared" si="5"/>
        <v>0</v>
      </c>
      <c r="AC693" s="17">
        <f t="shared" si="6"/>
        <v>172.4693709</v>
      </c>
      <c r="AD693" s="2"/>
      <c r="AE693" s="17">
        <v>0.00533840442849912</v>
      </c>
      <c r="AF693" s="17">
        <f t="shared" si="7"/>
        <v>0.1502243904</v>
      </c>
      <c r="AG693" s="17">
        <f t="shared" si="8"/>
        <v>2.150978085</v>
      </c>
      <c r="AH693" s="17">
        <f t="shared" si="9"/>
        <v>42.33194715</v>
      </c>
      <c r="AI693" s="17">
        <v>172.46937094141356</v>
      </c>
      <c r="AJ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19">
        <f t="shared" si="10"/>
        <v>54.55</v>
      </c>
      <c r="X694" s="20">
        <f t="shared" si="1"/>
        <v>0</v>
      </c>
      <c r="Y694" s="20">
        <f t="shared" si="2"/>
        <v>0</v>
      </c>
      <c r="Z694" s="20">
        <f t="shared" si="3"/>
        <v>0.003338744412</v>
      </c>
      <c r="AA694" s="20">
        <f t="shared" si="4"/>
        <v>0</v>
      </c>
      <c r="AB694" s="20">
        <f t="shared" si="5"/>
        <v>0</v>
      </c>
      <c r="AC694" s="20">
        <f t="shared" si="6"/>
        <v>134.6149498</v>
      </c>
      <c r="AD694" s="2"/>
      <c r="AE694" s="20">
        <v>0.0033387444122644576</v>
      </c>
      <c r="AF694" s="20">
        <f t="shared" si="7"/>
        <v>0.09922004851</v>
      </c>
      <c r="AG694" s="20">
        <f t="shared" si="8"/>
        <v>1.501153123</v>
      </c>
      <c r="AH694" s="20">
        <f t="shared" si="9"/>
        <v>31.23424918</v>
      </c>
      <c r="AI694" s="20">
        <v>134.61494975255823</v>
      </c>
      <c r="AJ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16">
        <f t="shared" si="10"/>
        <v>54.6</v>
      </c>
      <c r="X695" s="17">
        <f t="shared" si="1"/>
        <v>0</v>
      </c>
      <c r="Y695" s="17">
        <f t="shared" si="2"/>
        <v>0</v>
      </c>
      <c r="Z695" s="17">
        <f t="shared" si="3"/>
        <v>0.002074678445</v>
      </c>
      <c r="AA695" s="17">
        <f t="shared" si="4"/>
        <v>0</v>
      </c>
      <c r="AB695" s="17">
        <f t="shared" si="5"/>
        <v>0</v>
      </c>
      <c r="AC695" s="17">
        <f t="shared" si="6"/>
        <v>104.4023552</v>
      </c>
      <c r="AD695" s="2"/>
      <c r="AE695" s="17">
        <v>0.0020746784448130483</v>
      </c>
      <c r="AF695" s="17">
        <f t="shared" si="7"/>
        <v>0.0651124361</v>
      </c>
      <c r="AG695" s="17">
        <f t="shared" si="8"/>
        <v>1.040948762</v>
      </c>
      <c r="AH695" s="17">
        <f t="shared" si="9"/>
        <v>22.89914666</v>
      </c>
      <c r="AI695" s="17">
        <v>104.40235519196737</v>
      </c>
      <c r="AJ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19">
        <f t="shared" si="10"/>
        <v>54.65</v>
      </c>
      <c r="X696" s="20">
        <f t="shared" si="1"/>
        <v>0</v>
      </c>
      <c r="Y696" s="20">
        <f t="shared" si="2"/>
        <v>0</v>
      </c>
      <c r="Z696" s="20">
        <f t="shared" si="3"/>
        <v>0.00128089737</v>
      </c>
      <c r="AA696" s="20">
        <f t="shared" si="4"/>
        <v>0</v>
      </c>
      <c r="AB696" s="20">
        <f t="shared" si="5"/>
        <v>0</v>
      </c>
      <c r="AC696" s="20">
        <f t="shared" si="6"/>
        <v>80.45684288</v>
      </c>
      <c r="AD696" s="2"/>
      <c r="AE696" s="20">
        <v>0.0012808973699892506</v>
      </c>
      <c r="AF696" s="20">
        <f t="shared" si="7"/>
        <v>0.04245550177</v>
      </c>
      <c r="AG696" s="20">
        <f t="shared" si="8"/>
        <v>0.717214502</v>
      </c>
      <c r="AH696" s="20">
        <f t="shared" si="9"/>
        <v>16.68141663</v>
      </c>
      <c r="AI696" s="20">
        <v>80.45684287694625</v>
      </c>
      <c r="AJ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16">
        <f t="shared" si="10"/>
        <v>54.7</v>
      </c>
      <c r="X697" s="17">
        <f t="shared" si="1"/>
        <v>0</v>
      </c>
      <c r="Y697" s="17">
        <f t="shared" si="2"/>
        <v>0</v>
      </c>
      <c r="Z697" s="17">
        <f t="shared" si="3"/>
        <v>0.0007857308256</v>
      </c>
      <c r="AA697" s="17">
        <f t="shared" si="4"/>
        <v>0</v>
      </c>
      <c r="AB697" s="17">
        <f t="shared" si="5"/>
        <v>0</v>
      </c>
      <c r="AC697" s="17">
        <f t="shared" si="6"/>
        <v>61.61002233</v>
      </c>
      <c r="AD697" s="2"/>
      <c r="AE697" s="17">
        <v>7.857308255680857E-4</v>
      </c>
      <c r="AF697" s="17">
        <f t="shared" si="7"/>
        <v>0.0275048662</v>
      </c>
      <c r="AG697" s="17">
        <f t="shared" si="8"/>
        <v>0.4910029735</v>
      </c>
      <c r="AH697" s="17">
        <f t="shared" si="9"/>
        <v>12.07457804</v>
      </c>
      <c r="AI697" s="17">
        <v>61.61002233399774</v>
      </c>
      <c r="AJ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19">
        <f t="shared" si="10"/>
        <v>54.75</v>
      </c>
      <c r="X698" s="20">
        <f t="shared" si="1"/>
        <v>0</v>
      </c>
      <c r="Y698" s="20">
        <f t="shared" si="2"/>
        <v>0</v>
      </c>
      <c r="Z698" s="20">
        <f t="shared" si="3"/>
        <v>0.0004788827217</v>
      </c>
      <c r="AA698" s="20">
        <f t="shared" si="4"/>
        <v>0</v>
      </c>
      <c r="AB698" s="20">
        <f t="shared" si="5"/>
        <v>0</v>
      </c>
      <c r="AC698" s="20">
        <f t="shared" si="6"/>
        <v>46.87868643</v>
      </c>
      <c r="AD698" s="2"/>
      <c r="AE698" s="20">
        <v>4.788827216975509E-4</v>
      </c>
      <c r="AF698" s="20">
        <f t="shared" si="7"/>
        <v>0.01770478347</v>
      </c>
      <c r="AG698" s="20">
        <f t="shared" si="8"/>
        <v>0.3339908218</v>
      </c>
      <c r="AH698" s="20">
        <f t="shared" si="9"/>
        <v>8.684331619</v>
      </c>
      <c r="AI698" s="20">
        <v>46.878686432795334</v>
      </c>
      <c r="AJ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16">
        <f t="shared" si="10"/>
        <v>54.8</v>
      </c>
      <c r="X699" s="17">
        <f t="shared" si="1"/>
        <v>0</v>
      </c>
      <c r="Y699" s="17">
        <f t="shared" si="2"/>
        <v>0</v>
      </c>
      <c r="Z699" s="17">
        <f t="shared" si="3"/>
        <v>0.000289988291</v>
      </c>
      <c r="AA699" s="17">
        <f t="shared" si="4"/>
        <v>0</v>
      </c>
      <c r="AB699" s="17">
        <f t="shared" si="5"/>
        <v>0</v>
      </c>
      <c r="AC699" s="17">
        <f t="shared" si="6"/>
        <v>35.44338483</v>
      </c>
      <c r="AD699" s="2"/>
      <c r="AE699" s="17">
        <v>2.8998829098202144E-4</v>
      </c>
      <c r="AF699" s="17">
        <f t="shared" si="7"/>
        <v>0.01132340986</v>
      </c>
      <c r="AG699" s="17">
        <f t="shared" si="8"/>
        <v>0.2257357234</v>
      </c>
      <c r="AH699" s="17">
        <f t="shared" si="9"/>
        <v>6.206206729</v>
      </c>
      <c r="AI699" s="17">
        <v>35.443384833812175</v>
      </c>
      <c r="AJ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19">
        <f t="shared" si="10"/>
        <v>54.85</v>
      </c>
      <c r="X700" s="20">
        <f t="shared" si="1"/>
        <v>0</v>
      </c>
      <c r="Y700" s="20">
        <f t="shared" si="2"/>
        <v>0</v>
      </c>
      <c r="Z700" s="20">
        <f t="shared" si="3"/>
        <v>0.0001744727779</v>
      </c>
      <c r="AA700" s="20">
        <f t="shared" si="4"/>
        <v>0</v>
      </c>
      <c r="AB700" s="20">
        <f t="shared" si="5"/>
        <v>0</v>
      </c>
      <c r="AC700" s="20">
        <f t="shared" si="6"/>
        <v>26.6275148</v>
      </c>
      <c r="AD700" s="2"/>
      <c r="AE700" s="20">
        <v>1.7447277787068305E-4</v>
      </c>
      <c r="AF700" s="20">
        <f t="shared" si="7"/>
        <v>0.007195638881</v>
      </c>
      <c r="AG700" s="20">
        <f t="shared" si="8"/>
        <v>0.1515937876</v>
      </c>
      <c r="AH700" s="20">
        <f t="shared" si="9"/>
        <v>4.406984057</v>
      </c>
      <c r="AI700" s="20">
        <v>26.627514804795656</v>
      </c>
      <c r="AJ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16">
        <f t="shared" si="10"/>
        <v>54.9</v>
      </c>
      <c r="X701" s="17">
        <f t="shared" si="1"/>
        <v>0</v>
      </c>
      <c r="Y701" s="17">
        <f t="shared" si="2"/>
        <v>0</v>
      </c>
      <c r="Z701" s="17">
        <f t="shared" si="3"/>
        <v>0.0001042967577</v>
      </c>
      <c r="AA701" s="17">
        <f t="shared" si="4"/>
        <v>0</v>
      </c>
      <c r="AB701" s="17">
        <f t="shared" si="5"/>
        <v>0</v>
      </c>
      <c r="AC701" s="17">
        <f t="shared" si="6"/>
        <v>19.87750026</v>
      </c>
      <c r="AD701" s="2"/>
      <c r="AE701" s="17">
        <v>1.0429675767820275E-4</v>
      </c>
      <c r="AF701" s="17">
        <f t="shared" si="7"/>
        <v>0.004543253991</v>
      </c>
      <c r="AG701" s="17">
        <f t="shared" si="8"/>
        <v>0.1011527899</v>
      </c>
      <c r="AH701" s="17">
        <f t="shared" si="9"/>
        <v>3.109439589</v>
      </c>
      <c r="AI701" s="17">
        <v>19.877500262503414</v>
      </c>
      <c r="AJ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19">
        <f t="shared" si="10"/>
        <v>54.95</v>
      </c>
      <c r="X702" s="20">
        <f t="shared" si="1"/>
        <v>0</v>
      </c>
      <c r="Y702" s="20">
        <f t="shared" si="2"/>
        <v>0</v>
      </c>
      <c r="Z702" s="20">
        <f t="shared" si="3"/>
        <v>0.00006194551356</v>
      </c>
      <c r="AA702" s="20">
        <f t="shared" si="4"/>
        <v>0</v>
      </c>
      <c r="AB702" s="20">
        <f t="shared" si="5"/>
        <v>0</v>
      </c>
      <c r="AC702" s="20">
        <f t="shared" si="6"/>
        <v>14.74445042</v>
      </c>
      <c r="AD702" s="2"/>
      <c r="AE702" s="20">
        <v>6.194551356040432E-5</v>
      </c>
      <c r="AF702" s="20">
        <f t="shared" si="7"/>
        <v>0.002850166285</v>
      </c>
      <c r="AG702" s="20">
        <f t="shared" si="8"/>
        <v>0.06706403467</v>
      </c>
      <c r="AH702" s="20">
        <f t="shared" si="9"/>
        <v>2.179958222</v>
      </c>
      <c r="AI702" s="20">
        <v>14.744450416435466</v>
      </c>
      <c r="AJ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16">
        <f t="shared" si="10"/>
        <v>55</v>
      </c>
      <c r="X703" s="17">
        <f t="shared" si="1"/>
        <v>0</v>
      </c>
      <c r="Y703" s="17">
        <f t="shared" si="2"/>
        <v>0</v>
      </c>
      <c r="Z703" s="17">
        <f t="shared" si="3"/>
        <v>0.00003655483489</v>
      </c>
      <c r="AA703" s="17">
        <f t="shared" si="4"/>
        <v>0</v>
      </c>
      <c r="AB703" s="17">
        <f t="shared" si="5"/>
        <v>0</v>
      </c>
      <c r="AC703" s="17">
        <f t="shared" si="6"/>
        <v>10.86753629</v>
      </c>
      <c r="AD703" s="2"/>
      <c r="AE703" s="17">
        <v>3.655483489139594E-5</v>
      </c>
      <c r="AF703" s="17">
        <f t="shared" si="7"/>
        <v>0.001776556012</v>
      </c>
      <c r="AG703" s="17">
        <f t="shared" si="8"/>
        <v>0.04417909753</v>
      </c>
      <c r="AH703" s="17">
        <f t="shared" si="9"/>
        <v>1.518586799</v>
      </c>
      <c r="AI703" s="17">
        <v>10.867536292701638</v>
      </c>
      <c r="AJ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19">
        <f t="shared" si="10"/>
        <v>55.05</v>
      </c>
      <c r="X704" s="20">
        <f t="shared" si="1"/>
        <v>0</v>
      </c>
      <c r="Y704" s="20">
        <f t="shared" si="2"/>
        <v>0</v>
      </c>
      <c r="Z704" s="20">
        <f t="shared" si="3"/>
        <v>0.00002143264221</v>
      </c>
      <c r="AA704" s="20">
        <f t="shared" si="4"/>
        <v>0</v>
      </c>
      <c r="AB704" s="20">
        <f t="shared" si="5"/>
        <v>0</v>
      </c>
      <c r="AC704" s="20">
        <f t="shared" si="6"/>
        <v>7.959197795</v>
      </c>
      <c r="AD704" s="2"/>
      <c r="AE704" s="20">
        <v>2.1432642208252473E-5</v>
      </c>
      <c r="AF704" s="20">
        <f t="shared" si="7"/>
        <v>0.001100254455</v>
      </c>
      <c r="AG704" s="20">
        <f t="shared" si="8"/>
        <v>0.02891740735</v>
      </c>
      <c r="AH704" s="20">
        <f t="shared" si="9"/>
        <v>1.051130099</v>
      </c>
      <c r="AI704" s="20">
        <v>7.959197794632993</v>
      </c>
      <c r="AJ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16">
        <f t="shared" si="10"/>
        <v>55.1</v>
      </c>
      <c r="X705" s="17">
        <f t="shared" si="1"/>
        <v>0</v>
      </c>
      <c r="Y705" s="17">
        <f t="shared" si="2"/>
        <v>0</v>
      </c>
      <c r="Z705" s="17">
        <f t="shared" si="3"/>
        <v>0.0000124854017</v>
      </c>
      <c r="AA705" s="17">
        <f t="shared" si="4"/>
        <v>0</v>
      </c>
      <c r="AB705" s="17">
        <f t="shared" si="5"/>
        <v>0</v>
      </c>
      <c r="AC705" s="17">
        <f t="shared" si="6"/>
        <v>5.792195132</v>
      </c>
      <c r="AD705" s="2"/>
      <c r="AE705" s="17">
        <v>1.2485401704941048E-5</v>
      </c>
      <c r="AF705" s="17">
        <f t="shared" si="7"/>
        <v>0.0006770377601</v>
      </c>
      <c r="AG705" s="17">
        <f t="shared" si="8"/>
        <v>0.01880690003</v>
      </c>
      <c r="AH705" s="17">
        <f t="shared" si="9"/>
        <v>0.7229341284</v>
      </c>
      <c r="AI705" s="17">
        <v>5.792195131502594</v>
      </c>
      <c r="AJ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19">
        <f t="shared" si="10"/>
        <v>55.15</v>
      </c>
      <c r="X706" s="20">
        <f t="shared" si="1"/>
        <v>0</v>
      </c>
      <c r="Y706" s="20">
        <f t="shared" si="2"/>
        <v>0</v>
      </c>
      <c r="Z706" s="20">
        <f t="shared" si="3"/>
        <v>0.00000722645403</v>
      </c>
      <c r="AA706" s="20">
        <f t="shared" si="4"/>
        <v>0</v>
      </c>
      <c r="AB706" s="20">
        <f t="shared" si="5"/>
        <v>0</v>
      </c>
      <c r="AC706" s="20">
        <f t="shared" si="6"/>
        <v>4.188444445</v>
      </c>
      <c r="AD706" s="2"/>
      <c r="AE706" s="20">
        <v>7.226454029611363E-6</v>
      </c>
      <c r="AF706" s="20">
        <f t="shared" si="7"/>
        <v>0.0004139407395</v>
      </c>
      <c r="AG706" s="20">
        <f t="shared" si="8"/>
        <v>0.01215319398</v>
      </c>
      <c r="AH706" s="20">
        <f t="shared" si="9"/>
        <v>0.4940448598</v>
      </c>
      <c r="AI706" s="20">
        <v>4.188444445114622</v>
      </c>
      <c r="AJ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16">
        <f t="shared" si="10"/>
        <v>55.2</v>
      </c>
      <c r="X707" s="17">
        <f t="shared" si="1"/>
        <v>0</v>
      </c>
      <c r="Y707" s="17">
        <f t="shared" si="2"/>
        <v>0</v>
      </c>
      <c r="Z707" s="17">
        <f t="shared" si="3"/>
        <v>0.000004155697119</v>
      </c>
      <c r="AA707" s="17">
        <f t="shared" si="4"/>
        <v>0</v>
      </c>
      <c r="AB707" s="17">
        <f t="shared" si="5"/>
        <v>0</v>
      </c>
      <c r="AC707" s="17">
        <f t="shared" si="6"/>
        <v>3.009525469</v>
      </c>
      <c r="AD707" s="2"/>
      <c r="AE707" s="17">
        <v>4.155697119235375E-6</v>
      </c>
      <c r="AF707" s="17">
        <f t="shared" si="7"/>
        <v>0.0002514600375</v>
      </c>
      <c r="AG707" s="17">
        <f t="shared" si="8"/>
        <v>0.007803312401</v>
      </c>
      <c r="AH707" s="17">
        <f t="shared" si="9"/>
        <v>0.3354744469</v>
      </c>
      <c r="AI707" s="17">
        <v>3.0095254686650774</v>
      </c>
      <c r="AJ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19">
        <f t="shared" si="10"/>
        <v>55.25</v>
      </c>
      <c r="X708" s="20">
        <f t="shared" si="1"/>
        <v>0</v>
      </c>
      <c r="Y708" s="20">
        <f t="shared" si="2"/>
        <v>0</v>
      </c>
      <c r="Z708" s="20">
        <f t="shared" si="3"/>
        <v>0.000002374424959</v>
      </c>
      <c r="AA708" s="20">
        <f t="shared" si="4"/>
        <v>0</v>
      </c>
      <c r="AB708" s="20">
        <f t="shared" si="5"/>
        <v>0</v>
      </c>
      <c r="AC708" s="20">
        <f t="shared" si="6"/>
        <v>2.148715788</v>
      </c>
      <c r="AD708" s="2"/>
      <c r="AE708" s="20">
        <v>2.3744249587508327E-6</v>
      </c>
      <c r="AF708" s="20">
        <f t="shared" si="7"/>
        <v>0.0001517767697</v>
      </c>
      <c r="AG708" s="20">
        <f t="shared" si="8"/>
        <v>0.00497832114</v>
      </c>
      <c r="AH708" s="20">
        <f t="shared" si="9"/>
        <v>0.22634865</v>
      </c>
      <c r="AI708" s="20">
        <v>2.148715788416462</v>
      </c>
      <c r="AJ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16">
        <f t="shared" si="10"/>
        <v>55.3</v>
      </c>
      <c r="X709" s="17">
        <f t="shared" si="1"/>
        <v>0</v>
      </c>
      <c r="Y709" s="17">
        <f t="shared" si="2"/>
        <v>0</v>
      </c>
      <c r="Z709" s="17">
        <f t="shared" si="3"/>
        <v>0.000001347934933</v>
      </c>
      <c r="AA709" s="17">
        <f t="shared" si="4"/>
        <v>0</v>
      </c>
      <c r="AB709" s="17">
        <f t="shared" si="5"/>
        <v>0</v>
      </c>
      <c r="AC709" s="17">
        <f t="shared" si="6"/>
        <v>1.52438833</v>
      </c>
      <c r="AD709" s="2"/>
      <c r="AE709" s="17">
        <v>1.3479349332867167E-6</v>
      </c>
      <c r="AF709" s="17">
        <f t="shared" si="7"/>
        <v>0.00009102216463</v>
      </c>
      <c r="AG709" s="17">
        <f t="shared" si="8"/>
        <v>0.003155746968</v>
      </c>
      <c r="AH709" s="17">
        <f t="shared" si="9"/>
        <v>0.1517475802</v>
      </c>
      <c r="AI709" s="17">
        <v>1.5243883300884937</v>
      </c>
      <c r="AJ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19">
        <f t="shared" si="10"/>
        <v>55.35</v>
      </c>
      <c r="X710" s="20">
        <f t="shared" si="1"/>
        <v>0</v>
      </c>
      <c r="Y710" s="20">
        <f t="shared" si="2"/>
        <v>0</v>
      </c>
      <c r="Z710" s="20">
        <f t="shared" si="3"/>
        <v>0.0000007602830831</v>
      </c>
      <c r="AA710" s="20">
        <f t="shared" si="4"/>
        <v>0</v>
      </c>
      <c r="AB710" s="20">
        <f t="shared" si="5"/>
        <v>0</v>
      </c>
      <c r="AC710" s="20">
        <f t="shared" si="6"/>
        <v>1.074602742</v>
      </c>
      <c r="AD710" s="2"/>
      <c r="AE710" s="20">
        <v>7.602830831414384E-7</v>
      </c>
      <c r="AF710" s="20">
        <f t="shared" si="7"/>
        <v>0.00005423685995</v>
      </c>
      <c r="AG710" s="20">
        <f t="shared" si="8"/>
        <v>0.001987635702</v>
      </c>
      <c r="AH710" s="20">
        <f t="shared" si="9"/>
        <v>0.1010860073</v>
      </c>
      <c r="AI710" s="20">
        <v>1.07460274156449</v>
      </c>
      <c r="AJ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16">
        <f t="shared" si="10"/>
        <v>55.4</v>
      </c>
      <c r="X711" s="17">
        <f t="shared" si="1"/>
        <v>0</v>
      </c>
      <c r="Y711" s="17">
        <f t="shared" si="2"/>
        <v>0</v>
      </c>
      <c r="Z711" s="17">
        <f t="shared" si="3"/>
        <v>0.0000004260667508</v>
      </c>
      <c r="AA711" s="17">
        <f t="shared" si="4"/>
        <v>0</v>
      </c>
      <c r="AB711" s="17">
        <f t="shared" si="5"/>
        <v>0</v>
      </c>
      <c r="AC711" s="17">
        <f t="shared" si="6"/>
        <v>0.7527243433</v>
      </c>
      <c r="AD711" s="2"/>
      <c r="AE711" s="17">
        <v>4.260667508203349E-7</v>
      </c>
      <c r="AF711" s="17">
        <f t="shared" si="7"/>
        <v>0.0000321105276</v>
      </c>
      <c r="AG711" s="17">
        <f t="shared" si="8"/>
        <v>0.001243903686</v>
      </c>
      <c r="AH711" s="17">
        <f t="shared" si="9"/>
        <v>0.06690918102</v>
      </c>
      <c r="AI711" s="17">
        <v>0.7527243433410671</v>
      </c>
      <c r="AJ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19">
        <f t="shared" si="10"/>
        <v>55.45</v>
      </c>
      <c r="X712" s="20">
        <f t="shared" si="1"/>
        <v>0</v>
      </c>
      <c r="Y712" s="20">
        <f t="shared" si="2"/>
        <v>0</v>
      </c>
      <c r="Z712" s="20">
        <f t="shared" si="3"/>
        <v>0.0000002372334255</v>
      </c>
      <c r="AA712" s="20">
        <f t="shared" si="4"/>
        <v>0</v>
      </c>
      <c r="AB712" s="20">
        <f t="shared" si="5"/>
        <v>0</v>
      </c>
      <c r="AC712" s="20">
        <f t="shared" si="6"/>
        <v>0.5239135939</v>
      </c>
      <c r="AD712" s="2"/>
      <c r="AE712" s="20">
        <v>2.3723342550838602E-7</v>
      </c>
      <c r="AF712" s="20">
        <f t="shared" si="7"/>
        <v>0.00001888886529</v>
      </c>
      <c r="AG712" s="20">
        <f t="shared" si="8"/>
        <v>0.0007734853121</v>
      </c>
      <c r="AH712" s="20">
        <f t="shared" si="9"/>
        <v>0.04400538125</v>
      </c>
      <c r="AI712" s="20">
        <v>0.523913593900542</v>
      </c>
      <c r="AJ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16">
        <f t="shared" si="10"/>
        <v>55.5</v>
      </c>
      <c r="X713" s="17">
        <f t="shared" si="1"/>
        <v>0</v>
      </c>
      <c r="Y713" s="17">
        <f t="shared" si="2"/>
        <v>0</v>
      </c>
      <c r="Z713" s="17">
        <f t="shared" si="3"/>
        <v>0.000000131241152</v>
      </c>
      <c r="AA713" s="17">
        <f t="shared" si="4"/>
        <v>0</v>
      </c>
      <c r="AB713" s="17">
        <f t="shared" si="5"/>
        <v>0</v>
      </c>
      <c r="AC713" s="17">
        <f t="shared" si="6"/>
        <v>0.3623423205</v>
      </c>
      <c r="AD713" s="2"/>
      <c r="AE713" s="17">
        <v>1.3124115203055658E-7</v>
      </c>
      <c r="AF713" s="17">
        <f t="shared" si="7"/>
        <v>0.00001104001903</v>
      </c>
      <c r="AG713" s="17">
        <f t="shared" si="8"/>
        <v>0.0004778952764</v>
      </c>
      <c r="AH713" s="17">
        <f t="shared" si="9"/>
        <v>0.02875750901</v>
      </c>
      <c r="AI713" s="17">
        <v>0.3623423204756345</v>
      </c>
      <c r="AJ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19">
        <f t="shared" si="10"/>
        <v>55.55</v>
      </c>
      <c r="X714" s="20">
        <f t="shared" si="1"/>
        <v>0</v>
      </c>
      <c r="Y714" s="20">
        <f t="shared" si="2"/>
        <v>0</v>
      </c>
      <c r="Z714" s="20">
        <f t="shared" si="3"/>
        <v>0.0000000721373371</v>
      </c>
      <c r="AA714" s="20">
        <f t="shared" si="4"/>
        <v>0</v>
      </c>
      <c r="AB714" s="20">
        <f t="shared" si="5"/>
        <v>0</v>
      </c>
      <c r="AC714" s="20">
        <f t="shared" si="6"/>
        <v>0.2490084837</v>
      </c>
      <c r="AD714" s="2"/>
      <c r="AE714" s="20">
        <v>7.213733709813342E-8</v>
      </c>
      <c r="AF714" s="20">
        <f t="shared" si="7"/>
        <v>0.000006411199615</v>
      </c>
      <c r="AG714" s="20">
        <f t="shared" si="8"/>
        <v>0.0002933788184</v>
      </c>
      <c r="AH714" s="20">
        <f t="shared" si="9"/>
        <v>0.01867334597</v>
      </c>
      <c r="AI714" s="20">
        <v>0.24900848373572418</v>
      </c>
      <c r="AJ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16">
        <f t="shared" si="10"/>
        <v>55.6</v>
      </c>
      <c r="X715" s="17">
        <f t="shared" si="1"/>
        <v>0</v>
      </c>
      <c r="Y715" s="17">
        <f t="shared" si="2"/>
        <v>0</v>
      </c>
      <c r="Z715" s="17">
        <f t="shared" si="3"/>
        <v>0.00000003939545291</v>
      </c>
      <c r="AA715" s="17">
        <f t="shared" si="4"/>
        <v>0</v>
      </c>
      <c r="AB715" s="17">
        <f t="shared" si="5"/>
        <v>0</v>
      </c>
      <c r="AC715" s="17">
        <f t="shared" si="6"/>
        <v>0.1700375797</v>
      </c>
      <c r="AD715" s="2"/>
      <c r="AE715" s="17">
        <v>3.939545291305552E-8</v>
      </c>
      <c r="AF715" s="17">
        <f t="shared" si="7"/>
        <v>0.000003699255267</v>
      </c>
      <c r="AG715" s="17">
        <f t="shared" si="8"/>
        <v>0.0001789534695</v>
      </c>
      <c r="AH715" s="17">
        <f t="shared" si="9"/>
        <v>0.01204809618</v>
      </c>
      <c r="AI715" s="17">
        <v>0.17003757974183978</v>
      </c>
      <c r="AJ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19">
        <f t="shared" si="10"/>
        <v>55.65</v>
      </c>
      <c r="X716" s="20">
        <f t="shared" si="1"/>
        <v>0</v>
      </c>
      <c r="Y716" s="20">
        <f t="shared" si="2"/>
        <v>0</v>
      </c>
      <c r="Z716" s="20">
        <f t="shared" si="3"/>
        <v>0.00000002137607711</v>
      </c>
      <c r="AA716" s="20">
        <f t="shared" si="4"/>
        <v>0</v>
      </c>
      <c r="AB716" s="20">
        <f t="shared" si="5"/>
        <v>0</v>
      </c>
      <c r="AC716" s="20">
        <f t="shared" si="6"/>
        <v>0.1153749097</v>
      </c>
      <c r="AD716" s="2"/>
      <c r="AE716" s="20">
        <v>2.137607711017643E-8</v>
      </c>
      <c r="AF716" s="20">
        <f t="shared" si="7"/>
        <v>0.000002120776133</v>
      </c>
      <c r="AG716" s="20">
        <f t="shared" si="8"/>
        <v>0.0001084593109</v>
      </c>
      <c r="AH716" s="20">
        <f t="shared" si="9"/>
        <v>0.007723961677</v>
      </c>
      <c r="AI716" s="20">
        <v>0.11537490969413976</v>
      </c>
      <c r="AJ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16">
        <f t="shared" si="10"/>
        <v>55.7</v>
      </c>
      <c r="X717" s="17">
        <f t="shared" si="1"/>
        <v>0</v>
      </c>
      <c r="Y717" s="17">
        <f t="shared" si="2"/>
        <v>0</v>
      </c>
      <c r="Z717" s="17">
        <f t="shared" si="3"/>
        <v>0.00000001152406862</v>
      </c>
      <c r="AA717" s="17">
        <f t="shared" si="4"/>
        <v>0</v>
      </c>
      <c r="AB717" s="17">
        <f t="shared" si="5"/>
        <v>0</v>
      </c>
      <c r="AC717" s="17">
        <f t="shared" si="6"/>
        <v>0.07778816413</v>
      </c>
      <c r="AD717" s="2"/>
      <c r="AE717" s="17">
        <v>1.152406862077752E-8</v>
      </c>
      <c r="AF717" s="17">
        <f t="shared" si="7"/>
        <v>0.000001208038786</v>
      </c>
      <c r="AG717" s="17">
        <f t="shared" si="8"/>
        <v>0.00006531439513</v>
      </c>
      <c r="AH717" s="17">
        <f t="shared" si="9"/>
        <v>0.004920250313</v>
      </c>
      <c r="AI717" s="17">
        <v>0.07778816413383755</v>
      </c>
      <c r="AJ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19">
        <f t="shared" si="10"/>
        <v>55.75</v>
      </c>
      <c r="X718" s="20">
        <f t="shared" si="1"/>
        <v>0</v>
      </c>
      <c r="Y718" s="20">
        <f t="shared" si="2"/>
        <v>0</v>
      </c>
      <c r="Z718" s="20">
        <f t="shared" si="3"/>
        <v>0.00000000617276271</v>
      </c>
      <c r="AA718" s="20">
        <f t="shared" si="4"/>
        <v>0</v>
      </c>
      <c r="AB718" s="20">
        <f t="shared" si="5"/>
        <v>0</v>
      </c>
      <c r="AC718" s="20">
        <f t="shared" si="6"/>
        <v>0.05211363395</v>
      </c>
      <c r="AD718" s="2"/>
      <c r="AE718" s="20">
        <v>6.172762710251219E-9</v>
      </c>
      <c r="AF718" s="20">
        <f t="shared" si="7"/>
        <v>0.0000006837108219</v>
      </c>
      <c r="AG718" s="20">
        <f t="shared" si="8"/>
        <v>0.00003908105942</v>
      </c>
      <c r="AH718" s="20">
        <f t="shared" si="9"/>
        <v>0.003114294564</v>
      </c>
      <c r="AI718" s="20">
        <v>0.05211363394721946</v>
      </c>
      <c r="AJ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16">
        <f t="shared" si="10"/>
        <v>55.8</v>
      </c>
      <c r="X719" s="17">
        <f t="shared" si="1"/>
        <v>0</v>
      </c>
      <c r="Y719" s="17">
        <f t="shared" si="2"/>
        <v>0</v>
      </c>
      <c r="Z719" s="17">
        <f t="shared" si="3"/>
        <v>0.000000003285104943</v>
      </c>
      <c r="AA719" s="17">
        <f t="shared" si="4"/>
        <v>0</v>
      </c>
      <c r="AB719" s="17">
        <f t="shared" si="5"/>
        <v>0</v>
      </c>
      <c r="AC719" s="17">
        <f t="shared" si="6"/>
        <v>0.03469164413</v>
      </c>
      <c r="AD719" s="2"/>
      <c r="AE719" s="17">
        <v>3.2851049427426127E-9</v>
      </c>
      <c r="AF719" s="17">
        <f t="shared" si="7"/>
        <v>0.0000003844762826</v>
      </c>
      <c r="AG719" s="17">
        <f t="shared" si="8"/>
        <v>0.00002323480851</v>
      </c>
      <c r="AH719" s="17">
        <f t="shared" si="9"/>
        <v>0.001958653353</v>
      </c>
      <c r="AI719" s="17">
        <v>0.0346916441324295</v>
      </c>
      <c r="AJ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19">
        <f t="shared" si="10"/>
        <v>55.85</v>
      </c>
      <c r="X720" s="20">
        <f t="shared" si="1"/>
        <v>0</v>
      </c>
      <c r="Y720" s="20">
        <f t="shared" si="2"/>
        <v>0</v>
      </c>
      <c r="Z720" s="20">
        <f t="shared" si="3"/>
        <v>0.000000001737060047</v>
      </c>
      <c r="AA720" s="20">
        <f t="shared" si="4"/>
        <v>0</v>
      </c>
      <c r="AB720" s="20">
        <f t="shared" si="5"/>
        <v>0</v>
      </c>
      <c r="AC720" s="20">
        <f t="shared" si="6"/>
        <v>0.02294743222</v>
      </c>
      <c r="AD720" s="2"/>
      <c r="AE720" s="20">
        <v>1.737060046945482E-9</v>
      </c>
      <c r="AF720" s="20">
        <f t="shared" si="7"/>
        <v>0.0000002148187471</v>
      </c>
      <c r="AG720" s="20">
        <f t="shared" si="8"/>
        <v>0.00001372546976</v>
      </c>
      <c r="AH720" s="20">
        <f t="shared" si="9"/>
        <v>0.001223998473</v>
      </c>
      <c r="AI720" s="20">
        <v>0.02294743222225298</v>
      </c>
      <c r="AJ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16">
        <f t="shared" si="10"/>
        <v>55.9</v>
      </c>
      <c r="X721" s="17">
        <f t="shared" si="1"/>
        <v>0</v>
      </c>
      <c r="Y721" s="17">
        <f t="shared" si="2"/>
        <v>0</v>
      </c>
      <c r="Z721" s="17">
        <f t="shared" si="3"/>
        <v>0.0000000009125913201</v>
      </c>
      <c r="AA721" s="17">
        <f t="shared" si="4"/>
        <v>0</v>
      </c>
      <c r="AB721" s="17">
        <f t="shared" si="5"/>
        <v>0</v>
      </c>
      <c r="AC721" s="17">
        <f t="shared" si="6"/>
        <v>0.01508269668</v>
      </c>
      <c r="AD721" s="2"/>
      <c r="AE721" s="17">
        <v>9.12591320147107E-10</v>
      </c>
      <c r="AF721" s="17">
        <f t="shared" si="7"/>
        <v>0.0000001192560248</v>
      </c>
      <c r="AG721" s="17">
        <f t="shared" si="8"/>
        <v>0.000008056208315</v>
      </c>
      <c r="AH721" s="17">
        <f t="shared" si="9"/>
        <v>0.0007600279679</v>
      </c>
      <c r="AI721" s="17">
        <v>0.015082696679981425</v>
      </c>
      <c r="AJ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19">
        <f t="shared" si="10"/>
        <v>55.95</v>
      </c>
      <c r="X722" s="20">
        <f t="shared" si="1"/>
        <v>0</v>
      </c>
      <c r="Y722" s="20">
        <f t="shared" si="2"/>
        <v>0</v>
      </c>
      <c r="Z722" s="20">
        <f t="shared" si="3"/>
        <v>0.0000000004763583197</v>
      </c>
      <c r="AA722" s="20">
        <f t="shared" si="4"/>
        <v>0</v>
      </c>
      <c r="AB722" s="20">
        <f t="shared" si="5"/>
        <v>0</v>
      </c>
      <c r="AC722" s="20">
        <f t="shared" si="6"/>
        <v>0.009850529754</v>
      </c>
      <c r="AD722" s="2"/>
      <c r="AE722" s="20">
        <v>4.763583196732782E-10</v>
      </c>
      <c r="AF722" s="20">
        <f t="shared" si="7"/>
        <v>0.00000006578002029</v>
      </c>
      <c r="AG722" s="20">
        <f t="shared" si="8"/>
        <v>0.000004698394811</v>
      </c>
      <c r="AH722" s="20">
        <f t="shared" si="9"/>
        <v>0.0004689253107</v>
      </c>
      <c r="AI722" s="20">
        <v>0.009850529754408584</v>
      </c>
      <c r="AJ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16">
        <f t="shared" si="10"/>
        <v>56</v>
      </c>
      <c r="X723" s="17">
        <f t="shared" si="1"/>
        <v>0</v>
      </c>
      <c r="Y723" s="17">
        <f t="shared" si="2"/>
        <v>0</v>
      </c>
      <c r="Z723" s="17">
        <f t="shared" si="3"/>
        <v>0.0000000002470512718</v>
      </c>
      <c r="AA723" s="17">
        <f t="shared" si="4"/>
        <v>0</v>
      </c>
      <c r="AB723" s="17">
        <f t="shared" si="5"/>
        <v>0</v>
      </c>
      <c r="AC723" s="17">
        <f t="shared" si="6"/>
        <v>0.006392575493</v>
      </c>
      <c r="AD723" s="2"/>
      <c r="AE723" s="17">
        <v>2.470512718448695E-10</v>
      </c>
      <c r="AF723" s="17">
        <f t="shared" si="7"/>
        <v>0.0000000360506585</v>
      </c>
      <c r="AG723" s="17">
        <f t="shared" si="8"/>
        <v>0.000002722598992</v>
      </c>
      <c r="AH723" s="17">
        <f t="shared" si="9"/>
        <v>0.0002874770491</v>
      </c>
      <c r="AI723" s="17">
        <v>0.006392575492558401</v>
      </c>
      <c r="AJ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19">
        <f t="shared" si="10"/>
        <v>56.05</v>
      </c>
      <c r="X724" s="20">
        <f t="shared" si="1"/>
        <v>0</v>
      </c>
      <c r="Y724" s="20">
        <f t="shared" si="2"/>
        <v>0</v>
      </c>
      <c r="Z724" s="20">
        <f t="shared" si="3"/>
        <v>0.0000000001273023298</v>
      </c>
      <c r="AA724" s="20">
        <f t="shared" si="4"/>
        <v>0</v>
      </c>
      <c r="AB724" s="20">
        <f t="shared" si="5"/>
        <v>0</v>
      </c>
      <c r="AC724" s="20">
        <f t="shared" si="6"/>
        <v>0.004122188356</v>
      </c>
      <c r="AD724" s="2"/>
      <c r="AE724" s="20">
        <v>1.273023298134015E-10</v>
      </c>
      <c r="AF724" s="20">
        <f t="shared" si="7"/>
        <v>0.0000000196307967</v>
      </c>
      <c r="AG724" s="20">
        <f t="shared" si="8"/>
        <v>0.000001567592586</v>
      </c>
      <c r="AH724" s="20">
        <f t="shared" si="9"/>
        <v>0.0001751169097</v>
      </c>
      <c r="AI724" s="20">
        <v>0.004122188356282569</v>
      </c>
      <c r="AJ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16">
        <f t="shared" si="10"/>
        <v>56.1</v>
      </c>
      <c r="X725" s="17">
        <f t="shared" si="1"/>
        <v>0</v>
      </c>
      <c r="Y725" s="17">
        <f t="shared" si="2"/>
        <v>0</v>
      </c>
      <c r="Z725" s="17">
        <f t="shared" si="3"/>
        <v>0</v>
      </c>
      <c r="AA725" s="17">
        <f t="shared" si="4"/>
        <v>0</v>
      </c>
      <c r="AB725" s="17">
        <f t="shared" si="5"/>
        <v>0</v>
      </c>
      <c r="AC725" s="17">
        <f t="shared" si="6"/>
        <v>0.002641286353</v>
      </c>
      <c r="AD725" s="2"/>
      <c r="AE725" s="17">
        <v>6.517507331399184E-11</v>
      </c>
      <c r="AF725" s="17">
        <f t="shared" si="7"/>
        <v>0.00000001062106761</v>
      </c>
      <c r="AG725" s="17">
        <f t="shared" si="8"/>
        <v>0.0000008968051071</v>
      </c>
      <c r="AH725" s="17">
        <f t="shared" si="9"/>
        <v>0.000105993295</v>
      </c>
      <c r="AI725" s="17">
        <v>0.0026412863526378374</v>
      </c>
      <c r="AJ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19">
        <f t="shared" si="10"/>
        <v>56.15</v>
      </c>
      <c r="X726" s="20">
        <f t="shared" si="1"/>
        <v>0</v>
      </c>
      <c r="Y726" s="20">
        <f t="shared" si="2"/>
        <v>0</v>
      </c>
      <c r="Z726" s="20">
        <f t="shared" si="3"/>
        <v>0</v>
      </c>
      <c r="AA726" s="20">
        <f t="shared" si="4"/>
        <v>0</v>
      </c>
      <c r="AB726" s="20">
        <f t="shared" si="5"/>
        <v>0</v>
      </c>
      <c r="AC726" s="20">
        <f t="shared" si="6"/>
        <v>0.001681662466</v>
      </c>
      <c r="AD726" s="2"/>
      <c r="AE726" s="20">
        <v>3.315298394641475E-11</v>
      </c>
      <c r="AF726" s="20">
        <f t="shared" si="7"/>
        <v>0.000000005709577158</v>
      </c>
      <c r="AG726" s="20">
        <f t="shared" si="8"/>
        <v>0.0000005097747205</v>
      </c>
      <c r="AH726" s="20">
        <f t="shared" si="9"/>
        <v>0.00006374617123</v>
      </c>
      <c r="AI726" s="20">
        <v>0.00168166246585873</v>
      </c>
      <c r="AJ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16">
        <f t="shared" si="10"/>
        <v>56.2</v>
      </c>
      <c r="X727" s="17">
        <f t="shared" si="1"/>
        <v>0</v>
      </c>
      <c r="Y727" s="17">
        <f t="shared" si="2"/>
        <v>0</v>
      </c>
      <c r="Z727" s="17">
        <f t="shared" si="3"/>
        <v>0</v>
      </c>
      <c r="AA727" s="17">
        <f t="shared" si="4"/>
        <v>0</v>
      </c>
      <c r="AB727" s="17">
        <f t="shared" si="5"/>
        <v>0</v>
      </c>
      <c r="AC727" s="17">
        <f t="shared" si="6"/>
        <v>0.001063892783</v>
      </c>
      <c r="AD727" s="2"/>
      <c r="AE727" s="17">
        <v>1.675558660298299E-11</v>
      </c>
      <c r="AF727" s="17">
        <f t="shared" si="7"/>
        <v>0.000000003049616605</v>
      </c>
      <c r="AG727" s="17">
        <f t="shared" si="8"/>
        <v>0.0000002879213487</v>
      </c>
      <c r="AH727" s="17">
        <f t="shared" si="9"/>
        <v>0.00003809388087</v>
      </c>
      <c r="AI727" s="17">
        <v>0.0010638927833943172</v>
      </c>
      <c r="AJ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19">
        <f t="shared" si="10"/>
        <v>56.25</v>
      </c>
      <c r="X728" s="20">
        <f t="shared" si="1"/>
        <v>0</v>
      </c>
      <c r="Y728" s="20">
        <f t="shared" si="2"/>
        <v>0</v>
      </c>
      <c r="Z728" s="20">
        <f t="shared" si="3"/>
        <v>0</v>
      </c>
      <c r="AA728" s="20">
        <f t="shared" si="4"/>
        <v>0</v>
      </c>
      <c r="AB728" s="20">
        <f t="shared" si="5"/>
        <v>0</v>
      </c>
      <c r="AC728" s="20">
        <f t="shared" si="6"/>
        <v>0.0006687943314</v>
      </c>
      <c r="AD728" s="2"/>
      <c r="AE728" s="20">
        <v>8.41380744768471E-12</v>
      </c>
      <c r="AF728" s="20">
        <f t="shared" si="7"/>
        <v>0.000000001618423089</v>
      </c>
      <c r="AG728" s="20">
        <f t="shared" si="8"/>
        <v>0.0000001615789536</v>
      </c>
      <c r="AH728" s="20">
        <f t="shared" si="9"/>
        <v>0.00002261943414</v>
      </c>
      <c r="AI728" s="20">
        <v>6.687943313813129E-4</v>
      </c>
      <c r="AJ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16">
        <f t="shared" si="10"/>
        <v>56.3</v>
      </c>
      <c r="X729" s="17">
        <f t="shared" si="1"/>
        <v>0</v>
      </c>
      <c r="Y729" s="17">
        <f t="shared" si="2"/>
        <v>0</v>
      </c>
      <c r="Z729" s="17">
        <f t="shared" si="3"/>
        <v>0</v>
      </c>
      <c r="AA729" s="17">
        <f t="shared" si="4"/>
        <v>0</v>
      </c>
      <c r="AB729" s="17">
        <f t="shared" si="5"/>
        <v>0</v>
      </c>
      <c r="AC729" s="17">
        <f t="shared" si="6"/>
        <v>0.0004177562849</v>
      </c>
      <c r="AD729" s="2"/>
      <c r="AE729" s="17">
        <v>4.197796870037002E-12</v>
      </c>
      <c r="AF729" s="17">
        <f t="shared" si="7"/>
        <v>0.0000000008533838354</v>
      </c>
      <c r="AG729" s="17">
        <f t="shared" si="8"/>
        <v>0.00000009009715242</v>
      </c>
      <c r="AH729" s="17">
        <f t="shared" si="9"/>
        <v>0.00001334546332</v>
      </c>
      <c r="AI729" s="17">
        <v>4.1775628485063985E-4</v>
      </c>
      <c r="AJ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19">
        <f t="shared" si="10"/>
        <v>56.35</v>
      </c>
      <c r="X730" s="20">
        <f t="shared" si="1"/>
        <v>0</v>
      </c>
      <c r="Y730" s="20">
        <f t="shared" si="2"/>
        <v>0</v>
      </c>
      <c r="Z730" s="20">
        <f t="shared" si="3"/>
        <v>0</v>
      </c>
      <c r="AA730" s="20">
        <f t="shared" si="4"/>
        <v>0</v>
      </c>
      <c r="AB730" s="20">
        <f t="shared" si="5"/>
        <v>0</v>
      </c>
      <c r="AC730" s="20">
        <f t="shared" si="6"/>
        <v>0.0002592919833</v>
      </c>
      <c r="AD730" s="2"/>
      <c r="AE730" s="20">
        <v>2.08087593875717E-12</v>
      </c>
      <c r="AF730" s="20">
        <f t="shared" si="7"/>
        <v>0.0000000004470975433</v>
      </c>
      <c r="AG730" s="20">
        <f t="shared" si="8"/>
        <v>0.0000000499174842</v>
      </c>
      <c r="AH730" s="20">
        <f t="shared" si="9"/>
        <v>0.000007823678189</v>
      </c>
      <c r="AI730" s="20">
        <v>2.5929198326026117E-4</v>
      </c>
      <c r="AJ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16">
        <f t="shared" si="10"/>
        <v>56.4</v>
      </c>
      <c r="X731" s="17">
        <f t="shared" si="1"/>
        <v>0</v>
      </c>
      <c r="Y731" s="17">
        <f t="shared" si="2"/>
        <v>0</v>
      </c>
      <c r="Z731" s="17">
        <f t="shared" si="3"/>
        <v>0</v>
      </c>
      <c r="AA731" s="17">
        <f t="shared" si="4"/>
        <v>0</v>
      </c>
      <c r="AB731" s="17">
        <f t="shared" si="5"/>
        <v>0</v>
      </c>
      <c r="AC731" s="17">
        <f t="shared" si="6"/>
        <v>0.000159915616</v>
      </c>
      <c r="AD731" s="2"/>
      <c r="AE731" s="17">
        <v>1.0248655054935872E-12</v>
      </c>
      <c r="AF731" s="17">
        <f t="shared" si="7"/>
        <v>0.0000000002327371326</v>
      </c>
      <c r="AG731" s="17">
        <f t="shared" si="8"/>
        <v>0.00000002747955299</v>
      </c>
      <c r="AH731" s="17">
        <f t="shared" si="9"/>
        <v>0.000004557363853</v>
      </c>
      <c r="AI731" s="17">
        <v>1.599156159678793E-4</v>
      </c>
      <c r="AJ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19">
        <f t="shared" si="10"/>
        <v>56.45</v>
      </c>
      <c r="X732" s="20">
        <f t="shared" si="1"/>
        <v>0</v>
      </c>
      <c r="Y732" s="20">
        <f t="shared" si="2"/>
        <v>0</v>
      </c>
      <c r="Z732" s="20">
        <f t="shared" si="3"/>
        <v>0</v>
      </c>
      <c r="AA732" s="20">
        <f t="shared" si="4"/>
        <v>0</v>
      </c>
      <c r="AB732" s="20">
        <f t="shared" si="5"/>
        <v>0</v>
      </c>
      <c r="AC732" s="20">
        <f t="shared" si="6"/>
        <v>0.00009800051306</v>
      </c>
      <c r="AD732" s="2"/>
      <c r="AE732" s="20">
        <v>5.015144863233672E-13</v>
      </c>
      <c r="AF732" s="20">
        <f t="shared" si="7"/>
        <v>0.0000000001203745288</v>
      </c>
      <c r="AG732" s="20">
        <f t="shared" si="8"/>
        <v>0.00000001503079628</v>
      </c>
      <c r="AH732" s="20">
        <f t="shared" si="9"/>
        <v>0.000002637799801</v>
      </c>
      <c r="AI732" s="20">
        <v>9.800051306071191E-5</v>
      </c>
      <c r="AJ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16">
        <f t="shared" si="10"/>
        <v>56.5</v>
      </c>
      <c r="X733" s="17">
        <f t="shared" si="1"/>
        <v>0</v>
      </c>
      <c r="Y733" s="17">
        <f t="shared" si="2"/>
        <v>0</v>
      </c>
      <c r="Z733" s="17">
        <f t="shared" si="3"/>
        <v>0</v>
      </c>
      <c r="AA733" s="17">
        <f t="shared" si="4"/>
        <v>0</v>
      </c>
      <c r="AB733" s="17">
        <f t="shared" si="5"/>
        <v>0</v>
      </c>
      <c r="AC733" s="17">
        <f t="shared" si="6"/>
        <v>0.00005967624825</v>
      </c>
      <c r="AD733" s="2"/>
      <c r="AE733" s="17">
        <v>2.438349790058342E-13</v>
      </c>
      <c r="AF733" s="17">
        <f t="shared" si="7"/>
        <v>0</v>
      </c>
      <c r="AG733" s="17">
        <f t="shared" si="8"/>
        <v>0.000000008169014448</v>
      </c>
      <c r="AH733" s="17">
        <f t="shared" si="9"/>
        <v>0.000001517034165</v>
      </c>
      <c r="AI733" s="17">
        <v>5.9676248245441824E-5</v>
      </c>
      <c r="AJ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19">
        <f t="shared" si="10"/>
        <v>56.55</v>
      </c>
      <c r="X734" s="20">
        <f t="shared" si="1"/>
        <v>0</v>
      </c>
      <c r="Y734" s="20">
        <f t="shared" si="2"/>
        <v>0</v>
      </c>
      <c r="Z734" s="20">
        <f t="shared" si="3"/>
        <v>0</v>
      </c>
      <c r="AA734" s="20">
        <f t="shared" si="4"/>
        <v>0</v>
      </c>
      <c r="AB734" s="20">
        <f t="shared" si="5"/>
        <v>0</v>
      </c>
      <c r="AC734" s="20">
        <f t="shared" si="6"/>
        <v>0.0000361085761</v>
      </c>
      <c r="AD734" s="2"/>
      <c r="AE734" s="20">
        <v>1.1778892278423578E-13</v>
      </c>
      <c r="AF734" s="20">
        <f t="shared" si="7"/>
        <v>0</v>
      </c>
      <c r="AG734" s="20">
        <f t="shared" si="8"/>
        <v>0.000000004411361921</v>
      </c>
      <c r="AH734" s="20">
        <f t="shared" si="9"/>
        <v>0.0000008669105631</v>
      </c>
      <c r="AI734" s="20">
        <v>3.610857609907401E-5</v>
      </c>
      <c r="AJ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16">
        <f t="shared" si="10"/>
        <v>56.6</v>
      </c>
      <c r="X735" s="17">
        <f t="shared" si="1"/>
        <v>0</v>
      </c>
      <c r="Y735" s="17">
        <f t="shared" si="2"/>
        <v>0</v>
      </c>
      <c r="Z735" s="17">
        <f t="shared" si="3"/>
        <v>0</v>
      </c>
      <c r="AA735" s="17">
        <f t="shared" si="4"/>
        <v>0</v>
      </c>
      <c r="AB735" s="17">
        <f t="shared" si="5"/>
        <v>0</v>
      </c>
      <c r="AC735" s="17">
        <f t="shared" si="6"/>
        <v>0.00002170975399</v>
      </c>
      <c r="AD735" s="2"/>
      <c r="AE735" s="17">
        <v>5.653388247741771E-14</v>
      </c>
      <c r="AF735" s="17">
        <f t="shared" si="7"/>
        <v>0</v>
      </c>
      <c r="AG735" s="17">
        <f t="shared" si="8"/>
        <v>0.000000002366960805</v>
      </c>
      <c r="AH735" s="17">
        <f t="shared" si="9"/>
        <v>0.0000004922419591</v>
      </c>
      <c r="AI735" s="17">
        <v>2.1709753993877443E-5</v>
      </c>
      <c r="AJ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19">
        <f t="shared" si="10"/>
        <v>56.65</v>
      </c>
      <c r="X736" s="20">
        <f t="shared" si="1"/>
        <v>0</v>
      </c>
      <c r="Y736" s="20">
        <f t="shared" si="2"/>
        <v>0</v>
      </c>
      <c r="Z736" s="20">
        <f t="shared" si="3"/>
        <v>0</v>
      </c>
      <c r="AA736" s="20">
        <f t="shared" si="4"/>
        <v>0</v>
      </c>
      <c r="AB736" s="20">
        <f t="shared" si="5"/>
        <v>0</v>
      </c>
      <c r="AC736" s="20">
        <f t="shared" si="6"/>
        <v>0.00001296985528</v>
      </c>
      <c r="AD736" s="2"/>
      <c r="AE736" s="20">
        <v>2.6959329825973514E-14</v>
      </c>
      <c r="AF736" s="20">
        <f t="shared" si="7"/>
        <v>0</v>
      </c>
      <c r="AG736" s="20">
        <f t="shared" si="8"/>
        <v>0.000000001261899572</v>
      </c>
      <c r="AH736" s="20">
        <f t="shared" si="9"/>
        <v>0.0000002777207754</v>
      </c>
      <c r="AI736" s="20">
        <v>1.2969855275886862E-5</v>
      </c>
      <c r="AJ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16">
        <f t="shared" si="10"/>
        <v>56.7</v>
      </c>
      <c r="X737" s="17">
        <f t="shared" si="1"/>
        <v>0</v>
      </c>
      <c r="Y737" s="17">
        <f t="shared" si="2"/>
        <v>0</v>
      </c>
      <c r="Z737" s="17">
        <f t="shared" si="3"/>
        <v>0</v>
      </c>
      <c r="AA737" s="17">
        <f t="shared" si="4"/>
        <v>0</v>
      </c>
      <c r="AB737" s="17">
        <f t="shared" si="5"/>
        <v>0</v>
      </c>
      <c r="AC737" s="17">
        <f t="shared" si="6"/>
        <v>0.000007699296529</v>
      </c>
      <c r="AD737" s="2"/>
      <c r="AE737" s="17">
        <v>1.2773364070964228E-14</v>
      </c>
      <c r="AF737" s="17">
        <f t="shared" si="7"/>
        <v>0</v>
      </c>
      <c r="AG737" s="17">
        <f t="shared" si="8"/>
        <v>0.0000000006684576076</v>
      </c>
      <c r="AH737" s="17">
        <f t="shared" si="9"/>
        <v>0.0000001556910008</v>
      </c>
      <c r="AI737" s="17">
        <v>7.699296528809217E-6</v>
      </c>
      <c r="AJ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19">
        <f t="shared" si="10"/>
        <v>56.75</v>
      </c>
      <c r="X738" s="20">
        <f t="shared" si="1"/>
        <v>0</v>
      </c>
      <c r="Y738" s="20">
        <f t="shared" si="2"/>
        <v>0</v>
      </c>
      <c r="Z738" s="20">
        <f t="shared" si="3"/>
        <v>0</v>
      </c>
      <c r="AA738" s="20">
        <f t="shared" si="4"/>
        <v>0</v>
      </c>
      <c r="AB738" s="20">
        <f t="shared" si="5"/>
        <v>0</v>
      </c>
      <c r="AC738" s="20">
        <f t="shared" si="6"/>
        <v>0.000004541534848</v>
      </c>
      <c r="AD738" s="2"/>
      <c r="AE738" s="20">
        <v>6.013085900777158E-15</v>
      </c>
      <c r="AF738" s="20">
        <f t="shared" si="7"/>
        <v>0</v>
      </c>
      <c r="AG738" s="20">
        <f t="shared" si="8"/>
        <v>0.0000000003518343987</v>
      </c>
      <c r="AH738" s="20">
        <f t="shared" si="9"/>
        <v>0.00000008672494923</v>
      </c>
      <c r="AI738" s="20">
        <v>4.541534847507405E-6</v>
      </c>
      <c r="AJ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16">
        <f t="shared" si="10"/>
        <v>56.8</v>
      </c>
      <c r="X739" s="17">
        <f t="shared" si="1"/>
        <v>0</v>
      </c>
      <c r="Y739" s="17">
        <f t="shared" si="2"/>
        <v>0</v>
      </c>
      <c r="Z739" s="17">
        <f t="shared" si="3"/>
        <v>0</v>
      </c>
      <c r="AA739" s="17">
        <f t="shared" si="4"/>
        <v>0</v>
      </c>
      <c r="AB739" s="17">
        <f t="shared" si="5"/>
        <v>0</v>
      </c>
      <c r="AC739" s="17">
        <f t="shared" si="6"/>
        <v>0.000002661889015</v>
      </c>
      <c r="AD739" s="2"/>
      <c r="AE739" s="17">
        <v>2.812454103319696E-15</v>
      </c>
      <c r="AF739" s="17">
        <f t="shared" si="7"/>
        <v>0</v>
      </c>
      <c r="AG739" s="17">
        <f t="shared" si="8"/>
        <v>0.0000000001840001072</v>
      </c>
      <c r="AH739" s="17">
        <f t="shared" si="9"/>
        <v>0.00000004800096859</v>
      </c>
      <c r="AI739" s="17">
        <v>2.661889014800564E-6</v>
      </c>
      <c r="AJ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19">
        <f t="shared" si="10"/>
        <v>56.85</v>
      </c>
      <c r="X740" s="20">
        <f t="shared" si="1"/>
        <v>0</v>
      </c>
      <c r="Y740" s="20">
        <f t="shared" si="2"/>
        <v>0</v>
      </c>
      <c r="Z740" s="20">
        <f t="shared" si="3"/>
        <v>0</v>
      </c>
      <c r="AA740" s="20">
        <f t="shared" si="4"/>
        <v>0</v>
      </c>
      <c r="AB740" s="20">
        <f t="shared" si="5"/>
        <v>0</v>
      </c>
      <c r="AC740" s="20">
        <f t="shared" si="6"/>
        <v>0.000001550289928</v>
      </c>
      <c r="AD740" s="2"/>
      <c r="AE740" s="20">
        <v>1.3069813734440412E-15</v>
      </c>
      <c r="AF740" s="20">
        <f t="shared" si="7"/>
        <v>0</v>
      </c>
      <c r="AG740" s="20">
        <f t="shared" si="8"/>
        <v>0</v>
      </c>
      <c r="AH740" s="20">
        <f t="shared" si="9"/>
        <v>0.00000002639862764</v>
      </c>
      <c r="AI740" s="20">
        <v>1.550289927894719E-6</v>
      </c>
      <c r="AJ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16">
        <f t="shared" si="10"/>
        <v>56.9</v>
      </c>
      <c r="X741" s="17">
        <f t="shared" si="1"/>
        <v>0</v>
      </c>
      <c r="Y741" s="17">
        <f t="shared" si="2"/>
        <v>0</v>
      </c>
      <c r="Z741" s="17">
        <f t="shared" si="3"/>
        <v>0</v>
      </c>
      <c r="AA741" s="17">
        <f t="shared" si="4"/>
        <v>0</v>
      </c>
      <c r="AB741" s="17">
        <f t="shared" si="5"/>
        <v>0</v>
      </c>
      <c r="AC741" s="17">
        <f t="shared" si="6"/>
        <v>0.0000008971634976</v>
      </c>
      <c r="AD741" s="2"/>
      <c r="AE741" s="17">
        <v>6.034610875664866E-16</v>
      </c>
      <c r="AF741" s="17">
        <f t="shared" si="7"/>
        <v>0</v>
      </c>
      <c r="AG741" s="17">
        <f t="shared" si="8"/>
        <v>0</v>
      </c>
      <c r="AH741" s="17">
        <f t="shared" si="9"/>
        <v>0.00000001442574006</v>
      </c>
      <c r="AI741" s="17">
        <v>8.971634976218514E-7</v>
      </c>
      <c r="AJ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19">
        <f t="shared" si="10"/>
        <v>56.95</v>
      </c>
      <c r="X742" s="20">
        <f t="shared" si="1"/>
        <v>0</v>
      </c>
      <c r="Y742" s="20">
        <f t="shared" si="2"/>
        <v>0</v>
      </c>
      <c r="Z742" s="20">
        <f t="shared" si="3"/>
        <v>0</v>
      </c>
      <c r="AA742" s="20">
        <f t="shared" si="4"/>
        <v>0</v>
      </c>
      <c r="AB742" s="20">
        <f t="shared" si="5"/>
        <v>0</v>
      </c>
      <c r="AC742" s="20">
        <f t="shared" si="6"/>
        <v>0.0000005159005059</v>
      </c>
      <c r="AD742" s="2"/>
      <c r="AE742" s="20">
        <v>2.7683759170626666E-16</v>
      </c>
      <c r="AF742" s="20">
        <f t="shared" si="7"/>
        <v>0</v>
      </c>
      <c r="AG742" s="20">
        <f t="shared" si="8"/>
        <v>0</v>
      </c>
      <c r="AH742" s="20">
        <f t="shared" si="9"/>
        <v>0.000000007832858064</v>
      </c>
      <c r="AI742" s="20">
        <v>5.159005058566651E-7</v>
      </c>
      <c r="AJ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16">
        <f t="shared" si="10"/>
        <v>57</v>
      </c>
      <c r="X743" s="17">
        <f t="shared" si="1"/>
        <v>0</v>
      </c>
      <c r="Y743" s="17">
        <f t="shared" si="2"/>
        <v>0</v>
      </c>
      <c r="Z743" s="17">
        <f t="shared" si="3"/>
        <v>0</v>
      </c>
      <c r="AA743" s="17">
        <f t="shared" si="4"/>
        <v>0</v>
      </c>
      <c r="AB743" s="17">
        <f t="shared" si="5"/>
        <v>0</v>
      </c>
      <c r="AC743" s="17">
        <f t="shared" si="6"/>
        <v>0.000000294778633</v>
      </c>
      <c r="AD743" s="2"/>
      <c r="AE743" s="17">
        <v>1.2618181571234552E-16</v>
      </c>
      <c r="AF743" s="17">
        <f t="shared" si="7"/>
        <v>0</v>
      </c>
      <c r="AG743" s="17">
        <f t="shared" si="8"/>
        <v>0</v>
      </c>
      <c r="AH743" s="17">
        <f t="shared" si="9"/>
        <v>0.000000004225983668</v>
      </c>
      <c r="AI743" s="17">
        <v>2.947786329545397E-7</v>
      </c>
      <c r="AJ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19">
        <f t="shared" si="10"/>
        <v>57.05</v>
      </c>
      <c r="X744" s="20">
        <f t="shared" si="1"/>
        <v>0</v>
      </c>
      <c r="Y744" s="20">
        <f t="shared" si="2"/>
        <v>0</v>
      </c>
      <c r="Z744" s="20">
        <f t="shared" si="3"/>
        <v>0</v>
      </c>
      <c r="AA744" s="20">
        <f t="shared" si="4"/>
        <v>0</v>
      </c>
      <c r="AB744" s="20">
        <f t="shared" si="5"/>
        <v>0</v>
      </c>
      <c r="AC744" s="20">
        <f t="shared" si="6"/>
        <v>0.00000016736388</v>
      </c>
      <c r="AD744" s="2"/>
      <c r="AE744" s="20">
        <v>5.714317945434069E-17</v>
      </c>
      <c r="AF744" s="20">
        <f t="shared" si="7"/>
        <v>0</v>
      </c>
      <c r="AG744" s="20">
        <f t="shared" si="8"/>
        <v>0</v>
      </c>
      <c r="AH744" s="20">
        <f t="shared" si="9"/>
        <v>0.000000002265482827</v>
      </c>
      <c r="AI744" s="20">
        <v>1.67363880032587E-7</v>
      </c>
      <c r="AJ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16">
        <f t="shared" si="10"/>
        <v>57.1</v>
      </c>
      <c r="X745" s="17">
        <f t="shared" si="1"/>
        <v>0</v>
      </c>
      <c r="Y745" s="17">
        <f t="shared" si="2"/>
        <v>0</v>
      </c>
      <c r="Z745" s="17">
        <f t="shared" si="3"/>
        <v>0</v>
      </c>
      <c r="AA745" s="17">
        <f t="shared" si="4"/>
        <v>0</v>
      </c>
      <c r="AB745" s="17">
        <f t="shared" si="5"/>
        <v>0</v>
      </c>
      <c r="AC745" s="17">
        <f t="shared" si="6"/>
        <v>0.00000009441981806</v>
      </c>
      <c r="AD745" s="2"/>
      <c r="AE745" s="17">
        <v>2.571153161094597E-17</v>
      </c>
      <c r="AF745" s="17">
        <f t="shared" si="7"/>
        <v>0</v>
      </c>
      <c r="AG745" s="17">
        <f t="shared" si="8"/>
        <v>0</v>
      </c>
      <c r="AH745" s="17">
        <f t="shared" si="9"/>
        <v>0.000000001206755084</v>
      </c>
      <c r="AI745" s="17">
        <v>9.441981806041784E-8</v>
      </c>
      <c r="AJ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19">
        <f t="shared" si="10"/>
        <v>57.15</v>
      </c>
      <c r="X746" s="20">
        <f t="shared" si="1"/>
        <v>0</v>
      </c>
      <c r="Y746" s="20">
        <f t="shared" si="2"/>
        <v>0</v>
      </c>
      <c r="Z746" s="20">
        <f t="shared" si="3"/>
        <v>0</v>
      </c>
      <c r="AA746" s="20">
        <f t="shared" si="4"/>
        <v>0</v>
      </c>
      <c r="AB746" s="20">
        <f t="shared" si="5"/>
        <v>0</v>
      </c>
      <c r="AC746" s="20">
        <f t="shared" si="6"/>
        <v>0.00000005292980223</v>
      </c>
      <c r="AD746" s="2"/>
      <c r="AE746" s="20">
        <v>1.1494429301895818E-17</v>
      </c>
      <c r="AF746" s="20">
        <f t="shared" si="7"/>
        <v>0</v>
      </c>
      <c r="AG746" s="20">
        <f t="shared" si="8"/>
        <v>0</v>
      </c>
      <c r="AH746" s="20">
        <f t="shared" si="9"/>
        <v>0.0000000006387088042</v>
      </c>
      <c r="AI746" s="20">
        <v>5.292980222930841E-8</v>
      </c>
      <c r="AJ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16">
        <f t="shared" si="10"/>
        <v>57.2</v>
      </c>
      <c r="X747" s="17">
        <f t="shared" si="1"/>
        <v>0</v>
      </c>
      <c r="Y747" s="17">
        <f t="shared" si="2"/>
        <v>0</v>
      </c>
      <c r="Z747" s="17">
        <f t="shared" si="3"/>
        <v>0</v>
      </c>
      <c r="AA747" s="17">
        <f t="shared" si="4"/>
        <v>0</v>
      </c>
      <c r="AB747" s="17">
        <f t="shared" si="5"/>
        <v>0</v>
      </c>
      <c r="AC747" s="17">
        <f t="shared" si="6"/>
        <v>0.00000002948309499</v>
      </c>
      <c r="AD747" s="2"/>
      <c r="AE747" s="17">
        <v>5.10555310083608E-18</v>
      </c>
      <c r="AF747" s="17">
        <f t="shared" si="7"/>
        <v>0</v>
      </c>
      <c r="AG747" s="17">
        <f t="shared" si="8"/>
        <v>0</v>
      </c>
      <c r="AH747" s="17">
        <f t="shared" si="9"/>
        <v>0.0000000003359015987</v>
      </c>
      <c r="AI747" s="17">
        <v>2.9483094992279467E-8</v>
      </c>
      <c r="AJ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19">
        <f t="shared" si="10"/>
        <v>57.25</v>
      </c>
      <c r="X748" s="20">
        <f t="shared" si="1"/>
        <v>0</v>
      </c>
      <c r="Y748" s="20">
        <f t="shared" si="2"/>
        <v>0</v>
      </c>
      <c r="Z748" s="20">
        <f t="shared" si="3"/>
        <v>0</v>
      </c>
      <c r="AA748" s="20">
        <f t="shared" si="4"/>
        <v>0</v>
      </c>
      <c r="AB748" s="20">
        <f t="shared" si="5"/>
        <v>0</v>
      </c>
      <c r="AC748" s="20">
        <f t="shared" si="6"/>
        <v>0.00000001631854978</v>
      </c>
      <c r="AD748" s="2"/>
      <c r="AE748" s="20">
        <v>2.253170725787185E-18</v>
      </c>
      <c r="AF748" s="20">
        <f t="shared" si="7"/>
        <v>0</v>
      </c>
      <c r="AG748" s="20">
        <f t="shared" si="8"/>
        <v>0</v>
      </c>
      <c r="AH748" s="20">
        <f t="shared" si="9"/>
        <v>0.0000000001755280959</v>
      </c>
      <c r="AI748" s="20">
        <v>1.6318549777621337E-8</v>
      </c>
      <c r="AJ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16">
        <f t="shared" si="10"/>
        <v>57.3</v>
      </c>
      <c r="X749" s="17">
        <f t="shared" si="1"/>
        <v>0</v>
      </c>
      <c r="Y749" s="17">
        <f t="shared" si="2"/>
        <v>0</v>
      </c>
      <c r="Z749" s="17">
        <f t="shared" si="3"/>
        <v>0</v>
      </c>
      <c r="AA749" s="17">
        <f t="shared" si="4"/>
        <v>0</v>
      </c>
      <c r="AB749" s="17">
        <f t="shared" si="5"/>
        <v>0</v>
      </c>
      <c r="AC749" s="17">
        <f t="shared" si="6"/>
        <v>0.000000008974819809</v>
      </c>
      <c r="AD749" s="2"/>
      <c r="AE749" s="17">
        <v>9.879644580371669E-19</v>
      </c>
      <c r="AF749" s="17">
        <f t="shared" si="7"/>
        <v>0</v>
      </c>
      <c r="AG749" s="17">
        <f t="shared" si="8"/>
        <v>0</v>
      </c>
      <c r="AH749" s="17">
        <f t="shared" si="9"/>
        <v>0</v>
      </c>
      <c r="AI749" s="17">
        <v>8.974819809454562E-9</v>
      </c>
      <c r="AJ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19">
        <f t="shared" si="10"/>
        <v>57.35</v>
      </c>
      <c r="X750" s="20">
        <f t="shared" si="1"/>
        <v>0</v>
      </c>
      <c r="Y750" s="20">
        <f t="shared" si="2"/>
        <v>0</v>
      </c>
      <c r="Z750" s="20">
        <f t="shared" si="3"/>
        <v>0</v>
      </c>
      <c r="AA750" s="20">
        <f t="shared" si="4"/>
        <v>0</v>
      </c>
      <c r="AB750" s="20">
        <f t="shared" si="5"/>
        <v>0</v>
      </c>
      <c r="AC750" s="20">
        <f t="shared" si="6"/>
        <v>0.000000004904622697</v>
      </c>
      <c r="AD750" s="2"/>
      <c r="AE750" s="20">
        <v>4.3041208890507286E-19</v>
      </c>
      <c r="AF750" s="20">
        <f t="shared" si="7"/>
        <v>0</v>
      </c>
      <c r="AG750" s="20">
        <f t="shared" si="8"/>
        <v>0</v>
      </c>
      <c r="AH750" s="20">
        <f t="shared" si="9"/>
        <v>0</v>
      </c>
      <c r="AI750" s="20">
        <v>4.904622696855754E-9</v>
      </c>
      <c r="AJ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16">
        <f t="shared" si="10"/>
        <v>57.4</v>
      </c>
      <c r="X751" s="17">
        <f t="shared" si="1"/>
        <v>0</v>
      </c>
      <c r="Y751" s="17">
        <f t="shared" si="2"/>
        <v>0</v>
      </c>
      <c r="Z751" s="17">
        <f t="shared" si="3"/>
        <v>0</v>
      </c>
      <c r="AA751" s="17">
        <f t="shared" si="4"/>
        <v>0</v>
      </c>
      <c r="AB751" s="17">
        <f t="shared" si="5"/>
        <v>0</v>
      </c>
      <c r="AC751" s="17">
        <f t="shared" si="6"/>
        <v>0.000000002663306553</v>
      </c>
      <c r="AD751" s="2"/>
      <c r="AE751" s="17">
        <v>1.863045746258769E-19</v>
      </c>
      <c r="AF751" s="17">
        <f t="shared" si="7"/>
        <v>0</v>
      </c>
      <c r="AG751" s="17">
        <f t="shared" si="8"/>
        <v>0</v>
      </c>
      <c r="AH751" s="17">
        <f t="shared" si="9"/>
        <v>0</v>
      </c>
      <c r="AI751" s="17">
        <v>2.6633065532347722E-9</v>
      </c>
      <c r="AJ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19">
        <f t="shared" si="10"/>
        <v>57.45</v>
      </c>
      <c r="X752" s="20">
        <f t="shared" si="1"/>
        <v>0</v>
      </c>
      <c r="Y752" s="20">
        <f t="shared" si="2"/>
        <v>0</v>
      </c>
      <c r="Z752" s="20">
        <f t="shared" si="3"/>
        <v>0</v>
      </c>
      <c r="AA752" s="20">
        <f t="shared" si="4"/>
        <v>0</v>
      </c>
      <c r="AB752" s="20">
        <f t="shared" si="5"/>
        <v>0</v>
      </c>
      <c r="AC752" s="20">
        <f t="shared" si="6"/>
        <v>0.000000001437051725</v>
      </c>
      <c r="AD752" s="2"/>
      <c r="AE752" s="20">
        <v>8.012323866602485E-20</v>
      </c>
      <c r="AF752" s="20">
        <f t="shared" si="7"/>
        <v>0</v>
      </c>
      <c r="AG752" s="20">
        <f t="shared" si="8"/>
        <v>0</v>
      </c>
      <c r="AH752" s="20">
        <f t="shared" si="9"/>
        <v>0</v>
      </c>
      <c r="AI752" s="20">
        <v>1.4370517246954874E-9</v>
      </c>
      <c r="AJ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16">
        <f t="shared" si="10"/>
        <v>57.5</v>
      </c>
      <c r="X753" s="17">
        <f t="shared" si="1"/>
        <v>0</v>
      </c>
      <c r="Y753" s="17">
        <f t="shared" si="2"/>
        <v>0</v>
      </c>
      <c r="Z753" s="17">
        <f t="shared" si="3"/>
        <v>0</v>
      </c>
      <c r="AA753" s="17">
        <f t="shared" si="4"/>
        <v>0</v>
      </c>
      <c r="AB753" s="17">
        <f t="shared" si="5"/>
        <v>0</v>
      </c>
      <c r="AC753" s="17">
        <f t="shared" si="6"/>
        <v>0.0000000007704763833</v>
      </c>
      <c r="AD753" s="2"/>
      <c r="AE753" s="17">
        <v>3.423650240544787E-20</v>
      </c>
      <c r="AF753" s="17">
        <f t="shared" si="7"/>
        <v>0</v>
      </c>
      <c r="AG753" s="17">
        <f t="shared" si="8"/>
        <v>0</v>
      </c>
      <c r="AH753" s="17">
        <f t="shared" si="9"/>
        <v>0</v>
      </c>
      <c r="AI753" s="17">
        <v>7.704763832792267E-10</v>
      </c>
      <c r="AJ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19">
        <f t="shared" si="10"/>
        <v>57.55</v>
      </c>
      <c r="X754" s="20">
        <f t="shared" si="1"/>
        <v>0</v>
      </c>
      <c r="Y754" s="20">
        <f t="shared" si="2"/>
        <v>0</v>
      </c>
      <c r="Z754" s="20">
        <f t="shared" si="3"/>
        <v>0</v>
      </c>
      <c r="AA754" s="20">
        <f t="shared" si="4"/>
        <v>0</v>
      </c>
      <c r="AB754" s="20">
        <f t="shared" si="5"/>
        <v>0</v>
      </c>
      <c r="AC754" s="20">
        <f t="shared" si="6"/>
        <v>0.0000000004104705002</v>
      </c>
      <c r="AD754" s="2"/>
      <c r="AE754" s="20">
        <v>1.4535039106240137E-20</v>
      </c>
      <c r="AF754" s="20">
        <f t="shared" si="7"/>
        <v>0</v>
      </c>
      <c r="AG754" s="20">
        <f t="shared" si="8"/>
        <v>0</v>
      </c>
      <c r="AH754" s="20">
        <f t="shared" si="9"/>
        <v>0</v>
      </c>
      <c r="AI754" s="20">
        <v>4.104705002240945E-10</v>
      </c>
      <c r="AJ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16">
        <f t="shared" si="10"/>
        <v>57.6</v>
      </c>
      <c r="X755" s="17">
        <f t="shared" si="1"/>
        <v>0</v>
      </c>
      <c r="Y755" s="17">
        <f t="shared" si="2"/>
        <v>0</v>
      </c>
      <c r="Z755" s="17">
        <f t="shared" si="3"/>
        <v>0</v>
      </c>
      <c r="AA755" s="17">
        <f t="shared" si="4"/>
        <v>0</v>
      </c>
      <c r="AB755" s="17">
        <f t="shared" si="5"/>
        <v>0</v>
      </c>
      <c r="AC755" s="17">
        <f t="shared" si="6"/>
        <v>0.0000000002172902594</v>
      </c>
      <c r="AD755" s="2"/>
      <c r="AE755" s="17">
        <v>6.1311075836204536E-21</v>
      </c>
      <c r="AF755" s="17">
        <f t="shared" si="7"/>
        <v>0</v>
      </c>
      <c r="AG755" s="17">
        <f t="shared" si="8"/>
        <v>0</v>
      </c>
      <c r="AH755" s="17">
        <f t="shared" si="9"/>
        <v>0</v>
      </c>
      <c r="AI755" s="17">
        <v>2.1729025942586014E-10</v>
      </c>
      <c r="AJ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19">
        <f t="shared" si="10"/>
        <v>57.65</v>
      </c>
      <c r="X756" s="20">
        <f t="shared" si="1"/>
        <v>0</v>
      </c>
      <c r="Y756" s="20">
        <f t="shared" si="2"/>
        <v>0</v>
      </c>
      <c r="Z756" s="20">
        <f t="shared" si="3"/>
        <v>0</v>
      </c>
      <c r="AA756" s="20">
        <f t="shared" si="4"/>
        <v>0</v>
      </c>
      <c r="AB756" s="20">
        <f t="shared" si="5"/>
        <v>0</v>
      </c>
      <c r="AC756" s="20">
        <f t="shared" si="6"/>
        <v>0.0000000001142968482</v>
      </c>
      <c r="AD756" s="2"/>
      <c r="AE756" s="20">
        <v>2.5695530455034007E-21</v>
      </c>
      <c r="AF756" s="20">
        <f t="shared" si="7"/>
        <v>0</v>
      </c>
      <c r="AG756" s="20">
        <f t="shared" si="8"/>
        <v>0</v>
      </c>
      <c r="AH756" s="20">
        <f t="shared" si="9"/>
        <v>0</v>
      </c>
      <c r="AI756" s="20">
        <v>1.1429684820627469E-10</v>
      </c>
      <c r="AJ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16">
        <f t="shared" si="10"/>
        <v>57.7</v>
      </c>
      <c r="X757" s="17">
        <f t="shared" si="1"/>
        <v>0</v>
      </c>
      <c r="Y757" s="17">
        <f t="shared" si="2"/>
        <v>0</v>
      </c>
      <c r="Z757" s="17">
        <f t="shared" si="3"/>
        <v>0</v>
      </c>
      <c r="AA757" s="17">
        <f t="shared" si="4"/>
        <v>0</v>
      </c>
      <c r="AB757" s="17">
        <f t="shared" si="5"/>
        <v>0</v>
      </c>
      <c r="AC757" s="17">
        <f t="shared" si="6"/>
        <v>0</v>
      </c>
      <c r="AD757" s="2"/>
      <c r="AE757" s="17">
        <v>1.0699713696149461E-21</v>
      </c>
      <c r="AF757" s="17">
        <f t="shared" si="7"/>
        <v>0</v>
      </c>
      <c r="AG757" s="17">
        <f t="shared" si="8"/>
        <v>0</v>
      </c>
      <c r="AH757" s="17">
        <f t="shared" si="9"/>
        <v>0</v>
      </c>
      <c r="AI757" s="17">
        <v>5.973982407398004E-11</v>
      </c>
      <c r="AJ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19">
        <f t="shared" si="10"/>
        <v>57.75</v>
      </c>
      <c r="X758" s="20">
        <f t="shared" si="1"/>
        <v>0</v>
      </c>
      <c r="Y758" s="20">
        <f t="shared" si="2"/>
        <v>0</v>
      </c>
      <c r="Z758" s="20">
        <f t="shared" si="3"/>
        <v>0</v>
      </c>
      <c r="AA758" s="20">
        <f t="shared" si="4"/>
        <v>0</v>
      </c>
      <c r="AB758" s="20">
        <f t="shared" si="5"/>
        <v>0</v>
      </c>
      <c r="AC758" s="20">
        <f t="shared" si="6"/>
        <v>0</v>
      </c>
      <c r="AD758" s="2"/>
      <c r="AE758" s="20">
        <v>4.42672603478332E-22</v>
      </c>
      <c r="AF758" s="20">
        <f t="shared" si="7"/>
        <v>0</v>
      </c>
      <c r="AG758" s="20">
        <f t="shared" si="8"/>
        <v>0</v>
      </c>
      <c r="AH758" s="20">
        <f t="shared" si="9"/>
        <v>0</v>
      </c>
      <c r="AI758" s="20">
        <v>3.10262517738316E-11</v>
      </c>
      <c r="AJ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16">
        <f t="shared" si="10"/>
        <v>57.8</v>
      </c>
      <c r="X759" s="17">
        <f t="shared" si="1"/>
        <v>0</v>
      </c>
      <c r="Y759" s="17">
        <f t="shared" si="2"/>
        <v>0</v>
      </c>
      <c r="Z759" s="17">
        <f t="shared" si="3"/>
        <v>0</v>
      </c>
      <c r="AA759" s="17">
        <f t="shared" si="4"/>
        <v>0</v>
      </c>
      <c r="AB759" s="17">
        <f t="shared" si="5"/>
        <v>0</v>
      </c>
      <c r="AC759" s="17">
        <f t="shared" si="6"/>
        <v>0</v>
      </c>
      <c r="AD759" s="2"/>
      <c r="AE759" s="17">
        <v>1.819654983452171E-22</v>
      </c>
      <c r="AF759" s="17">
        <f t="shared" si="7"/>
        <v>0</v>
      </c>
      <c r="AG759" s="17">
        <f t="shared" si="8"/>
        <v>0</v>
      </c>
      <c r="AH759" s="17">
        <f t="shared" si="9"/>
        <v>0</v>
      </c>
      <c r="AI759" s="17">
        <v>1.6011439323925894E-11</v>
      </c>
      <c r="AJ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19">
        <f t="shared" si="10"/>
        <v>57.85</v>
      </c>
      <c r="X760" s="20">
        <f t="shared" si="1"/>
        <v>0</v>
      </c>
      <c r="Y760" s="20">
        <f t="shared" si="2"/>
        <v>0</v>
      </c>
      <c r="Z760" s="20">
        <f t="shared" si="3"/>
        <v>0</v>
      </c>
      <c r="AA760" s="20">
        <f t="shared" si="4"/>
        <v>0</v>
      </c>
      <c r="AB760" s="20">
        <f t="shared" si="5"/>
        <v>0</v>
      </c>
      <c r="AC760" s="20">
        <f t="shared" si="6"/>
        <v>0</v>
      </c>
      <c r="AD760" s="2"/>
      <c r="AE760" s="20">
        <v>7.431754864688799E-23</v>
      </c>
      <c r="AF760" s="20">
        <f t="shared" si="7"/>
        <v>0</v>
      </c>
      <c r="AG760" s="20">
        <f t="shared" si="8"/>
        <v>0</v>
      </c>
      <c r="AH760" s="20">
        <f t="shared" si="9"/>
        <v>0</v>
      </c>
      <c r="AI760" s="20">
        <v>8.210453084740644E-12</v>
      </c>
      <c r="AJ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16">
        <f t="shared" si="10"/>
        <v>57.9</v>
      </c>
      <c r="X761" s="17">
        <f t="shared" si="1"/>
        <v>0</v>
      </c>
      <c r="Y761" s="17">
        <f t="shared" si="2"/>
        <v>0</v>
      </c>
      <c r="Z761" s="17">
        <f t="shared" si="3"/>
        <v>0</v>
      </c>
      <c r="AA761" s="17">
        <f t="shared" si="4"/>
        <v>0</v>
      </c>
      <c r="AB761" s="17">
        <f t="shared" si="5"/>
        <v>0</v>
      </c>
      <c r="AC761" s="17">
        <f t="shared" si="6"/>
        <v>0</v>
      </c>
      <c r="AD761" s="2"/>
      <c r="AE761" s="17">
        <v>3.015710301446299E-23</v>
      </c>
      <c r="AF761" s="17">
        <f t="shared" si="7"/>
        <v>0</v>
      </c>
      <c r="AG761" s="17">
        <f t="shared" si="8"/>
        <v>0</v>
      </c>
      <c r="AH761" s="17">
        <f t="shared" si="9"/>
        <v>0</v>
      </c>
      <c r="AI761" s="17">
        <v>4.183497966165333E-12</v>
      </c>
      <c r="AJ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19">
        <f t="shared" si="10"/>
        <v>57.95</v>
      </c>
      <c r="X762" s="20">
        <f t="shared" si="1"/>
        <v>0</v>
      </c>
      <c r="Y762" s="20">
        <f t="shared" si="2"/>
        <v>0</v>
      </c>
      <c r="Z762" s="20">
        <f t="shared" si="3"/>
        <v>0</v>
      </c>
      <c r="AA762" s="20">
        <f t="shared" si="4"/>
        <v>0</v>
      </c>
      <c r="AB762" s="20">
        <f t="shared" si="5"/>
        <v>0</v>
      </c>
      <c r="AC762" s="20">
        <f t="shared" si="6"/>
        <v>0</v>
      </c>
      <c r="AD762" s="2"/>
      <c r="AE762" s="20">
        <v>1.2158605891195798E-23</v>
      </c>
      <c r="AF762" s="20">
        <f t="shared" si="7"/>
        <v>0</v>
      </c>
      <c r="AG762" s="20">
        <f t="shared" si="8"/>
        <v>0</v>
      </c>
      <c r="AH762" s="20">
        <f t="shared" si="9"/>
        <v>0</v>
      </c>
      <c r="AI762" s="20">
        <v>2.1181059926786925E-12</v>
      </c>
      <c r="AJ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16">
        <f t="shared" si="10"/>
        <v>58</v>
      </c>
      <c r="X763" s="17">
        <f t="shared" si="1"/>
        <v>0</v>
      </c>
      <c r="Y763" s="17">
        <f t="shared" si="2"/>
        <v>0</v>
      </c>
      <c r="Z763" s="17">
        <f t="shared" si="3"/>
        <v>0</v>
      </c>
      <c r="AA763" s="17">
        <f t="shared" si="4"/>
        <v>0</v>
      </c>
      <c r="AB763" s="17">
        <f t="shared" si="5"/>
        <v>0</v>
      </c>
      <c r="AC763" s="17">
        <f t="shared" si="6"/>
        <v>0</v>
      </c>
      <c r="AD763" s="2"/>
      <c r="AE763" s="17">
        <v>4.87050352460714E-24</v>
      </c>
      <c r="AF763" s="17">
        <f t="shared" si="7"/>
        <v>0</v>
      </c>
      <c r="AG763" s="17">
        <f t="shared" si="8"/>
        <v>0</v>
      </c>
      <c r="AH763" s="17">
        <f t="shared" si="9"/>
        <v>0</v>
      </c>
      <c r="AI763" s="17">
        <v>1.0655933563625527E-12</v>
      </c>
      <c r="AJ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19">
        <f t="shared" si="10"/>
        <v>58.05</v>
      </c>
      <c r="X764" s="20">
        <f t="shared" si="1"/>
        <v>0</v>
      </c>
      <c r="Y764" s="20">
        <f t="shared" si="2"/>
        <v>0</v>
      </c>
      <c r="Z764" s="20">
        <f t="shared" si="3"/>
        <v>0</v>
      </c>
      <c r="AA764" s="20">
        <f t="shared" si="4"/>
        <v>0</v>
      </c>
      <c r="AB764" s="20">
        <f t="shared" si="5"/>
        <v>0</v>
      </c>
      <c r="AC764" s="20">
        <f t="shared" si="6"/>
        <v>0</v>
      </c>
      <c r="AD764" s="2"/>
      <c r="AE764" s="20">
        <v>1.9384734671554424E-24</v>
      </c>
      <c r="AF764" s="20">
        <f t="shared" si="7"/>
        <v>0</v>
      </c>
      <c r="AG764" s="20">
        <f t="shared" si="8"/>
        <v>0</v>
      </c>
      <c r="AH764" s="20">
        <f t="shared" si="9"/>
        <v>0</v>
      </c>
      <c r="AI764" s="20">
        <v>5.326856625839584E-13</v>
      </c>
      <c r="AJ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16">
        <f t="shared" si="10"/>
        <v>58.1</v>
      </c>
      <c r="X765" s="17">
        <f t="shared" si="1"/>
        <v>0</v>
      </c>
      <c r="Y765" s="17">
        <f t="shared" si="2"/>
        <v>0</v>
      </c>
      <c r="Z765" s="17">
        <f t="shared" si="3"/>
        <v>0</v>
      </c>
      <c r="AA765" s="17">
        <f t="shared" si="4"/>
        <v>0</v>
      </c>
      <c r="AB765" s="17">
        <f t="shared" si="5"/>
        <v>0</v>
      </c>
      <c r="AC765" s="17">
        <f t="shared" si="6"/>
        <v>0</v>
      </c>
      <c r="AD765" s="2"/>
      <c r="AE765" s="17">
        <v>7.665522778767842E-25</v>
      </c>
      <c r="AF765" s="17">
        <f t="shared" si="7"/>
        <v>0</v>
      </c>
      <c r="AG765" s="17">
        <f t="shared" si="8"/>
        <v>0</v>
      </c>
      <c r="AH765" s="17">
        <f t="shared" si="9"/>
        <v>0</v>
      </c>
      <c r="AI765" s="17">
        <v>2.6459778225218897E-13</v>
      </c>
      <c r="AJ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19">
        <f t="shared" si="10"/>
        <v>58.15</v>
      </c>
      <c r="X766" s="20">
        <f t="shared" si="1"/>
        <v>0</v>
      </c>
      <c r="Y766" s="20">
        <f t="shared" si="2"/>
        <v>0</v>
      </c>
      <c r="Z766" s="20">
        <f t="shared" si="3"/>
        <v>0</v>
      </c>
      <c r="AA766" s="20">
        <f t="shared" si="4"/>
        <v>0</v>
      </c>
      <c r="AB766" s="20">
        <f t="shared" si="5"/>
        <v>0</v>
      </c>
      <c r="AC766" s="20">
        <f t="shared" si="6"/>
        <v>0</v>
      </c>
      <c r="AD766" s="2"/>
      <c r="AE766" s="20">
        <v>3.011754823727303E-25</v>
      </c>
      <c r="AF766" s="20">
        <f t="shared" si="7"/>
        <v>0</v>
      </c>
      <c r="AG766" s="20">
        <f t="shared" si="8"/>
        <v>0</v>
      </c>
      <c r="AH766" s="20">
        <f t="shared" si="9"/>
        <v>0</v>
      </c>
      <c r="AI766" s="20">
        <v>1.3059816663049084E-13</v>
      </c>
      <c r="AJ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16">
        <f t="shared" si="10"/>
        <v>58.2</v>
      </c>
      <c r="X767" s="17">
        <f t="shared" si="1"/>
        <v>0</v>
      </c>
      <c r="Y767" s="17">
        <f t="shared" si="2"/>
        <v>0</v>
      </c>
      <c r="Z767" s="17">
        <f t="shared" si="3"/>
        <v>0</v>
      </c>
      <c r="AA767" s="17">
        <f t="shared" si="4"/>
        <v>0</v>
      </c>
      <c r="AB767" s="17">
        <f t="shared" si="5"/>
        <v>0</v>
      </c>
      <c r="AC767" s="17">
        <f t="shared" si="6"/>
        <v>0</v>
      </c>
      <c r="AD767" s="2"/>
      <c r="AE767" s="17">
        <v>1.1756914752066224E-25</v>
      </c>
      <c r="AF767" s="17">
        <f t="shared" si="7"/>
        <v>0</v>
      </c>
      <c r="AG767" s="17">
        <f t="shared" si="8"/>
        <v>0</v>
      </c>
      <c r="AH767" s="17">
        <f t="shared" si="9"/>
        <v>0</v>
      </c>
      <c r="AI767" s="17">
        <v>6.405066588486923E-14</v>
      </c>
      <c r="AJ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19">
        <f t="shared" si="10"/>
        <v>58.25</v>
      </c>
      <c r="X768" s="20">
        <f t="shared" si="1"/>
        <v>0</v>
      </c>
      <c r="Y768" s="20">
        <f t="shared" si="2"/>
        <v>0</v>
      </c>
      <c r="Z768" s="20">
        <f t="shared" si="3"/>
        <v>0</v>
      </c>
      <c r="AA768" s="20">
        <f t="shared" si="4"/>
        <v>0</v>
      </c>
      <c r="AB768" s="20">
        <f t="shared" si="5"/>
        <v>0</v>
      </c>
      <c r="AC768" s="20">
        <f t="shared" si="6"/>
        <v>0</v>
      </c>
      <c r="AD768" s="2"/>
      <c r="AE768" s="20">
        <v>4.5599810968039495E-26</v>
      </c>
      <c r="AF768" s="20">
        <f t="shared" si="7"/>
        <v>0</v>
      </c>
      <c r="AG768" s="20">
        <f t="shared" si="8"/>
        <v>0</v>
      </c>
      <c r="AH768" s="20">
        <f t="shared" si="9"/>
        <v>0</v>
      </c>
      <c r="AI768" s="20">
        <v>3.1213747036215154E-14</v>
      </c>
      <c r="AJ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16">
        <f t="shared" si="10"/>
        <v>58.3</v>
      </c>
      <c r="X769" s="17">
        <f t="shared" si="1"/>
        <v>0</v>
      </c>
      <c r="Y769" s="17">
        <f t="shared" si="2"/>
        <v>0</v>
      </c>
      <c r="Z769" s="17">
        <f t="shared" si="3"/>
        <v>0</v>
      </c>
      <c r="AA769" s="17">
        <f t="shared" si="4"/>
        <v>0</v>
      </c>
      <c r="AB769" s="17">
        <f t="shared" si="5"/>
        <v>0</v>
      </c>
      <c r="AC769" s="17">
        <f t="shared" si="6"/>
        <v>0</v>
      </c>
      <c r="AD769" s="2"/>
      <c r="AE769" s="17">
        <v>1.7572301007547512E-26</v>
      </c>
      <c r="AF769" s="17">
        <f t="shared" si="7"/>
        <v>0</v>
      </c>
      <c r="AG769" s="17">
        <f t="shared" si="8"/>
        <v>0</v>
      </c>
      <c r="AH769" s="17">
        <f t="shared" si="9"/>
        <v>0</v>
      </c>
      <c r="AI769" s="17">
        <v>1.511485036736874E-14</v>
      </c>
      <c r="AJ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19">
        <f t="shared" si="10"/>
        <v>58.35</v>
      </c>
      <c r="X770" s="20">
        <f t="shared" si="1"/>
        <v>0</v>
      </c>
      <c r="Y770" s="20">
        <f t="shared" si="2"/>
        <v>0</v>
      </c>
      <c r="Z770" s="20">
        <f t="shared" si="3"/>
        <v>0</v>
      </c>
      <c r="AA770" s="20">
        <f t="shared" si="4"/>
        <v>0</v>
      </c>
      <c r="AB770" s="20">
        <f t="shared" si="5"/>
        <v>0</v>
      </c>
      <c r="AC770" s="20">
        <f t="shared" si="6"/>
        <v>0</v>
      </c>
      <c r="AD770" s="2"/>
      <c r="AE770" s="20">
        <v>6.72806446732368E-27</v>
      </c>
      <c r="AF770" s="20">
        <f t="shared" si="7"/>
        <v>0</v>
      </c>
      <c r="AG770" s="20">
        <f t="shared" si="8"/>
        <v>0</v>
      </c>
      <c r="AH770" s="20">
        <f t="shared" si="9"/>
        <v>0</v>
      </c>
      <c r="AI770" s="20">
        <v>7.272730361622543E-15</v>
      </c>
      <c r="AJ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16">
        <f t="shared" si="10"/>
        <v>58.4</v>
      </c>
      <c r="X771" s="17">
        <f t="shared" si="1"/>
        <v>0</v>
      </c>
      <c r="Y771" s="17">
        <f t="shared" si="2"/>
        <v>0</v>
      </c>
      <c r="Z771" s="17">
        <f t="shared" si="3"/>
        <v>0</v>
      </c>
      <c r="AA771" s="17">
        <f t="shared" si="4"/>
        <v>0</v>
      </c>
      <c r="AB771" s="17">
        <f t="shared" si="5"/>
        <v>0</v>
      </c>
      <c r="AC771" s="17">
        <f t="shared" si="6"/>
        <v>0</v>
      </c>
      <c r="AD771" s="2"/>
      <c r="AE771" s="17">
        <v>2.5594554397615626E-27</v>
      </c>
      <c r="AF771" s="17">
        <f t="shared" si="7"/>
        <v>0</v>
      </c>
      <c r="AG771" s="17">
        <f t="shared" si="8"/>
        <v>0</v>
      </c>
      <c r="AH771" s="17">
        <f t="shared" si="9"/>
        <v>0</v>
      </c>
      <c r="AI771" s="17">
        <v>3.47717708453158E-15</v>
      </c>
      <c r="AJ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19">
        <f t="shared" si="10"/>
        <v>58.45</v>
      </c>
      <c r="X772" s="20">
        <f t="shared" si="1"/>
        <v>0</v>
      </c>
      <c r="Y772" s="20">
        <f t="shared" si="2"/>
        <v>0</v>
      </c>
      <c r="Z772" s="20">
        <f t="shared" si="3"/>
        <v>0</v>
      </c>
      <c r="AA772" s="20">
        <f t="shared" si="4"/>
        <v>0</v>
      </c>
      <c r="AB772" s="20">
        <f t="shared" si="5"/>
        <v>0</v>
      </c>
      <c r="AC772" s="20">
        <f t="shared" si="6"/>
        <v>0</v>
      </c>
      <c r="AD772" s="2"/>
      <c r="AE772" s="20">
        <v>9.673884994885594E-28</v>
      </c>
      <c r="AF772" s="20">
        <f t="shared" si="7"/>
        <v>0</v>
      </c>
      <c r="AG772" s="20">
        <f t="shared" si="8"/>
        <v>0</v>
      </c>
      <c r="AH772" s="20">
        <f t="shared" si="9"/>
        <v>0</v>
      </c>
      <c r="AI772" s="20">
        <v>1.6519306829692597E-15</v>
      </c>
      <c r="AJ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16">
        <f t="shared" si="10"/>
        <v>58.5</v>
      </c>
      <c r="X773" s="17">
        <f t="shared" si="1"/>
        <v>0</v>
      </c>
      <c r="Y773" s="17">
        <f t="shared" si="2"/>
        <v>0</v>
      </c>
      <c r="Z773" s="17">
        <f t="shared" si="3"/>
        <v>0</v>
      </c>
      <c r="AA773" s="17">
        <f t="shared" si="4"/>
        <v>0</v>
      </c>
      <c r="AB773" s="17">
        <f t="shared" si="5"/>
        <v>0</v>
      </c>
      <c r="AC773" s="17">
        <f t="shared" si="6"/>
        <v>0</v>
      </c>
      <c r="AD773" s="2"/>
      <c r="AE773" s="17">
        <v>3.6328727494442163E-28</v>
      </c>
      <c r="AF773" s="17">
        <f t="shared" si="7"/>
        <v>0</v>
      </c>
      <c r="AG773" s="17">
        <f t="shared" si="8"/>
        <v>0</v>
      </c>
      <c r="AH773" s="17">
        <f t="shared" si="9"/>
        <v>0</v>
      </c>
      <c r="AI773" s="17">
        <v>7.798166780111225E-16</v>
      </c>
      <c r="AJ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19">
        <f t="shared" si="10"/>
        <v>58.55</v>
      </c>
      <c r="X774" s="20">
        <f t="shared" si="1"/>
        <v>0</v>
      </c>
      <c r="Y774" s="20">
        <f t="shared" si="2"/>
        <v>0</v>
      </c>
      <c r="Z774" s="20">
        <f t="shared" si="3"/>
        <v>0</v>
      </c>
      <c r="AA774" s="20">
        <f t="shared" si="4"/>
        <v>0</v>
      </c>
      <c r="AB774" s="20">
        <f t="shared" si="5"/>
        <v>0</v>
      </c>
      <c r="AC774" s="20">
        <f t="shared" si="6"/>
        <v>0</v>
      </c>
      <c r="AD774" s="2"/>
      <c r="AE774" s="20">
        <v>1.3554870417865537E-28</v>
      </c>
      <c r="AF774" s="20">
        <f t="shared" si="7"/>
        <v>0</v>
      </c>
      <c r="AG774" s="20">
        <f t="shared" si="8"/>
        <v>0</v>
      </c>
      <c r="AH774" s="20">
        <f t="shared" si="9"/>
        <v>0</v>
      </c>
      <c r="AI774" s="20">
        <v>3.6578753938539874E-16</v>
      </c>
      <c r="AJ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16">
        <f t="shared" si="10"/>
        <v>58.6</v>
      </c>
      <c r="X775" s="17">
        <f t="shared" si="1"/>
        <v>0</v>
      </c>
      <c r="Y775" s="17">
        <f t="shared" si="2"/>
        <v>0</v>
      </c>
      <c r="Z775" s="17">
        <f t="shared" si="3"/>
        <v>0</v>
      </c>
      <c r="AA775" s="17">
        <f t="shared" si="4"/>
        <v>0</v>
      </c>
      <c r="AB775" s="17">
        <f t="shared" si="5"/>
        <v>0</v>
      </c>
      <c r="AC775" s="17">
        <f t="shared" si="6"/>
        <v>0</v>
      </c>
      <c r="AD775" s="2"/>
      <c r="AE775" s="17">
        <v>5.02500470787615E-29</v>
      </c>
      <c r="AF775" s="17">
        <f t="shared" si="7"/>
        <v>0</v>
      </c>
      <c r="AG775" s="17">
        <f t="shared" si="8"/>
        <v>0</v>
      </c>
      <c r="AH775" s="17">
        <f t="shared" si="9"/>
        <v>0</v>
      </c>
      <c r="AI775" s="17">
        <v>1.7049081362380209E-16</v>
      </c>
      <c r="AJ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19">
        <f t="shared" si="10"/>
        <v>58.65</v>
      </c>
      <c r="X776" s="20">
        <f t="shared" si="1"/>
        <v>0</v>
      </c>
      <c r="Y776" s="20">
        <f t="shared" si="2"/>
        <v>0</v>
      </c>
      <c r="Z776" s="20">
        <f t="shared" si="3"/>
        <v>0</v>
      </c>
      <c r="AA776" s="20">
        <f t="shared" si="4"/>
        <v>0</v>
      </c>
      <c r="AB776" s="20">
        <f t="shared" si="5"/>
        <v>0</v>
      </c>
      <c r="AC776" s="20">
        <f t="shared" si="6"/>
        <v>0</v>
      </c>
      <c r="AD776" s="2"/>
      <c r="AE776" s="20">
        <v>1.8508596786147436E-29</v>
      </c>
      <c r="AF776" s="20">
        <f t="shared" si="7"/>
        <v>0</v>
      </c>
      <c r="AG776" s="20">
        <f t="shared" si="8"/>
        <v>0</v>
      </c>
      <c r="AH776" s="20">
        <f t="shared" si="9"/>
        <v>0</v>
      </c>
      <c r="AI776" s="20">
        <v>7.896029241631181E-17</v>
      </c>
      <c r="AJ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16">
        <f t="shared" si="10"/>
        <v>58.7</v>
      </c>
      <c r="X777" s="17">
        <f t="shared" si="1"/>
        <v>0</v>
      </c>
      <c r="Y777" s="17">
        <f t="shared" si="2"/>
        <v>0</v>
      </c>
      <c r="Z777" s="17">
        <f t="shared" si="3"/>
        <v>0</v>
      </c>
      <c r="AA777" s="17">
        <f t="shared" si="4"/>
        <v>0</v>
      </c>
      <c r="AB777" s="17">
        <f t="shared" si="5"/>
        <v>0</v>
      </c>
      <c r="AC777" s="17">
        <f t="shared" si="6"/>
        <v>0</v>
      </c>
      <c r="AD777" s="2"/>
      <c r="AE777" s="17">
        <v>6.773395489209135E-30</v>
      </c>
      <c r="AF777" s="17">
        <f t="shared" si="7"/>
        <v>0</v>
      </c>
      <c r="AG777" s="17">
        <f t="shared" si="8"/>
        <v>0</v>
      </c>
      <c r="AH777" s="17">
        <f t="shared" si="9"/>
        <v>0</v>
      </c>
      <c r="AI777" s="17">
        <v>3.633726206941799E-17</v>
      </c>
      <c r="AJ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19">
        <f t="shared" si="10"/>
        <v>58.75</v>
      </c>
      <c r="X778" s="20">
        <f t="shared" si="1"/>
        <v>0</v>
      </c>
      <c r="Y778" s="20">
        <f t="shared" si="2"/>
        <v>0</v>
      </c>
      <c r="Z778" s="20">
        <f t="shared" si="3"/>
        <v>0</v>
      </c>
      <c r="AA778" s="20">
        <f t="shared" si="4"/>
        <v>0</v>
      </c>
      <c r="AB778" s="20">
        <f t="shared" si="5"/>
        <v>0</v>
      </c>
      <c r="AC778" s="20">
        <f t="shared" si="6"/>
        <v>0</v>
      </c>
      <c r="AD778" s="2"/>
      <c r="AE778" s="20">
        <v>2.4628348625808637E-30</v>
      </c>
      <c r="AF778" s="20">
        <f t="shared" si="7"/>
        <v>0</v>
      </c>
      <c r="AG778" s="20">
        <f t="shared" si="8"/>
        <v>0</v>
      </c>
      <c r="AH778" s="20">
        <f t="shared" si="9"/>
        <v>0</v>
      </c>
      <c r="AI778" s="20">
        <v>1.6616185908501293E-17</v>
      </c>
      <c r="AJ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16">
        <f t="shared" si="10"/>
        <v>58.8</v>
      </c>
      <c r="X779" s="17">
        <f t="shared" si="1"/>
        <v>0</v>
      </c>
      <c r="Y779" s="17">
        <f t="shared" si="2"/>
        <v>0</v>
      </c>
      <c r="Z779" s="17">
        <f t="shared" si="3"/>
        <v>0</v>
      </c>
      <c r="AA779" s="17">
        <f t="shared" si="4"/>
        <v>0</v>
      </c>
      <c r="AB779" s="17">
        <f t="shared" si="5"/>
        <v>0</v>
      </c>
      <c r="AC779" s="17">
        <f t="shared" si="6"/>
        <v>0</v>
      </c>
      <c r="AD779" s="2"/>
      <c r="AE779" s="17">
        <v>8.897337596165688E-31</v>
      </c>
      <c r="AF779" s="17">
        <f t="shared" si="7"/>
        <v>0</v>
      </c>
      <c r="AG779" s="17">
        <f t="shared" si="8"/>
        <v>0</v>
      </c>
      <c r="AH779" s="17">
        <f t="shared" si="9"/>
        <v>0</v>
      </c>
      <c r="AI779" s="17">
        <v>7.549986456135843E-18</v>
      </c>
      <c r="AJ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19">
        <f t="shared" si="10"/>
        <v>58.85</v>
      </c>
      <c r="X780" s="20">
        <f t="shared" si="1"/>
        <v>0</v>
      </c>
      <c r="Y780" s="20">
        <f t="shared" si="2"/>
        <v>0</v>
      </c>
      <c r="Z780" s="20">
        <f t="shared" si="3"/>
        <v>0</v>
      </c>
      <c r="AA780" s="20">
        <f t="shared" si="4"/>
        <v>0</v>
      </c>
      <c r="AB780" s="20">
        <f t="shared" si="5"/>
        <v>0</v>
      </c>
      <c r="AC780" s="20">
        <f t="shared" si="6"/>
        <v>0</v>
      </c>
      <c r="AD780" s="2"/>
      <c r="AE780" s="20">
        <v>3.1936018044580246E-31</v>
      </c>
      <c r="AF780" s="20">
        <f t="shared" si="7"/>
        <v>0</v>
      </c>
      <c r="AG780" s="20">
        <f t="shared" si="8"/>
        <v>0</v>
      </c>
      <c r="AH780" s="20">
        <f t="shared" si="9"/>
        <v>0</v>
      </c>
      <c r="AI780" s="20">
        <v>3.4087620870927792E-18</v>
      </c>
      <c r="AJ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16">
        <f t="shared" si="10"/>
        <v>58.9</v>
      </c>
      <c r="X781" s="17">
        <f t="shared" si="1"/>
        <v>0</v>
      </c>
      <c r="Y781" s="17">
        <f t="shared" si="2"/>
        <v>0</v>
      </c>
      <c r="Z781" s="17">
        <f t="shared" si="3"/>
        <v>0</v>
      </c>
      <c r="AA781" s="17">
        <f t="shared" si="4"/>
        <v>0</v>
      </c>
      <c r="AB781" s="17">
        <f t="shared" si="5"/>
        <v>0</v>
      </c>
      <c r="AC781" s="17">
        <f t="shared" si="6"/>
        <v>0</v>
      </c>
      <c r="AD781" s="2"/>
      <c r="AE781" s="17">
        <v>1.138930908267453E-31</v>
      </c>
      <c r="AF781" s="17">
        <f t="shared" si="7"/>
        <v>0</v>
      </c>
      <c r="AG781" s="17">
        <f t="shared" si="8"/>
        <v>0</v>
      </c>
      <c r="AH781" s="17">
        <f t="shared" si="9"/>
        <v>0</v>
      </c>
      <c r="AI781" s="17">
        <v>1.5292655235006087E-18</v>
      </c>
      <c r="AJ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19">
        <f t="shared" si="10"/>
        <v>58.95</v>
      </c>
      <c r="X782" s="20">
        <f t="shared" si="1"/>
        <v>0</v>
      </c>
      <c r="Y782" s="20">
        <f t="shared" si="2"/>
        <v>0</v>
      </c>
      <c r="Z782" s="20">
        <f t="shared" si="3"/>
        <v>0</v>
      </c>
      <c r="AA782" s="20">
        <f t="shared" si="4"/>
        <v>0</v>
      </c>
      <c r="AB782" s="20">
        <f t="shared" si="5"/>
        <v>0</v>
      </c>
      <c r="AC782" s="20">
        <f t="shared" si="6"/>
        <v>0</v>
      </c>
      <c r="AD782" s="2"/>
      <c r="AE782" s="20">
        <v>4.035616708829375E-32</v>
      </c>
      <c r="AF782" s="20">
        <f t="shared" si="7"/>
        <v>0</v>
      </c>
      <c r="AG782" s="20">
        <f t="shared" si="8"/>
        <v>0</v>
      </c>
      <c r="AH782" s="20">
        <f t="shared" si="9"/>
        <v>0</v>
      </c>
      <c r="AI782" s="20">
        <v>6.817180497431022E-19</v>
      </c>
      <c r="AJ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16">
        <f t="shared" si="10"/>
        <v>59</v>
      </c>
      <c r="X783" s="17">
        <f t="shared" si="1"/>
        <v>0</v>
      </c>
      <c r="Y783" s="17">
        <f t="shared" si="2"/>
        <v>0</v>
      </c>
      <c r="Z783" s="17">
        <f t="shared" si="3"/>
        <v>0</v>
      </c>
      <c r="AA783" s="17">
        <f t="shared" si="4"/>
        <v>0</v>
      </c>
      <c r="AB783" s="17">
        <f t="shared" si="5"/>
        <v>0</v>
      </c>
      <c r="AC783" s="17">
        <f t="shared" si="6"/>
        <v>0</v>
      </c>
      <c r="AD783" s="2"/>
      <c r="AE783" s="17">
        <v>1.4207522828412934E-32</v>
      </c>
      <c r="AF783" s="17">
        <f t="shared" si="7"/>
        <v>0</v>
      </c>
      <c r="AG783" s="17">
        <f t="shared" si="8"/>
        <v>0</v>
      </c>
      <c r="AH783" s="17">
        <f t="shared" si="9"/>
        <v>0</v>
      </c>
      <c r="AI783" s="17">
        <v>3.019690109525624E-19</v>
      </c>
      <c r="AJ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19">
        <f t="shared" si="10"/>
        <v>59.05</v>
      </c>
      <c r="X784" s="20">
        <f t="shared" si="1"/>
        <v>0</v>
      </c>
      <c r="Y784" s="20">
        <f t="shared" si="2"/>
        <v>0</v>
      </c>
      <c r="Z784" s="20">
        <f t="shared" si="3"/>
        <v>0</v>
      </c>
      <c r="AA784" s="20">
        <f t="shared" si="4"/>
        <v>0</v>
      </c>
      <c r="AB784" s="20">
        <f t="shared" si="5"/>
        <v>0</v>
      </c>
      <c r="AC784" s="20">
        <f t="shared" si="6"/>
        <v>0</v>
      </c>
      <c r="AD784" s="2"/>
      <c r="AE784" s="20">
        <v>4.9696148535709556E-33</v>
      </c>
      <c r="AF784" s="20">
        <f t="shared" si="7"/>
        <v>0</v>
      </c>
      <c r="AG784" s="20">
        <f t="shared" si="8"/>
        <v>0</v>
      </c>
      <c r="AH784" s="20">
        <f t="shared" si="9"/>
        <v>0</v>
      </c>
      <c r="AI784" s="20">
        <v>1.3290938504147299E-19</v>
      </c>
      <c r="AJ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16">
        <f t="shared" si="10"/>
        <v>59.1</v>
      </c>
      <c r="X785" s="17">
        <f t="shared" si="1"/>
        <v>0</v>
      </c>
      <c r="Y785" s="17">
        <f t="shared" si="2"/>
        <v>0</v>
      </c>
      <c r="Z785" s="17">
        <f t="shared" si="3"/>
        <v>0</v>
      </c>
      <c r="AA785" s="17">
        <f t="shared" si="4"/>
        <v>0</v>
      </c>
      <c r="AB785" s="17">
        <f t="shared" si="5"/>
        <v>0</v>
      </c>
      <c r="AC785" s="17">
        <f t="shared" si="6"/>
        <v>0</v>
      </c>
      <c r="AD785" s="2"/>
      <c r="AE785" s="17">
        <v>1.7271220157764957E-33</v>
      </c>
      <c r="AF785" s="17">
        <f t="shared" si="7"/>
        <v>0</v>
      </c>
      <c r="AG785" s="17">
        <f t="shared" si="8"/>
        <v>0</v>
      </c>
      <c r="AH785" s="17">
        <f t="shared" si="9"/>
        <v>0</v>
      </c>
      <c r="AI785" s="17">
        <v>5.812789674181525E-20</v>
      </c>
      <c r="AJ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19">
        <f t="shared" si="10"/>
        <v>59.15</v>
      </c>
      <c r="X786" s="20">
        <f t="shared" si="1"/>
        <v>0</v>
      </c>
      <c r="Y786" s="20">
        <f t="shared" si="2"/>
        <v>0</v>
      </c>
      <c r="Z786" s="20">
        <f t="shared" si="3"/>
        <v>0</v>
      </c>
      <c r="AA786" s="20">
        <f t="shared" si="4"/>
        <v>0</v>
      </c>
      <c r="AB786" s="20">
        <f t="shared" si="5"/>
        <v>0</v>
      </c>
      <c r="AC786" s="20">
        <f t="shared" si="6"/>
        <v>0</v>
      </c>
      <c r="AD786" s="2"/>
      <c r="AE786" s="20">
        <v>5.963747215930823E-34</v>
      </c>
      <c r="AF786" s="20">
        <f t="shared" si="7"/>
        <v>0</v>
      </c>
      <c r="AG786" s="20">
        <f t="shared" si="8"/>
        <v>0</v>
      </c>
      <c r="AH786" s="20">
        <f t="shared" si="9"/>
        <v>0</v>
      </c>
      <c r="AI786" s="20">
        <v>2.5260925494603404E-20</v>
      </c>
      <c r="AJ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16">
        <f t="shared" si="10"/>
        <v>59.2</v>
      </c>
      <c r="X787" s="17">
        <f t="shared" si="1"/>
        <v>0</v>
      </c>
      <c r="Y787" s="17">
        <f t="shared" si="2"/>
        <v>0</v>
      </c>
      <c r="Z787" s="17">
        <f t="shared" si="3"/>
        <v>0</v>
      </c>
      <c r="AA787" s="17">
        <f t="shared" si="4"/>
        <v>0</v>
      </c>
      <c r="AB787" s="17">
        <f t="shared" si="5"/>
        <v>0</v>
      </c>
      <c r="AC787" s="17">
        <f t="shared" si="6"/>
        <v>0</v>
      </c>
      <c r="AD787" s="2"/>
      <c r="AE787" s="17">
        <v>2.046026959856979E-34</v>
      </c>
      <c r="AF787" s="17">
        <f t="shared" si="7"/>
        <v>0</v>
      </c>
      <c r="AG787" s="17">
        <f t="shared" si="8"/>
        <v>0</v>
      </c>
      <c r="AH787" s="17">
        <f t="shared" si="9"/>
        <v>0</v>
      </c>
      <c r="AI787" s="17">
        <v>1.0908112170648748E-20</v>
      </c>
      <c r="AJ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19">
        <f t="shared" si="10"/>
        <v>59.25</v>
      </c>
      <c r="X788" s="20">
        <f t="shared" si="1"/>
        <v>0</v>
      </c>
      <c r="Y788" s="20">
        <f t="shared" si="2"/>
        <v>0</v>
      </c>
      <c r="Z788" s="20">
        <f t="shared" si="3"/>
        <v>0</v>
      </c>
      <c r="AA788" s="20">
        <f t="shared" si="4"/>
        <v>0</v>
      </c>
      <c r="AB788" s="20">
        <f t="shared" si="5"/>
        <v>0</v>
      </c>
      <c r="AC788" s="20">
        <f t="shared" si="6"/>
        <v>0</v>
      </c>
      <c r="AD788" s="2"/>
      <c r="AE788" s="20">
        <v>6.974280263725491E-35</v>
      </c>
      <c r="AF788" s="20">
        <f t="shared" si="7"/>
        <v>0</v>
      </c>
      <c r="AG788" s="20">
        <f t="shared" si="8"/>
        <v>0</v>
      </c>
      <c r="AH788" s="20">
        <f t="shared" si="9"/>
        <v>0</v>
      </c>
      <c r="AI788" s="20">
        <v>4.680428562457575E-21</v>
      </c>
      <c r="AJ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16">
        <f t="shared" si="10"/>
        <v>59.3</v>
      </c>
      <c r="X789" s="17">
        <f t="shared" si="1"/>
        <v>0</v>
      </c>
      <c r="Y789" s="17">
        <f t="shared" si="2"/>
        <v>0</v>
      </c>
      <c r="Z789" s="17">
        <f t="shared" si="3"/>
        <v>0</v>
      </c>
      <c r="AA789" s="17">
        <f t="shared" si="4"/>
        <v>0</v>
      </c>
      <c r="AB789" s="17">
        <f t="shared" si="5"/>
        <v>0</v>
      </c>
      <c r="AC789" s="17">
        <f t="shared" si="6"/>
        <v>0</v>
      </c>
      <c r="AD789" s="2"/>
      <c r="AE789" s="17">
        <v>2.3620188429382297E-35</v>
      </c>
      <c r="AF789" s="17">
        <f t="shared" si="7"/>
        <v>0</v>
      </c>
      <c r="AG789" s="17">
        <f t="shared" si="8"/>
        <v>0</v>
      </c>
      <c r="AH789" s="17">
        <f t="shared" si="9"/>
        <v>0</v>
      </c>
      <c r="AI789" s="17">
        <v>1.9955257449416668E-21</v>
      </c>
      <c r="AJ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19">
        <f t="shared" si="10"/>
        <v>59.35</v>
      </c>
      <c r="X790" s="20">
        <f t="shared" si="1"/>
        <v>0</v>
      </c>
      <c r="Y790" s="20">
        <f t="shared" si="2"/>
        <v>0</v>
      </c>
      <c r="Z790" s="20">
        <f t="shared" si="3"/>
        <v>0</v>
      </c>
      <c r="AA790" s="20">
        <f t="shared" si="4"/>
        <v>0</v>
      </c>
      <c r="AB790" s="20">
        <f t="shared" si="5"/>
        <v>0</v>
      </c>
      <c r="AC790" s="20">
        <f t="shared" si="6"/>
        <v>0</v>
      </c>
      <c r="AD790" s="2"/>
      <c r="AE790" s="20">
        <v>7.948098462635956E-36</v>
      </c>
      <c r="AF790" s="20">
        <f t="shared" si="7"/>
        <v>0</v>
      </c>
      <c r="AG790" s="20">
        <f t="shared" si="8"/>
        <v>0</v>
      </c>
      <c r="AH790" s="20">
        <f t="shared" si="9"/>
        <v>0</v>
      </c>
      <c r="AI790" s="20">
        <v>8.454048552734231E-22</v>
      </c>
      <c r="AJ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16">
        <f t="shared" si="10"/>
        <v>59.4</v>
      </c>
      <c r="X791" s="17">
        <f t="shared" si="1"/>
        <v>0</v>
      </c>
      <c r="Y791" s="17">
        <f t="shared" si="2"/>
        <v>0</v>
      </c>
      <c r="Z791" s="17">
        <f t="shared" si="3"/>
        <v>0</v>
      </c>
      <c r="AA791" s="17">
        <f t="shared" si="4"/>
        <v>0</v>
      </c>
      <c r="AB791" s="17">
        <f t="shared" si="5"/>
        <v>0</v>
      </c>
      <c r="AC791" s="17">
        <f t="shared" si="6"/>
        <v>0</v>
      </c>
      <c r="AD791" s="2"/>
      <c r="AE791" s="17">
        <v>2.6572905181401682E-36</v>
      </c>
      <c r="AF791" s="17">
        <f t="shared" si="7"/>
        <v>0</v>
      </c>
      <c r="AG791" s="17">
        <f t="shared" si="8"/>
        <v>0</v>
      </c>
      <c r="AH791" s="17">
        <f t="shared" si="9"/>
        <v>0</v>
      </c>
      <c r="AI791" s="17">
        <v>3.5588348004393043E-22</v>
      </c>
      <c r="AJ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19">
        <f t="shared" si="10"/>
        <v>59.45</v>
      </c>
      <c r="X792" s="20">
        <f t="shared" si="1"/>
        <v>0</v>
      </c>
      <c r="Y792" s="20">
        <f t="shared" si="2"/>
        <v>0</v>
      </c>
      <c r="Z792" s="20">
        <f t="shared" si="3"/>
        <v>0</v>
      </c>
      <c r="AA792" s="20">
        <f t="shared" si="4"/>
        <v>0</v>
      </c>
      <c r="AB792" s="20">
        <f t="shared" si="5"/>
        <v>0</v>
      </c>
      <c r="AC792" s="20">
        <f t="shared" si="6"/>
        <v>0</v>
      </c>
      <c r="AD792" s="2"/>
      <c r="AE792" s="20">
        <v>8.826951811043617E-37</v>
      </c>
      <c r="AF792" s="20">
        <f t="shared" si="7"/>
        <v>0</v>
      </c>
      <c r="AG792" s="20">
        <f t="shared" si="8"/>
        <v>0</v>
      </c>
      <c r="AH792" s="20">
        <f t="shared" si="9"/>
        <v>0</v>
      </c>
      <c r="AI792" s="20">
        <v>1.488629455533753E-22</v>
      </c>
      <c r="AJ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16">
        <f t="shared" si="10"/>
        <v>59.5</v>
      </c>
      <c r="X793" s="17">
        <f t="shared" si="1"/>
        <v>0</v>
      </c>
      <c r="Y793" s="17">
        <f t="shared" si="2"/>
        <v>0</v>
      </c>
      <c r="Z793" s="17">
        <f t="shared" si="3"/>
        <v>0</v>
      </c>
      <c r="AA793" s="17">
        <f t="shared" si="4"/>
        <v>0</v>
      </c>
      <c r="AB793" s="17">
        <f t="shared" si="5"/>
        <v>0</v>
      </c>
      <c r="AC793" s="17">
        <f t="shared" si="6"/>
        <v>0</v>
      </c>
      <c r="AD793" s="2"/>
      <c r="AE793" s="17">
        <v>2.9132542719492065E-37</v>
      </c>
      <c r="AF793" s="17">
        <f t="shared" si="7"/>
        <v>0</v>
      </c>
      <c r="AG793" s="17">
        <f t="shared" si="8"/>
        <v>0</v>
      </c>
      <c r="AH793" s="17">
        <f t="shared" si="9"/>
        <v>0</v>
      </c>
      <c r="AI793" s="17">
        <v>6.187298604700537E-23</v>
      </c>
      <c r="AJ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19">
        <f t="shared" si="10"/>
        <v>59.55</v>
      </c>
      <c r="X794" s="20">
        <f t="shared" si="1"/>
        <v>0</v>
      </c>
      <c r="Y794" s="20">
        <f t="shared" si="2"/>
        <v>0</v>
      </c>
      <c r="Z794" s="20">
        <f t="shared" si="3"/>
        <v>0</v>
      </c>
      <c r="AA794" s="20">
        <f t="shared" si="4"/>
        <v>0</v>
      </c>
      <c r="AB794" s="20">
        <f t="shared" si="5"/>
        <v>0</v>
      </c>
      <c r="AC794" s="20">
        <f t="shared" si="6"/>
        <v>0</v>
      </c>
      <c r="AD794" s="2"/>
      <c r="AE794" s="20">
        <v>9.553047712247343E-38</v>
      </c>
      <c r="AF794" s="20">
        <f t="shared" si="7"/>
        <v>0</v>
      </c>
      <c r="AG794" s="20">
        <f t="shared" si="8"/>
        <v>0</v>
      </c>
      <c r="AH794" s="20">
        <f t="shared" si="9"/>
        <v>0</v>
      </c>
      <c r="AI794" s="20">
        <v>2.5553549392488547E-23</v>
      </c>
      <c r="AJ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16">
        <f t="shared" si="10"/>
        <v>59.6</v>
      </c>
      <c r="X795" s="17">
        <f t="shared" si="1"/>
        <v>0</v>
      </c>
      <c r="Y795" s="17">
        <f t="shared" si="2"/>
        <v>0</v>
      </c>
      <c r="Z795" s="17">
        <f t="shared" si="3"/>
        <v>0</v>
      </c>
      <c r="AA795" s="17">
        <f t="shared" si="4"/>
        <v>0</v>
      </c>
      <c r="AB795" s="17">
        <f t="shared" si="5"/>
        <v>0</v>
      </c>
      <c r="AC795" s="17">
        <f t="shared" si="6"/>
        <v>0</v>
      </c>
      <c r="AD795" s="2"/>
      <c r="AE795" s="17">
        <v>3.1124430967610875E-38</v>
      </c>
      <c r="AF795" s="17">
        <f t="shared" si="7"/>
        <v>0</v>
      </c>
      <c r="AG795" s="17">
        <f t="shared" si="8"/>
        <v>0</v>
      </c>
      <c r="AH795" s="17">
        <f t="shared" si="9"/>
        <v>0</v>
      </c>
      <c r="AI795" s="17">
        <v>1.0486657330670251E-23</v>
      </c>
      <c r="AJ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19">
        <f t="shared" si="10"/>
        <v>59.65</v>
      </c>
      <c r="X796" s="20">
        <f t="shared" si="1"/>
        <v>0</v>
      </c>
      <c r="Y796" s="20">
        <f t="shared" si="2"/>
        <v>0</v>
      </c>
      <c r="Z796" s="20">
        <f t="shared" si="3"/>
        <v>0</v>
      </c>
      <c r="AA796" s="20">
        <f t="shared" si="4"/>
        <v>0</v>
      </c>
      <c r="AB796" s="20">
        <f t="shared" si="5"/>
        <v>0</v>
      </c>
      <c r="AC796" s="20">
        <f t="shared" si="6"/>
        <v>0</v>
      </c>
      <c r="AD796" s="2"/>
      <c r="AE796" s="20">
        <v>1.0075272755376071E-38</v>
      </c>
      <c r="AF796" s="20">
        <f t="shared" si="7"/>
        <v>0</v>
      </c>
      <c r="AG796" s="20">
        <f t="shared" si="8"/>
        <v>0</v>
      </c>
      <c r="AH796" s="20">
        <f t="shared" si="9"/>
        <v>0</v>
      </c>
      <c r="AI796" s="20">
        <v>4.276205916206036E-24</v>
      </c>
      <c r="AJ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16">
        <f t="shared" si="10"/>
        <v>59.7</v>
      </c>
      <c r="X797" s="17">
        <f t="shared" si="1"/>
        <v>0</v>
      </c>
      <c r="Y797" s="17">
        <f t="shared" si="2"/>
        <v>0</v>
      </c>
      <c r="Z797" s="17">
        <f t="shared" si="3"/>
        <v>0</v>
      </c>
      <c r="AA797" s="17">
        <f t="shared" si="4"/>
        <v>0</v>
      </c>
      <c r="AB797" s="17">
        <f t="shared" si="5"/>
        <v>0</v>
      </c>
      <c r="AC797" s="17">
        <f t="shared" si="6"/>
        <v>0</v>
      </c>
      <c r="AD797" s="2"/>
      <c r="AE797" s="17">
        <v>3.240470875762418E-39</v>
      </c>
      <c r="AF797" s="17">
        <f t="shared" si="7"/>
        <v>0</v>
      </c>
      <c r="AG797" s="17">
        <f t="shared" si="8"/>
        <v>0</v>
      </c>
      <c r="AH797" s="17">
        <f t="shared" si="9"/>
        <v>0</v>
      </c>
      <c r="AI797" s="17">
        <v>1.7326699027232284E-24</v>
      </c>
      <c r="AJ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19">
        <f t="shared" si="10"/>
        <v>59.75</v>
      </c>
      <c r="X798" s="20">
        <f t="shared" si="1"/>
        <v>0</v>
      </c>
      <c r="Y798" s="20">
        <f t="shared" si="2"/>
        <v>0</v>
      </c>
      <c r="Z798" s="20">
        <f t="shared" si="3"/>
        <v>0</v>
      </c>
      <c r="AA798" s="20">
        <f t="shared" si="4"/>
        <v>0</v>
      </c>
      <c r="AB798" s="20">
        <f t="shared" si="5"/>
        <v>0</v>
      </c>
      <c r="AC798" s="20">
        <f t="shared" si="6"/>
        <v>0</v>
      </c>
      <c r="AD798" s="2"/>
      <c r="AE798" s="20">
        <v>1.0355125136049509E-39</v>
      </c>
      <c r="AF798" s="20">
        <f t="shared" si="7"/>
        <v>0</v>
      </c>
      <c r="AG798" s="20">
        <f t="shared" si="8"/>
        <v>0</v>
      </c>
      <c r="AH798" s="20">
        <f t="shared" si="9"/>
        <v>0</v>
      </c>
      <c r="AI798" s="20">
        <v>6.976036456179973E-25</v>
      </c>
      <c r="AJ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16">
        <f t="shared" si="10"/>
        <v>59.8</v>
      </c>
      <c r="X799" s="17">
        <f t="shared" si="1"/>
        <v>0</v>
      </c>
      <c r="Y799" s="17">
        <f t="shared" si="2"/>
        <v>0</v>
      </c>
      <c r="Z799" s="17">
        <f t="shared" si="3"/>
        <v>0</v>
      </c>
      <c r="AA799" s="17">
        <f t="shared" si="4"/>
        <v>0</v>
      </c>
      <c r="AB799" s="17">
        <f t="shared" si="5"/>
        <v>0</v>
      </c>
      <c r="AC799" s="17">
        <f t="shared" si="6"/>
        <v>0</v>
      </c>
      <c r="AD799" s="2"/>
      <c r="AE799" s="17">
        <v>3.287747823676285E-40</v>
      </c>
      <c r="AF799" s="17">
        <f t="shared" si="7"/>
        <v>0</v>
      </c>
      <c r="AG799" s="17">
        <f t="shared" si="8"/>
        <v>0</v>
      </c>
      <c r="AH799" s="17">
        <f t="shared" si="9"/>
        <v>0</v>
      </c>
      <c r="AI799" s="17">
        <v>2.790855429018838E-25</v>
      </c>
      <c r="AJ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19">
        <f t="shared" si="10"/>
        <v>59.85</v>
      </c>
      <c r="X800" s="20">
        <f t="shared" si="1"/>
        <v>0</v>
      </c>
      <c r="Y800" s="20">
        <f t="shared" si="2"/>
        <v>0</v>
      </c>
      <c r="Z800" s="20">
        <f t="shared" si="3"/>
        <v>0</v>
      </c>
      <c r="AA800" s="20">
        <f t="shared" si="4"/>
        <v>0</v>
      </c>
      <c r="AB800" s="20">
        <f t="shared" si="5"/>
        <v>0</v>
      </c>
      <c r="AC800" s="20">
        <f t="shared" si="6"/>
        <v>0</v>
      </c>
      <c r="AD800" s="2"/>
      <c r="AE800" s="20">
        <v>1.037140431502572E-40</v>
      </c>
      <c r="AF800" s="20">
        <f t="shared" si="7"/>
        <v>0</v>
      </c>
      <c r="AG800" s="20">
        <f t="shared" si="8"/>
        <v>0</v>
      </c>
      <c r="AH800" s="20">
        <f t="shared" si="9"/>
        <v>0</v>
      </c>
      <c r="AI800" s="20">
        <v>1.1094343970778844E-25</v>
      </c>
      <c r="AJ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16">
        <f t="shared" si="10"/>
        <v>59.9</v>
      </c>
      <c r="X801" s="17">
        <f t="shared" si="1"/>
        <v>0</v>
      </c>
      <c r="Y801" s="17">
        <f t="shared" si="2"/>
        <v>0</v>
      </c>
      <c r="Z801" s="17">
        <f t="shared" si="3"/>
        <v>0</v>
      </c>
      <c r="AA801" s="17">
        <f t="shared" si="4"/>
        <v>0</v>
      </c>
      <c r="AB801" s="17">
        <f t="shared" si="5"/>
        <v>0</v>
      </c>
      <c r="AC801" s="17">
        <f t="shared" si="6"/>
        <v>0</v>
      </c>
      <c r="AD801" s="2"/>
      <c r="AE801" s="17">
        <v>3.250667502117561E-41</v>
      </c>
      <c r="AF801" s="17">
        <f t="shared" si="7"/>
        <v>0</v>
      </c>
      <c r="AG801" s="17">
        <f t="shared" si="8"/>
        <v>0</v>
      </c>
      <c r="AH801" s="17">
        <f t="shared" si="9"/>
        <v>0</v>
      </c>
      <c r="AI801" s="17">
        <v>4.3822949251781996E-26</v>
      </c>
      <c r="AJ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19">
        <f t="shared" si="10"/>
        <v>59.95</v>
      </c>
      <c r="X802" s="20">
        <f t="shared" si="1"/>
        <v>0</v>
      </c>
      <c r="Y802" s="20">
        <f t="shared" si="2"/>
        <v>0</v>
      </c>
      <c r="Z802" s="20">
        <f t="shared" si="3"/>
        <v>0</v>
      </c>
      <c r="AA802" s="20">
        <f t="shared" si="4"/>
        <v>0</v>
      </c>
      <c r="AB802" s="20">
        <f t="shared" si="5"/>
        <v>0</v>
      </c>
      <c r="AC802" s="20">
        <f t="shared" si="6"/>
        <v>0</v>
      </c>
      <c r="AD802" s="2"/>
      <c r="AE802" s="20">
        <v>1.0122865174872295E-41</v>
      </c>
      <c r="AF802" s="20">
        <f t="shared" si="7"/>
        <v>0</v>
      </c>
      <c r="AG802" s="20">
        <f t="shared" si="8"/>
        <v>0</v>
      </c>
      <c r="AH802" s="20">
        <f t="shared" si="9"/>
        <v>0</v>
      </c>
      <c r="AI802" s="20">
        <v>1.7200349260815792E-26</v>
      </c>
      <c r="AJ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16">
        <f t="shared" si="10"/>
        <v>60</v>
      </c>
      <c r="X803" s="17">
        <f t="shared" si="1"/>
        <v>0</v>
      </c>
      <c r="Y803" s="17">
        <f t="shared" si="2"/>
        <v>0</v>
      </c>
      <c r="Z803" s="17">
        <f t="shared" si="3"/>
        <v>0</v>
      </c>
      <c r="AA803" s="17">
        <f t="shared" si="4"/>
        <v>0</v>
      </c>
      <c r="AB803" s="17">
        <f t="shared" si="5"/>
        <v>0</v>
      </c>
      <c r="AC803" s="17">
        <f t="shared" si="6"/>
        <v>0</v>
      </c>
      <c r="AD803" s="2"/>
      <c r="AE803" s="17">
        <v>3.13206144991E-42</v>
      </c>
      <c r="AF803" s="17">
        <f t="shared" si="7"/>
        <v>0</v>
      </c>
      <c r="AG803" s="17">
        <f t="shared" si="8"/>
        <v>0</v>
      </c>
      <c r="AH803" s="17">
        <f t="shared" si="9"/>
        <v>0</v>
      </c>
      <c r="AI803" s="17">
        <v>6.708240396690216E-27</v>
      </c>
      <c r="AJ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0"/>
      <c r="X804" s="20"/>
      <c r="Y804" s="20"/>
      <c r="Z804" s="20"/>
      <c r="AA804" s="20"/>
      <c r="AB804" s="20"/>
      <c r="AC804" s="20"/>
      <c r="AD804" s="2"/>
      <c r="AE804" s="20"/>
      <c r="AF804" s="20"/>
      <c r="AG804" s="20"/>
      <c r="AH804" s="20"/>
      <c r="AI804" s="20"/>
      <c r="AJ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17"/>
      <c r="X805" s="17"/>
      <c r="Y805" s="17"/>
      <c r="Z805" s="17"/>
      <c r="AA805" s="17"/>
      <c r="AB805" s="17"/>
      <c r="AC805" s="17"/>
      <c r="AD805" s="2"/>
      <c r="AE805" s="17"/>
      <c r="AF805" s="17"/>
      <c r="AG805" s="17"/>
      <c r="AH805" s="17"/>
      <c r="AI805" s="17"/>
      <c r="AJ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0"/>
      <c r="X806" s="20"/>
      <c r="Y806" s="20"/>
      <c r="Z806" s="20"/>
      <c r="AA806" s="20"/>
      <c r="AB806" s="20"/>
      <c r="AC806" s="20"/>
      <c r="AD806" s="2"/>
      <c r="AE806" s="20"/>
      <c r="AF806" s="20"/>
      <c r="AG806" s="20"/>
      <c r="AH806" s="20"/>
      <c r="AI806" s="20"/>
      <c r="AJ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17"/>
      <c r="X807" s="17"/>
      <c r="Y807" s="17"/>
      <c r="Z807" s="17"/>
      <c r="AA807" s="17"/>
      <c r="AB807" s="17"/>
      <c r="AC807" s="17"/>
      <c r="AD807" s="2"/>
      <c r="AE807" s="17"/>
      <c r="AF807" s="17"/>
      <c r="AG807" s="17"/>
      <c r="AH807" s="17"/>
      <c r="AI807" s="17"/>
      <c r="AJ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0"/>
      <c r="X808" s="20"/>
      <c r="Y808" s="20"/>
      <c r="Z808" s="20"/>
      <c r="AA808" s="20"/>
      <c r="AB808" s="20"/>
      <c r="AC808" s="20"/>
      <c r="AD808" s="2"/>
      <c r="AE808" s="20"/>
      <c r="AF808" s="20"/>
      <c r="AG808" s="20"/>
      <c r="AH808" s="20"/>
      <c r="AI808" s="20"/>
      <c r="AJ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17"/>
      <c r="X809" s="17"/>
      <c r="Y809" s="17"/>
      <c r="Z809" s="17"/>
      <c r="AA809" s="17"/>
      <c r="AB809" s="17"/>
      <c r="AC809" s="17"/>
      <c r="AD809" s="2"/>
      <c r="AE809" s="17"/>
      <c r="AF809" s="17"/>
      <c r="AG809" s="17"/>
      <c r="AH809" s="17"/>
      <c r="AI809" s="17"/>
      <c r="AJ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0"/>
      <c r="X810" s="20"/>
      <c r="Y810" s="20"/>
      <c r="Z810" s="20"/>
      <c r="AA810" s="20"/>
      <c r="AB810" s="20"/>
      <c r="AC810" s="20"/>
      <c r="AD810" s="2"/>
      <c r="AE810" s="20"/>
      <c r="AF810" s="20"/>
      <c r="AG810" s="20"/>
      <c r="AH810" s="20"/>
      <c r="AI810" s="20"/>
      <c r="AJ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17"/>
      <c r="X811" s="17"/>
      <c r="Y811" s="17"/>
      <c r="Z811" s="17"/>
      <c r="AA811" s="17"/>
      <c r="AB811" s="17"/>
      <c r="AC811" s="17"/>
      <c r="AD811" s="2"/>
      <c r="AE811" s="17"/>
      <c r="AF811" s="17"/>
      <c r="AG811" s="17"/>
      <c r="AH811" s="17"/>
      <c r="AI811" s="17"/>
      <c r="AJ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0"/>
      <c r="X812" s="20"/>
      <c r="Y812" s="20"/>
      <c r="Z812" s="20"/>
      <c r="AA812" s="20"/>
      <c r="AB812" s="20"/>
      <c r="AC812" s="20"/>
      <c r="AD812" s="2"/>
      <c r="AE812" s="20"/>
      <c r="AF812" s="20"/>
      <c r="AG812" s="20"/>
      <c r="AH812" s="20"/>
      <c r="AI812" s="20"/>
      <c r="AJ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17"/>
      <c r="X813" s="17"/>
      <c r="Y813" s="17"/>
      <c r="Z813" s="17"/>
      <c r="AA813" s="17"/>
      <c r="AB813" s="17"/>
      <c r="AC813" s="17"/>
      <c r="AD813" s="2"/>
      <c r="AE813" s="17"/>
      <c r="AF813" s="17"/>
      <c r="AG813" s="17"/>
      <c r="AH813" s="17"/>
      <c r="AI813" s="17"/>
      <c r="AJ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0"/>
      <c r="X814" s="20"/>
      <c r="Y814" s="20"/>
      <c r="Z814" s="20"/>
      <c r="AA814" s="20"/>
      <c r="AB814" s="20"/>
      <c r="AC814" s="20"/>
      <c r="AD814" s="2"/>
      <c r="AE814" s="20"/>
      <c r="AF814" s="20"/>
      <c r="AG814" s="20"/>
      <c r="AH814" s="20"/>
      <c r="AI814" s="20"/>
      <c r="AJ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17"/>
      <c r="X815" s="17"/>
      <c r="Y815" s="17"/>
      <c r="Z815" s="17"/>
      <c r="AA815" s="17"/>
      <c r="AB815" s="17"/>
      <c r="AC815" s="17"/>
      <c r="AD815" s="2"/>
      <c r="AE815" s="17"/>
      <c r="AF815" s="17"/>
      <c r="AG815" s="17"/>
      <c r="AH815" s="17"/>
      <c r="AI815" s="17"/>
      <c r="AJ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0"/>
      <c r="X816" s="20"/>
      <c r="Y816" s="20"/>
      <c r="Z816" s="20"/>
      <c r="AA816" s="20"/>
      <c r="AB816" s="20"/>
      <c r="AC816" s="20"/>
      <c r="AD816" s="2"/>
      <c r="AE816" s="20"/>
      <c r="AF816" s="20"/>
      <c r="AG816" s="20"/>
      <c r="AH816" s="20"/>
      <c r="AI816" s="20"/>
      <c r="AJ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17"/>
      <c r="X817" s="17"/>
      <c r="Y817" s="17"/>
      <c r="Z817" s="17"/>
      <c r="AA817" s="17"/>
      <c r="AB817" s="17"/>
      <c r="AC817" s="17"/>
      <c r="AD817" s="2"/>
      <c r="AE817" s="17"/>
      <c r="AF817" s="17"/>
      <c r="AG817" s="17"/>
      <c r="AH817" s="17"/>
      <c r="AI817" s="17"/>
      <c r="AJ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0"/>
      <c r="X818" s="20"/>
      <c r="Y818" s="20"/>
      <c r="Z818" s="20"/>
      <c r="AA818" s="20"/>
      <c r="AB818" s="20"/>
      <c r="AC818" s="20"/>
      <c r="AD818" s="2"/>
      <c r="AE818" s="20"/>
      <c r="AF818" s="20"/>
      <c r="AG818" s="20"/>
      <c r="AH818" s="20"/>
      <c r="AI818" s="20"/>
      <c r="AJ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17"/>
      <c r="X819" s="17"/>
      <c r="Y819" s="17"/>
      <c r="Z819" s="17"/>
      <c r="AA819" s="17"/>
      <c r="AB819" s="17"/>
      <c r="AC819" s="17"/>
      <c r="AD819" s="2"/>
      <c r="AE819" s="17"/>
      <c r="AF819" s="17"/>
      <c r="AG819" s="17"/>
      <c r="AH819" s="17"/>
      <c r="AI819" s="17"/>
      <c r="AJ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0"/>
      <c r="X820" s="20"/>
      <c r="Y820" s="20"/>
      <c r="Z820" s="20"/>
      <c r="AA820" s="20"/>
      <c r="AB820" s="20"/>
      <c r="AC820" s="20"/>
      <c r="AD820" s="2"/>
      <c r="AE820" s="20"/>
      <c r="AF820" s="20"/>
      <c r="AG820" s="20"/>
      <c r="AH820" s="20"/>
      <c r="AI820" s="20"/>
      <c r="AJ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17"/>
      <c r="X821" s="17"/>
      <c r="Y821" s="17"/>
      <c r="Z821" s="17"/>
      <c r="AA821" s="17"/>
      <c r="AB821" s="17"/>
      <c r="AC821" s="17"/>
      <c r="AD821" s="2"/>
      <c r="AE821" s="17"/>
      <c r="AF821" s="17"/>
      <c r="AG821" s="17"/>
      <c r="AH821" s="17"/>
      <c r="AI821" s="17"/>
      <c r="AJ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0"/>
      <c r="X822" s="20"/>
      <c r="Y822" s="20"/>
      <c r="Z822" s="20"/>
      <c r="AA822" s="20"/>
      <c r="AB822" s="20"/>
      <c r="AC822" s="20"/>
      <c r="AD822" s="2"/>
      <c r="AE822" s="20"/>
      <c r="AF822" s="20"/>
      <c r="AG822" s="20"/>
      <c r="AH822" s="20"/>
      <c r="AI822" s="20"/>
      <c r="AJ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17"/>
      <c r="X823" s="17"/>
      <c r="Y823" s="17"/>
      <c r="Z823" s="17"/>
      <c r="AA823" s="17"/>
      <c r="AB823" s="17"/>
      <c r="AC823" s="17"/>
      <c r="AD823" s="2"/>
      <c r="AE823" s="17"/>
      <c r="AF823" s="17"/>
      <c r="AG823" s="17"/>
      <c r="AH823" s="17"/>
      <c r="AI823" s="17"/>
      <c r="AJ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0"/>
      <c r="X824" s="20"/>
      <c r="Y824" s="20"/>
      <c r="Z824" s="20"/>
      <c r="AA824" s="20"/>
      <c r="AB824" s="20"/>
      <c r="AC824" s="20"/>
      <c r="AD824" s="2"/>
      <c r="AE824" s="20"/>
      <c r="AF824" s="20"/>
      <c r="AG824" s="20"/>
      <c r="AH824" s="20"/>
      <c r="AI824" s="20"/>
      <c r="AJ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17"/>
      <c r="X825" s="17"/>
      <c r="Y825" s="17"/>
      <c r="Z825" s="17"/>
      <c r="AA825" s="17"/>
      <c r="AB825" s="17"/>
      <c r="AC825" s="17"/>
      <c r="AD825" s="2"/>
      <c r="AE825" s="17"/>
      <c r="AF825" s="17"/>
      <c r="AG825" s="17"/>
      <c r="AH825" s="17"/>
      <c r="AI825" s="17"/>
      <c r="AJ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0"/>
      <c r="X826" s="20"/>
      <c r="Y826" s="20"/>
      <c r="Z826" s="20"/>
      <c r="AA826" s="20"/>
      <c r="AB826" s="20"/>
      <c r="AC826" s="20"/>
      <c r="AD826" s="2"/>
      <c r="AE826" s="20"/>
      <c r="AF826" s="20"/>
      <c r="AG826" s="20"/>
      <c r="AH826" s="20"/>
      <c r="AI826" s="20"/>
      <c r="AJ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17"/>
      <c r="X827" s="17"/>
      <c r="Y827" s="17"/>
      <c r="Z827" s="17"/>
      <c r="AA827" s="17"/>
      <c r="AB827" s="17"/>
      <c r="AC827" s="17"/>
      <c r="AD827" s="2"/>
      <c r="AE827" s="17"/>
      <c r="AF827" s="17"/>
      <c r="AG827" s="17"/>
      <c r="AH827" s="17"/>
      <c r="AI827" s="17"/>
      <c r="AJ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0"/>
      <c r="X828" s="20"/>
      <c r="Y828" s="20"/>
      <c r="Z828" s="20"/>
      <c r="AA828" s="20"/>
      <c r="AB828" s="20"/>
      <c r="AC828" s="20"/>
      <c r="AD828" s="2"/>
      <c r="AE828" s="20"/>
      <c r="AF828" s="20"/>
      <c r="AG828" s="20"/>
      <c r="AH828" s="20"/>
      <c r="AI828" s="20"/>
      <c r="AJ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17"/>
      <c r="X829" s="17"/>
      <c r="Y829" s="17"/>
      <c r="Z829" s="17"/>
      <c r="AA829" s="17"/>
      <c r="AB829" s="17"/>
      <c r="AC829" s="17"/>
      <c r="AD829" s="2"/>
      <c r="AE829" s="17"/>
      <c r="AF829" s="17"/>
      <c r="AG829" s="17"/>
      <c r="AH829" s="17"/>
      <c r="AI829" s="17"/>
      <c r="AJ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0"/>
      <c r="X830" s="20"/>
      <c r="Y830" s="20"/>
      <c r="Z830" s="20"/>
      <c r="AA830" s="20"/>
      <c r="AB830" s="20"/>
      <c r="AC830" s="20"/>
      <c r="AD830" s="2"/>
      <c r="AE830" s="20"/>
      <c r="AF830" s="20"/>
      <c r="AG830" s="20"/>
      <c r="AH830" s="20"/>
      <c r="AI830" s="20"/>
      <c r="AJ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17"/>
      <c r="X831" s="17"/>
      <c r="Y831" s="17"/>
      <c r="Z831" s="17"/>
      <c r="AA831" s="17"/>
      <c r="AB831" s="17"/>
      <c r="AC831" s="17"/>
      <c r="AD831" s="2"/>
      <c r="AE831" s="17"/>
      <c r="AF831" s="17"/>
      <c r="AG831" s="17"/>
      <c r="AH831" s="17"/>
      <c r="AI831" s="17"/>
      <c r="AJ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0"/>
      <c r="X832" s="20"/>
      <c r="Y832" s="20"/>
      <c r="Z832" s="20"/>
      <c r="AA832" s="20"/>
      <c r="AB832" s="20"/>
      <c r="AC832" s="20"/>
      <c r="AD832" s="2"/>
      <c r="AE832" s="20"/>
      <c r="AF832" s="20"/>
      <c r="AG832" s="20"/>
      <c r="AH832" s="20"/>
      <c r="AI832" s="20"/>
      <c r="AJ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17"/>
      <c r="X833" s="17"/>
      <c r="Y833" s="17"/>
      <c r="Z833" s="17"/>
      <c r="AA833" s="17"/>
      <c r="AB833" s="17"/>
      <c r="AC833" s="17"/>
      <c r="AD833" s="2"/>
      <c r="AE833" s="17"/>
      <c r="AF833" s="17"/>
      <c r="AG833" s="17"/>
      <c r="AH833" s="17"/>
      <c r="AI833" s="17"/>
      <c r="AJ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0"/>
      <c r="X834" s="20"/>
      <c r="Y834" s="20"/>
      <c r="Z834" s="20"/>
      <c r="AA834" s="20"/>
      <c r="AB834" s="20"/>
      <c r="AC834" s="20"/>
      <c r="AD834" s="2"/>
      <c r="AE834" s="20"/>
      <c r="AF834" s="20"/>
      <c r="AG834" s="20"/>
      <c r="AH834" s="20"/>
      <c r="AI834" s="20"/>
      <c r="AJ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17"/>
      <c r="X835" s="17"/>
      <c r="Y835" s="17"/>
      <c r="Z835" s="17"/>
      <c r="AA835" s="17"/>
      <c r="AB835" s="17"/>
      <c r="AC835" s="17"/>
      <c r="AD835" s="2"/>
      <c r="AE835" s="17"/>
      <c r="AF835" s="17"/>
      <c r="AG835" s="17"/>
      <c r="AH835" s="17"/>
      <c r="AI835" s="17"/>
      <c r="AJ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0"/>
      <c r="X836" s="20"/>
      <c r="Y836" s="20"/>
      <c r="Z836" s="20"/>
      <c r="AA836" s="20"/>
      <c r="AB836" s="20"/>
      <c r="AC836" s="20"/>
      <c r="AD836" s="2"/>
      <c r="AE836" s="20"/>
      <c r="AF836" s="20"/>
      <c r="AG836" s="20"/>
      <c r="AH836" s="20"/>
      <c r="AI836" s="20"/>
      <c r="AJ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17"/>
      <c r="X837" s="17"/>
      <c r="Y837" s="17"/>
      <c r="Z837" s="17"/>
      <c r="AA837" s="17"/>
      <c r="AB837" s="17"/>
      <c r="AC837" s="17"/>
      <c r="AD837" s="2"/>
      <c r="AE837" s="17"/>
      <c r="AF837" s="17"/>
      <c r="AG837" s="17"/>
      <c r="AH837" s="17"/>
      <c r="AI837" s="17"/>
      <c r="AJ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0"/>
      <c r="X838" s="20"/>
      <c r="Y838" s="20"/>
      <c r="Z838" s="20"/>
      <c r="AA838" s="20"/>
      <c r="AB838" s="20"/>
      <c r="AC838" s="20"/>
      <c r="AD838" s="2"/>
      <c r="AE838" s="20"/>
      <c r="AF838" s="20"/>
      <c r="AG838" s="20"/>
      <c r="AH838" s="20"/>
      <c r="AI838" s="20"/>
      <c r="AJ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17"/>
      <c r="X839" s="17"/>
      <c r="Y839" s="17"/>
      <c r="Z839" s="17"/>
      <c r="AA839" s="17"/>
      <c r="AB839" s="17"/>
      <c r="AC839" s="17"/>
      <c r="AD839" s="2"/>
      <c r="AE839" s="17"/>
      <c r="AF839" s="17"/>
      <c r="AG839" s="17"/>
      <c r="AH839" s="17"/>
      <c r="AI839" s="17"/>
      <c r="AJ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0"/>
      <c r="X840" s="20"/>
      <c r="Y840" s="20"/>
      <c r="Z840" s="20"/>
      <c r="AA840" s="20"/>
      <c r="AB840" s="20"/>
      <c r="AC840" s="20"/>
      <c r="AD840" s="2"/>
      <c r="AE840" s="20"/>
      <c r="AF840" s="20"/>
      <c r="AG840" s="20"/>
      <c r="AH840" s="20"/>
      <c r="AI840" s="20"/>
      <c r="AJ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17"/>
      <c r="X841" s="17"/>
      <c r="Y841" s="17"/>
      <c r="Z841" s="17"/>
      <c r="AA841" s="17"/>
      <c r="AB841" s="17"/>
      <c r="AC841" s="17"/>
      <c r="AD841" s="2"/>
      <c r="AE841" s="17"/>
      <c r="AF841" s="17"/>
      <c r="AG841" s="17"/>
      <c r="AH841" s="17"/>
      <c r="AI841" s="17"/>
      <c r="AJ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0"/>
      <c r="X842" s="20"/>
      <c r="Y842" s="20"/>
      <c r="Z842" s="20"/>
      <c r="AA842" s="20"/>
      <c r="AB842" s="20"/>
      <c r="AC842" s="20"/>
      <c r="AD842" s="2"/>
      <c r="AE842" s="20"/>
      <c r="AF842" s="20"/>
      <c r="AG842" s="20"/>
      <c r="AH842" s="20"/>
      <c r="AI842" s="20"/>
      <c r="AJ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17"/>
      <c r="X843" s="17"/>
      <c r="Y843" s="17"/>
      <c r="Z843" s="17"/>
      <c r="AA843" s="17"/>
      <c r="AB843" s="17"/>
      <c r="AC843" s="17"/>
      <c r="AD843" s="2"/>
      <c r="AE843" s="17"/>
      <c r="AF843" s="17"/>
      <c r="AG843" s="17"/>
      <c r="AH843" s="17"/>
      <c r="AI843" s="17"/>
      <c r="AJ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0"/>
      <c r="X844" s="20"/>
      <c r="Y844" s="20"/>
      <c r="Z844" s="20"/>
      <c r="AA844" s="20"/>
      <c r="AB844" s="20"/>
      <c r="AC844" s="20"/>
      <c r="AD844" s="2"/>
      <c r="AE844" s="20"/>
      <c r="AF844" s="20"/>
      <c r="AG844" s="20"/>
      <c r="AH844" s="20"/>
      <c r="AI844" s="20"/>
      <c r="AJ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17"/>
      <c r="X845" s="17"/>
      <c r="Y845" s="17"/>
      <c r="Z845" s="17"/>
      <c r="AA845" s="17"/>
      <c r="AB845" s="17"/>
      <c r="AC845" s="17"/>
      <c r="AD845" s="2"/>
      <c r="AE845" s="17"/>
      <c r="AF845" s="17"/>
      <c r="AG845" s="17"/>
      <c r="AH845" s="17"/>
      <c r="AI845" s="17"/>
      <c r="AJ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0"/>
      <c r="X846" s="20"/>
      <c r="Y846" s="20"/>
      <c r="Z846" s="20"/>
      <c r="AA846" s="20"/>
      <c r="AB846" s="20"/>
      <c r="AC846" s="20"/>
      <c r="AD846" s="2"/>
      <c r="AE846" s="20"/>
      <c r="AF846" s="20"/>
      <c r="AG846" s="20"/>
      <c r="AH846" s="20"/>
      <c r="AI846" s="20"/>
      <c r="AJ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17"/>
      <c r="X847" s="17"/>
      <c r="Y847" s="17"/>
      <c r="Z847" s="17"/>
      <c r="AA847" s="17"/>
      <c r="AB847" s="17"/>
      <c r="AC847" s="17"/>
      <c r="AD847" s="2"/>
      <c r="AE847" s="17"/>
      <c r="AF847" s="17"/>
      <c r="AG847" s="17"/>
      <c r="AH847" s="17"/>
      <c r="AI847" s="17"/>
      <c r="AJ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0"/>
      <c r="X848" s="20"/>
      <c r="Y848" s="20"/>
      <c r="Z848" s="20"/>
      <c r="AA848" s="20"/>
      <c r="AB848" s="20"/>
      <c r="AC848" s="20"/>
      <c r="AD848" s="2"/>
      <c r="AE848" s="20"/>
      <c r="AF848" s="20"/>
      <c r="AG848" s="20"/>
      <c r="AH848" s="20"/>
      <c r="AI848" s="20"/>
      <c r="AJ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17"/>
      <c r="X849" s="17"/>
      <c r="Y849" s="17"/>
      <c r="Z849" s="17"/>
      <c r="AA849" s="17"/>
      <c r="AB849" s="17"/>
      <c r="AC849" s="17"/>
      <c r="AD849" s="2"/>
      <c r="AE849" s="17"/>
      <c r="AF849" s="17"/>
      <c r="AG849" s="17"/>
      <c r="AH849" s="17"/>
      <c r="AI849" s="17"/>
      <c r="AJ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0"/>
      <c r="X850" s="20"/>
      <c r="Y850" s="20"/>
      <c r="Z850" s="20"/>
      <c r="AA850" s="20"/>
      <c r="AB850" s="20"/>
      <c r="AC850" s="20"/>
      <c r="AD850" s="2"/>
      <c r="AE850" s="20"/>
      <c r="AF850" s="20"/>
      <c r="AG850" s="20"/>
      <c r="AH850" s="20"/>
      <c r="AI850" s="20"/>
      <c r="AJ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17"/>
      <c r="X851" s="17"/>
      <c r="Y851" s="17"/>
      <c r="Z851" s="17"/>
      <c r="AA851" s="17"/>
      <c r="AB851" s="17"/>
      <c r="AC851" s="17"/>
      <c r="AD851" s="2"/>
      <c r="AE851" s="17"/>
      <c r="AF851" s="17"/>
      <c r="AG851" s="17"/>
      <c r="AH851" s="17"/>
      <c r="AI851" s="17"/>
      <c r="AJ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0"/>
      <c r="X852" s="20"/>
      <c r="Y852" s="20"/>
      <c r="Z852" s="20"/>
      <c r="AA852" s="20"/>
      <c r="AB852" s="20"/>
      <c r="AC852" s="20"/>
      <c r="AD852" s="2"/>
      <c r="AE852" s="20"/>
      <c r="AF852" s="20"/>
      <c r="AG852" s="20"/>
      <c r="AH852" s="20"/>
      <c r="AI852" s="20"/>
      <c r="AJ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17"/>
      <c r="X853" s="17"/>
      <c r="Y853" s="17"/>
      <c r="Z853" s="17"/>
      <c r="AA853" s="17"/>
      <c r="AB853" s="17"/>
      <c r="AC853" s="17"/>
      <c r="AD853" s="2"/>
      <c r="AE853" s="17"/>
      <c r="AF853" s="17"/>
      <c r="AG853" s="17"/>
      <c r="AH853" s="17"/>
      <c r="AI853" s="17"/>
      <c r="AJ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0"/>
      <c r="X854" s="20"/>
      <c r="Y854" s="20"/>
      <c r="Z854" s="20"/>
      <c r="AA854" s="20"/>
      <c r="AB854" s="20"/>
      <c r="AC854" s="20"/>
      <c r="AD854" s="2"/>
      <c r="AE854" s="20"/>
      <c r="AF854" s="20"/>
      <c r="AG854" s="20"/>
      <c r="AH854" s="20"/>
      <c r="AI854" s="20"/>
      <c r="AJ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17"/>
      <c r="X855" s="17"/>
      <c r="Y855" s="17"/>
      <c r="Z855" s="17"/>
      <c r="AA855" s="17"/>
      <c r="AB855" s="17"/>
      <c r="AC855" s="17"/>
      <c r="AD855" s="2"/>
      <c r="AE855" s="17"/>
      <c r="AF855" s="17"/>
      <c r="AG855" s="17"/>
      <c r="AH855" s="17"/>
      <c r="AI855" s="17"/>
      <c r="AJ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0"/>
      <c r="X856" s="20"/>
      <c r="Y856" s="20"/>
      <c r="Z856" s="20"/>
      <c r="AA856" s="20"/>
      <c r="AB856" s="20"/>
      <c r="AC856" s="20"/>
      <c r="AD856" s="2"/>
      <c r="AE856" s="20"/>
      <c r="AF856" s="20"/>
      <c r="AG856" s="20"/>
      <c r="AH856" s="20"/>
      <c r="AI856" s="20"/>
      <c r="AJ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17"/>
      <c r="X857" s="17"/>
      <c r="Y857" s="17"/>
      <c r="Z857" s="17"/>
      <c r="AA857" s="17"/>
      <c r="AB857" s="17"/>
      <c r="AC857" s="17"/>
      <c r="AD857" s="2"/>
      <c r="AE857" s="17"/>
      <c r="AF857" s="17"/>
      <c r="AG857" s="17"/>
      <c r="AH857" s="17"/>
      <c r="AI857" s="17"/>
      <c r="AJ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0"/>
      <c r="X858" s="20"/>
      <c r="Y858" s="20"/>
      <c r="Z858" s="20"/>
      <c r="AA858" s="20"/>
      <c r="AB858" s="20"/>
      <c r="AC858" s="20"/>
      <c r="AD858" s="2"/>
      <c r="AE858" s="20"/>
      <c r="AF858" s="20"/>
      <c r="AG858" s="20"/>
      <c r="AH858" s="20"/>
      <c r="AI858" s="20"/>
      <c r="AJ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17"/>
      <c r="X859" s="17"/>
      <c r="Y859" s="17"/>
      <c r="Z859" s="17"/>
      <c r="AA859" s="17"/>
      <c r="AB859" s="17"/>
      <c r="AC859" s="17"/>
      <c r="AD859" s="2"/>
      <c r="AE859" s="17"/>
      <c r="AF859" s="17"/>
      <c r="AG859" s="17"/>
      <c r="AH859" s="17"/>
      <c r="AI859" s="17"/>
      <c r="AJ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0"/>
      <c r="X860" s="20"/>
      <c r="Y860" s="20"/>
      <c r="Z860" s="20"/>
      <c r="AA860" s="20"/>
      <c r="AB860" s="20"/>
      <c r="AC860" s="20"/>
      <c r="AD860" s="2"/>
      <c r="AE860" s="20"/>
      <c r="AF860" s="20"/>
      <c r="AG860" s="20"/>
      <c r="AH860" s="20"/>
      <c r="AI860" s="20"/>
      <c r="AJ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17"/>
      <c r="X861" s="17"/>
      <c r="Y861" s="17"/>
      <c r="Z861" s="17"/>
      <c r="AA861" s="17"/>
      <c r="AB861" s="17"/>
      <c r="AC861" s="17"/>
      <c r="AD861" s="2"/>
      <c r="AE861" s="17"/>
      <c r="AF861" s="17"/>
      <c r="AG861" s="17"/>
      <c r="AH861" s="17"/>
      <c r="AI861" s="17"/>
      <c r="AJ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0"/>
      <c r="X862" s="20"/>
      <c r="Y862" s="20"/>
      <c r="Z862" s="20"/>
      <c r="AA862" s="20"/>
      <c r="AB862" s="20"/>
      <c r="AC862" s="20"/>
      <c r="AD862" s="2"/>
      <c r="AE862" s="20"/>
      <c r="AF862" s="20"/>
      <c r="AG862" s="20"/>
      <c r="AH862" s="20"/>
      <c r="AI862" s="20"/>
      <c r="AJ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17"/>
      <c r="X863" s="17"/>
      <c r="Y863" s="17"/>
      <c r="Z863" s="17"/>
      <c r="AA863" s="17"/>
      <c r="AB863" s="17"/>
      <c r="AC863" s="17"/>
      <c r="AD863" s="2"/>
      <c r="AE863" s="17"/>
      <c r="AF863" s="17"/>
      <c r="AG863" s="17"/>
      <c r="AH863" s="17"/>
      <c r="AI863" s="17"/>
      <c r="AJ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0"/>
      <c r="X864" s="20"/>
      <c r="Y864" s="20"/>
      <c r="Z864" s="20"/>
      <c r="AA864" s="20"/>
      <c r="AB864" s="20"/>
      <c r="AC864" s="20"/>
      <c r="AD864" s="2"/>
      <c r="AE864" s="20"/>
      <c r="AF864" s="20"/>
      <c r="AG864" s="20"/>
      <c r="AH864" s="20"/>
      <c r="AI864" s="20"/>
      <c r="AJ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17"/>
      <c r="X865" s="17"/>
      <c r="Y865" s="17"/>
      <c r="Z865" s="17"/>
      <c r="AA865" s="17"/>
      <c r="AB865" s="17"/>
      <c r="AC865" s="17"/>
      <c r="AD865" s="2"/>
      <c r="AE865" s="17"/>
      <c r="AF865" s="17"/>
      <c r="AG865" s="17"/>
      <c r="AH865" s="17"/>
      <c r="AI865" s="17"/>
      <c r="AJ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0"/>
      <c r="X866" s="20"/>
      <c r="Y866" s="20"/>
      <c r="Z866" s="20"/>
      <c r="AA866" s="20"/>
      <c r="AB866" s="20"/>
      <c r="AC866" s="20"/>
      <c r="AD866" s="2"/>
      <c r="AE866" s="20"/>
      <c r="AF866" s="20"/>
      <c r="AG866" s="20"/>
      <c r="AH866" s="20"/>
      <c r="AI866" s="20"/>
      <c r="AJ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17"/>
      <c r="X867" s="17"/>
      <c r="Y867" s="17"/>
      <c r="Z867" s="17"/>
      <c r="AA867" s="17"/>
      <c r="AB867" s="17"/>
      <c r="AC867" s="17"/>
      <c r="AD867" s="2"/>
      <c r="AE867" s="17"/>
      <c r="AF867" s="17"/>
      <c r="AG867" s="17"/>
      <c r="AH867" s="17"/>
      <c r="AI867" s="17"/>
      <c r="AJ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0"/>
      <c r="X868" s="20"/>
      <c r="Y868" s="20"/>
      <c r="Z868" s="20"/>
      <c r="AA868" s="20"/>
      <c r="AB868" s="20"/>
      <c r="AC868" s="20"/>
      <c r="AD868" s="2"/>
      <c r="AE868" s="20"/>
      <c r="AF868" s="20"/>
      <c r="AG868" s="20"/>
      <c r="AH868" s="20"/>
      <c r="AI868" s="20"/>
      <c r="AJ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17"/>
      <c r="X869" s="17"/>
      <c r="Y869" s="17"/>
      <c r="Z869" s="17"/>
      <c r="AA869" s="17"/>
      <c r="AB869" s="17"/>
      <c r="AC869" s="17"/>
      <c r="AD869" s="2"/>
      <c r="AE869" s="17"/>
      <c r="AF869" s="17"/>
      <c r="AG869" s="17"/>
      <c r="AH869" s="17"/>
      <c r="AI869" s="17"/>
      <c r="AJ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0"/>
      <c r="X870" s="20"/>
      <c r="Y870" s="20"/>
      <c r="Z870" s="20"/>
      <c r="AA870" s="20"/>
      <c r="AB870" s="20"/>
      <c r="AC870" s="20"/>
      <c r="AD870" s="2"/>
      <c r="AE870" s="20"/>
      <c r="AF870" s="20"/>
      <c r="AG870" s="20"/>
      <c r="AH870" s="20"/>
      <c r="AI870" s="20"/>
      <c r="AJ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17"/>
      <c r="X871" s="17"/>
      <c r="Y871" s="17"/>
      <c r="Z871" s="17"/>
      <c r="AA871" s="17"/>
      <c r="AB871" s="17"/>
      <c r="AC871" s="17"/>
      <c r="AD871" s="2"/>
      <c r="AE871" s="17"/>
      <c r="AF871" s="17"/>
      <c r="AG871" s="17"/>
      <c r="AH871" s="17"/>
      <c r="AI871" s="17"/>
      <c r="AJ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0"/>
      <c r="X872" s="20"/>
      <c r="Y872" s="20"/>
      <c r="Z872" s="20"/>
      <c r="AA872" s="20"/>
      <c r="AB872" s="20"/>
      <c r="AC872" s="20"/>
      <c r="AD872" s="2"/>
      <c r="AE872" s="20"/>
      <c r="AF872" s="20"/>
      <c r="AG872" s="20"/>
      <c r="AH872" s="20"/>
      <c r="AI872" s="20"/>
      <c r="AJ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17"/>
      <c r="X873" s="17"/>
      <c r="Y873" s="17"/>
      <c r="Z873" s="17"/>
      <c r="AA873" s="17"/>
      <c r="AB873" s="17"/>
      <c r="AC873" s="17"/>
      <c r="AD873" s="2"/>
      <c r="AE873" s="17"/>
      <c r="AF873" s="17"/>
      <c r="AG873" s="17"/>
      <c r="AH873" s="17"/>
      <c r="AI873" s="17"/>
      <c r="AJ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0"/>
      <c r="X874" s="20"/>
      <c r="Y874" s="20"/>
      <c r="Z874" s="20"/>
      <c r="AA874" s="20"/>
      <c r="AB874" s="20"/>
      <c r="AC874" s="20"/>
      <c r="AD874" s="2"/>
      <c r="AE874" s="20"/>
      <c r="AF874" s="20"/>
      <c r="AG874" s="20"/>
      <c r="AH874" s="20"/>
      <c r="AI874" s="20"/>
      <c r="AJ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17"/>
      <c r="X875" s="17"/>
      <c r="Y875" s="17"/>
      <c r="Z875" s="17"/>
      <c r="AA875" s="17"/>
      <c r="AB875" s="17"/>
      <c r="AC875" s="17"/>
      <c r="AD875" s="2"/>
      <c r="AE875" s="17"/>
      <c r="AF875" s="17"/>
      <c r="AG875" s="17"/>
      <c r="AH875" s="17"/>
      <c r="AI875" s="17"/>
      <c r="AJ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0"/>
      <c r="X876" s="20"/>
      <c r="Y876" s="20"/>
      <c r="Z876" s="20"/>
      <c r="AA876" s="20"/>
      <c r="AB876" s="20"/>
      <c r="AC876" s="20"/>
      <c r="AD876" s="2"/>
      <c r="AE876" s="20"/>
      <c r="AF876" s="20"/>
      <c r="AG876" s="20"/>
      <c r="AH876" s="20"/>
      <c r="AI876" s="20"/>
      <c r="AJ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17"/>
      <c r="X877" s="17"/>
      <c r="Y877" s="17"/>
      <c r="Z877" s="17"/>
      <c r="AA877" s="17"/>
      <c r="AB877" s="17"/>
      <c r="AC877" s="17"/>
      <c r="AD877" s="2"/>
      <c r="AE877" s="17"/>
      <c r="AF877" s="17"/>
      <c r="AG877" s="17"/>
      <c r="AH877" s="17"/>
      <c r="AI877" s="17"/>
      <c r="AJ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0"/>
      <c r="X878" s="20"/>
      <c r="Y878" s="20"/>
      <c r="Z878" s="20"/>
      <c r="AA878" s="20"/>
      <c r="AB878" s="20"/>
      <c r="AC878" s="20"/>
      <c r="AD878" s="2"/>
      <c r="AE878" s="20"/>
      <c r="AF878" s="20"/>
      <c r="AG878" s="20"/>
      <c r="AH878" s="20"/>
      <c r="AI878" s="20"/>
      <c r="AJ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17"/>
      <c r="X879" s="17"/>
      <c r="Y879" s="17"/>
      <c r="Z879" s="17"/>
      <c r="AA879" s="17"/>
      <c r="AB879" s="17"/>
      <c r="AC879" s="17"/>
      <c r="AD879" s="2"/>
      <c r="AE879" s="17"/>
      <c r="AF879" s="17"/>
      <c r="AG879" s="17"/>
      <c r="AH879" s="17"/>
      <c r="AI879" s="17"/>
      <c r="AJ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0"/>
      <c r="X880" s="20"/>
      <c r="Y880" s="20"/>
      <c r="Z880" s="20"/>
      <c r="AA880" s="20"/>
      <c r="AB880" s="20"/>
      <c r="AC880" s="20"/>
      <c r="AD880" s="2"/>
      <c r="AE880" s="20"/>
      <c r="AF880" s="20"/>
      <c r="AG880" s="20"/>
      <c r="AH880" s="20"/>
      <c r="AI880" s="20"/>
      <c r="AJ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17"/>
      <c r="X881" s="17"/>
      <c r="Y881" s="17"/>
      <c r="Z881" s="17"/>
      <c r="AA881" s="17"/>
      <c r="AB881" s="17"/>
      <c r="AC881" s="17"/>
      <c r="AD881" s="2"/>
      <c r="AE881" s="17"/>
      <c r="AF881" s="17"/>
      <c r="AG881" s="17"/>
      <c r="AH881" s="17"/>
      <c r="AI881" s="17"/>
      <c r="AJ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0"/>
      <c r="X882" s="20"/>
      <c r="Y882" s="20"/>
      <c r="Z882" s="20"/>
      <c r="AA882" s="20"/>
      <c r="AB882" s="20"/>
      <c r="AC882" s="20"/>
      <c r="AD882" s="2"/>
      <c r="AE882" s="20"/>
      <c r="AF882" s="20"/>
      <c r="AG882" s="20"/>
      <c r="AH882" s="20"/>
      <c r="AI882" s="20"/>
      <c r="AJ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17"/>
      <c r="X883" s="17"/>
      <c r="Y883" s="17"/>
      <c r="Z883" s="17"/>
      <c r="AA883" s="17"/>
      <c r="AB883" s="17"/>
      <c r="AC883" s="17"/>
      <c r="AD883" s="2"/>
      <c r="AE883" s="17"/>
      <c r="AF883" s="17"/>
      <c r="AG883" s="17"/>
      <c r="AH883" s="17"/>
      <c r="AI883" s="17"/>
      <c r="AJ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0"/>
      <c r="X884" s="20"/>
      <c r="Y884" s="20"/>
      <c r="Z884" s="20"/>
      <c r="AA884" s="20"/>
      <c r="AB884" s="20"/>
      <c r="AC884" s="20"/>
      <c r="AD884" s="2"/>
      <c r="AE884" s="20"/>
      <c r="AF884" s="20"/>
      <c r="AG884" s="20"/>
      <c r="AH884" s="20"/>
      <c r="AI884" s="20"/>
      <c r="AJ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17"/>
      <c r="X885" s="17"/>
      <c r="Y885" s="17"/>
      <c r="Z885" s="17"/>
      <c r="AA885" s="17"/>
      <c r="AB885" s="17"/>
      <c r="AC885" s="17"/>
      <c r="AD885" s="2"/>
      <c r="AE885" s="17"/>
      <c r="AF885" s="17"/>
      <c r="AG885" s="17"/>
      <c r="AH885" s="17"/>
      <c r="AI885" s="17"/>
      <c r="AJ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0"/>
      <c r="X886" s="20"/>
      <c r="Y886" s="20"/>
      <c r="Z886" s="20"/>
      <c r="AA886" s="20"/>
      <c r="AB886" s="20"/>
      <c r="AC886" s="20"/>
      <c r="AD886" s="2"/>
      <c r="AE886" s="20"/>
      <c r="AF886" s="20"/>
      <c r="AG886" s="20"/>
      <c r="AH886" s="20"/>
      <c r="AI886" s="20"/>
      <c r="AJ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17"/>
      <c r="X887" s="17"/>
      <c r="Y887" s="17"/>
      <c r="Z887" s="17"/>
      <c r="AA887" s="17"/>
      <c r="AB887" s="17"/>
      <c r="AC887" s="17"/>
      <c r="AD887" s="2"/>
      <c r="AE887" s="17"/>
      <c r="AF887" s="17"/>
      <c r="AG887" s="17"/>
      <c r="AH887" s="17"/>
      <c r="AI887" s="17"/>
      <c r="AJ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0"/>
      <c r="X888" s="20"/>
      <c r="Y888" s="20"/>
      <c r="Z888" s="20"/>
      <c r="AA888" s="20"/>
      <c r="AB888" s="20"/>
      <c r="AC888" s="20"/>
      <c r="AD888" s="2"/>
      <c r="AE888" s="20"/>
      <c r="AF888" s="20"/>
      <c r="AG888" s="20"/>
      <c r="AH888" s="20"/>
      <c r="AI888" s="20"/>
      <c r="AJ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17"/>
      <c r="X889" s="17"/>
      <c r="Y889" s="17"/>
      <c r="Z889" s="17"/>
      <c r="AA889" s="17"/>
      <c r="AB889" s="17"/>
      <c r="AC889" s="17"/>
      <c r="AD889" s="2"/>
      <c r="AE889" s="17"/>
      <c r="AF889" s="17"/>
      <c r="AG889" s="17"/>
      <c r="AH889" s="17"/>
      <c r="AI889" s="17"/>
      <c r="AJ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0"/>
      <c r="X890" s="20"/>
      <c r="Y890" s="20"/>
      <c r="Z890" s="20"/>
      <c r="AA890" s="20"/>
      <c r="AB890" s="20"/>
      <c r="AC890" s="20"/>
      <c r="AD890" s="2"/>
      <c r="AE890" s="20"/>
      <c r="AF890" s="20"/>
      <c r="AG890" s="20"/>
      <c r="AH890" s="20"/>
      <c r="AI890" s="20"/>
      <c r="AJ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17"/>
      <c r="X891" s="17"/>
      <c r="Y891" s="17"/>
      <c r="Z891" s="17"/>
      <c r="AA891" s="17"/>
      <c r="AB891" s="17"/>
      <c r="AC891" s="17"/>
      <c r="AD891" s="2"/>
      <c r="AE891" s="17"/>
      <c r="AF891" s="17"/>
      <c r="AG891" s="17"/>
      <c r="AH891" s="17"/>
      <c r="AI891" s="17"/>
      <c r="AJ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0"/>
      <c r="X892" s="20"/>
      <c r="Y892" s="20"/>
      <c r="Z892" s="20"/>
      <c r="AA892" s="20"/>
      <c r="AB892" s="20"/>
      <c r="AC892" s="20"/>
      <c r="AD892" s="2"/>
      <c r="AE892" s="20"/>
      <c r="AF892" s="20"/>
      <c r="AG892" s="20"/>
      <c r="AH892" s="20"/>
      <c r="AI892" s="20"/>
      <c r="AJ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17"/>
      <c r="X893" s="17"/>
      <c r="Y893" s="17"/>
      <c r="Z893" s="17"/>
      <c r="AA893" s="17"/>
      <c r="AB893" s="17"/>
      <c r="AC893" s="17"/>
      <c r="AD893" s="2"/>
      <c r="AE893" s="17"/>
      <c r="AF893" s="17"/>
      <c r="AG893" s="17"/>
      <c r="AH893" s="17"/>
      <c r="AI893" s="17"/>
      <c r="AJ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0"/>
      <c r="X894" s="20"/>
      <c r="Y894" s="20"/>
      <c r="Z894" s="20"/>
      <c r="AA894" s="20"/>
      <c r="AB894" s="20"/>
      <c r="AC894" s="20"/>
      <c r="AD894" s="2"/>
      <c r="AE894" s="20"/>
      <c r="AF894" s="20"/>
      <c r="AG894" s="20"/>
      <c r="AH894" s="20"/>
      <c r="AI894" s="20"/>
      <c r="AJ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17"/>
      <c r="X895" s="17"/>
      <c r="Y895" s="17"/>
      <c r="Z895" s="17"/>
      <c r="AA895" s="17"/>
      <c r="AB895" s="17"/>
      <c r="AC895" s="17"/>
      <c r="AD895" s="2"/>
      <c r="AE895" s="17"/>
      <c r="AF895" s="17"/>
      <c r="AG895" s="17"/>
      <c r="AH895" s="17"/>
      <c r="AI895" s="17"/>
      <c r="AJ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0"/>
      <c r="X896" s="20"/>
      <c r="Y896" s="20"/>
      <c r="Z896" s="20"/>
      <c r="AA896" s="20"/>
      <c r="AB896" s="20"/>
      <c r="AC896" s="20"/>
      <c r="AD896" s="2"/>
      <c r="AE896" s="20"/>
      <c r="AF896" s="20"/>
      <c r="AG896" s="20"/>
      <c r="AH896" s="20"/>
      <c r="AI896" s="20"/>
      <c r="AJ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17"/>
      <c r="X897" s="17"/>
      <c r="Y897" s="17"/>
      <c r="Z897" s="17"/>
      <c r="AA897" s="17"/>
      <c r="AB897" s="17"/>
      <c r="AC897" s="17"/>
      <c r="AD897" s="2"/>
      <c r="AE897" s="17"/>
      <c r="AF897" s="17"/>
      <c r="AG897" s="17"/>
      <c r="AH897" s="17"/>
      <c r="AI897" s="17"/>
      <c r="AJ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0"/>
      <c r="X898" s="20"/>
      <c r="Y898" s="20"/>
      <c r="Z898" s="20"/>
      <c r="AA898" s="20"/>
      <c r="AB898" s="20"/>
      <c r="AC898" s="20"/>
      <c r="AD898" s="2"/>
      <c r="AE898" s="20"/>
      <c r="AF898" s="20"/>
      <c r="AG898" s="20"/>
      <c r="AH898" s="20"/>
      <c r="AI898" s="20"/>
      <c r="AJ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17"/>
      <c r="X899" s="17"/>
      <c r="Y899" s="17"/>
      <c r="Z899" s="17"/>
      <c r="AA899" s="17"/>
      <c r="AB899" s="17"/>
      <c r="AC899" s="17"/>
      <c r="AD899" s="2"/>
      <c r="AE899" s="17"/>
      <c r="AF899" s="17"/>
      <c r="AG899" s="17"/>
      <c r="AH899" s="17"/>
      <c r="AI899" s="17"/>
      <c r="AJ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0"/>
      <c r="X900" s="20"/>
      <c r="Y900" s="20"/>
      <c r="Z900" s="20"/>
      <c r="AA900" s="20"/>
      <c r="AB900" s="20"/>
      <c r="AC900" s="20"/>
      <c r="AD900" s="2"/>
      <c r="AE900" s="20"/>
      <c r="AF900" s="20"/>
      <c r="AG900" s="20"/>
      <c r="AH900" s="20"/>
      <c r="AI900" s="20"/>
      <c r="AJ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17"/>
      <c r="X901" s="17"/>
      <c r="Y901" s="17"/>
      <c r="Z901" s="17"/>
      <c r="AA901" s="17"/>
      <c r="AB901" s="17"/>
      <c r="AC901" s="17"/>
      <c r="AD901" s="2"/>
      <c r="AE901" s="17"/>
      <c r="AF901" s="17"/>
      <c r="AG901" s="17"/>
      <c r="AH901" s="17"/>
      <c r="AI901" s="17"/>
      <c r="AJ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0"/>
      <c r="X902" s="20"/>
      <c r="Y902" s="20"/>
      <c r="Z902" s="20"/>
      <c r="AA902" s="20"/>
      <c r="AB902" s="20"/>
      <c r="AC902" s="20"/>
      <c r="AD902" s="2"/>
      <c r="AE902" s="20"/>
      <c r="AF902" s="20"/>
      <c r="AG902" s="20"/>
      <c r="AH902" s="20"/>
      <c r="AI902" s="20"/>
      <c r="AJ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17"/>
      <c r="X903" s="17"/>
      <c r="Y903" s="17"/>
      <c r="Z903" s="17"/>
      <c r="AA903" s="17"/>
      <c r="AB903" s="17"/>
      <c r="AC903" s="17"/>
      <c r="AD903" s="2"/>
      <c r="AE903" s="17"/>
      <c r="AF903" s="17"/>
      <c r="AG903" s="17"/>
      <c r="AH903" s="17"/>
      <c r="AI903" s="17"/>
      <c r="AJ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0"/>
      <c r="X904" s="20"/>
      <c r="Y904" s="20"/>
      <c r="Z904" s="20"/>
      <c r="AA904" s="20"/>
      <c r="AB904" s="20"/>
      <c r="AC904" s="20"/>
      <c r="AD904" s="2"/>
      <c r="AE904" s="20"/>
      <c r="AF904" s="20"/>
      <c r="AG904" s="20"/>
      <c r="AH904" s="20"/>
      <c r="AI904" s="20"/>
      <c r="AJ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17"/>
      <c r="X905" s="17"/>
      <c r="Y905" s="17"/>
      <c r="Z905" s="17"/>
      <c r="AA905" s="17"/>
      <c r="AB905" s="17"/>
      <c r="AC905" s="17"/>
      <c r="AD905" s="2"/>
      <c r="AE905" s="17"/>
      <c r="AF905" s="17"/>
      <c r="AG905" s="17"/>
      <c r="AH905" s="17"/>
      <c r="AI905" s="17"/>
      <c r="AJ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0"/>
      <c r="X906" s="20"/>
      <c r="Y906" s="20"/>
      <c r="Z906" s="20"/>
      <c r="AA906" s="20"/>
      <c r="AB906" s="20"/>
      <c r="AC906" s="20"/>
      <c r="AD906" s="2"/>
      <c r="AE906" s="20"/>
      <c r="AF906" s="20"/>
      <c r="AG906" s="20"/>
      <c r="AH906" s="20"/>
      <c r="AI906" s="20"/>
      <c r="AJ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17"/>
      <c r="X907" s="17"/>
      <c r="Y907" s="17"/>
      <c r="Z907" s="17"/>
      <c r="AA907" s="17"/>
      <c r="AB907" s="17"/>
      <c r="AC907" s="17"/>
      <c r="AD907" s="2"/>
      <c r="AE907" s="17"/>
      <c r="AF907" s="17"/>
      <c r="AG907" s="17"/>
      <c r="AH907" s="17"/>
      <c r="AI907" s="17"/>
      <c r="AJ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0"/>
      <c r="X908" s="20"/>
      <c r="Y908" s="20"/>
      <c r="Z908" s="20"/>
      <c r="AA908" s="20"/>
      <c r="AB908" s="20"/>
      <c r="AC908" s="20"/>
      <c r="AD908" s="2"/>
      <c r="AE908" s="20"/>
      <c r="AF908" s="20"/>
      <c r="AG908" s="20"/>
      <c r="AH908" s="20"/>
      <c r="AI908" s="20"/>
      <c r="AJ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17"/>
      <c r="X909" s="17"/>
      <c r="Y909" s="17"/>
      <c r="Z909" s="17"/>
      <c r="AA909" s="17"/>
      <c r="AB909" s="17"/>
      <c r="AC909" s="17"/>
      <c r="AD909" s="2"/>
      <c r="AE909" s="17"/>
      <c r="AF909" s="17"/>
      <c r="AG909" s="17"/>
      <c r="AH909" s="17"/>
      <c r="AI909" s="17"/>
      <c r="AJ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0"/>
      <c r="X910" s="20"/>
      <c r="Y910" s="20"/>
      <c r="Z910" s="20"/>
      <c r="AA910" s="20"/>
      <c r="AB910" s="20"/>
      <c r="AC910" s="20"/>
      <c r="AD910" s="2"/>
      <c r="AE910" s="20"/>
      <c r="AF910" s="20"/>
      <c r="AG910" s="20"/>
      <c r="AH910" s="20"/>
      <c r="AI910" s="20"/>
      <c r="AJ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17"/>
      <c r="X911" s="17"/>
      <c r="Y911" s="17"/>
      <c r="Z911" s="17"/>
      <c r="AA911" s="17"/>
      <c r="AB911" s="17"/>
      <c r="AC911" s="17"/>
      <c r="AD911" s="2"/>
      <c r="AE911" s="17"/>
      <c r="AF911" s="17"/>
      <c r="AG911" s="17"/>
      <c r="AH911" s="17"/>
      <c r="AI911" s="17"/>
      <c r="AJ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0"/>
      <c r="X912" s="20"/>
      <c r="Y912" s="20"/>
      <c r="Z912" s="20"/>
      <c r="AA912" s="20"/>
      <c r="AB912" s="20"/>
      <c r="AC912" s="20"/>
      <c r="AD912" s="2"/>
      <c r="AE912" s="20"/>
      <c r="AF912" s="20"/>
      <c r="AG912" s="20"/>
      <c r="AH912" s="20"/>
      <c r="AI912" s="20"/>
      <c r="AJ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17"/>
      <c r="X913" s="17"/>
      <c r="Y913" s="17"/>
      <c r="Z913" s="17"/>
      <c r="AA913" s="17"/>
      <c r="AB913" s="17"/>
      <c r="AC913" s="17"/>
      <c r="AD913" s="2"/>
      <c r="AE913" s="17"/>
      <c r="AF913" s="17"/>
      <c r="AG913" s="17"/>
      <c r="AH913" s="17"/>
      <c r="AI913" s="17"/>
      <c r="AJ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0"/>
      <c r="X914" s="20"/>
      <c r="Y914" s="20"/>
      <c r="Z914" s="20"/>
      <c r="AA914" s="20"/>
      <c r="AB914" s="20"/>
      <c r="AC914" s="20"/>
      <c r="AD914" s="2"/>
      <c r="AE914" s="20"/>
      <c r="AF914" s="20"/>
      <c r="AG914" s="20"/>
      <c r="AH914" s="20"/>
      <c r="AI914" s="20"/>
      <c r="AJ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17"/>
      <c r="X915" s="17"/>
      <c r="Y915" s="17"/>
      <c r="Z915" s="17"/>
      <c r="AA915" s="17"/>
      <c r="AB915" s="17"/>
      <c r="AC915" s="17"/>
      <c r="AD915" s="2"/>
      <c r="AE915" s="17"/>
      <c r="AF915" s="17"/>
      <c r="AG915" s="17"/>
      <c r="AH915" s="17"/>
      <c r="AI915" s="17"/>
      <c r="AJ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0"/>
      <c r="X916" s="20"/>
      <c r="Y916" s="20"/>
      <c r="Z916" s="20"/>
      <c r="AA916" s="20"/>
      <c r="AB916" s="20"/>
      <c r="AC916" s="20"/>
      <c r="AD916" s="2"/>
      <c r="AE916" s="20"/>
      <c r="AF916" s="20"/>
      <c r="AG916" s="20"/>
      <c r="AH916" s="20"/>
      <c r="AI916" s="20"/>
      <c r="AJ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17"/>
      <c r="X917" s="17"/>
      <c r="Y917" s="17"/>
      <c r="Z917" s="17"/>
      <c r="AA917" s="17"/>
      <c r="AB917" s="17"/>
      <c r="AC917" s="17"/>
      <c r="AD917" s="2"/>
      <c r="AE917" s="17"/>
      <c r="AF917" s="17"/>
      <c r="AG917" s="17"/>
      <c r="AH917" s="17"/>
      <c r="AI917" s="17"/>
      <c r="AJ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0"/>
      <c r="X918" s="20"/>
      <c r="Y918" s="20"/>
      <c r="Z918" s="20"/>
      <c r="AA918" s="20"/>
      <c r="AB918" s="20"/>
      <c r="AC918" s="20"/>
      <c r="AD918" s="2"/>
      <c r="AE918" s="20"/>
      <c r="AF918" s="20"/>
      <c r="AG918" s="20"/>
      <c r="AH918" s="20"/>
      <c r="AI918" s="20"/>
      <c r="AJ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17"/>
      <c r="X919" s="17"/>
      <c r="Y919" s="17"/>
      <c r="Z919" s="17"/>
      <c r="AA919" s="17"/>
      <c r="AB919" s="17"/>
      <c r="AC919" s="17"/>
      <c r="AD919" s="2"/>
      <c r="AE919" s="17"/>
      <c r="AF919" s="17"/>
      <c r="AG919" s="17"/>
      <c r="AH919" s="17"/>
      <c r="AI919" s="17"/>
      <c r="AJ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0"/>
      <c r="X920" s="20"/>
      <c r="Y920" s="20"/>
      <c r="Z920" s="20"/>
      <c r="AA920" s="20"/>
      <c r="AB920" s="20"/>
      <c r="AC920" s="20"/>
      <c r="AD920" s="2"/>
      <c r="AE920" s="20"/>
      <c r="AF920" s="20"/>
      <c r="AG920" s="20"/>
      <c r="AH920" s="20"/>
      <c r="AI920" s="20"/>
      <c r="AJ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17"/>
      <c r="X921" s="17"/>
      <c r="Y921" s="17"/>
      <c r="Z921" s="17"/>
      <c r="AA921" s="17"/>
      <c r="AB921" s="17"/>
      <c r="AC921" s="17"/>
      <c r="AD921" s="2"/>
      <c r="AE921" s="17"/>
      <c r="AF921" s="17"/>
      <c r="AG921" s="17"/>
      <c r="AH921" s="17"/>
      <c r="AI921" s="17"/>
      <c r="AJ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0"/>
      <c r="X922" s="20"/>
      <c r="Y922" s="20"/>
      <c r="Z922" s="20"/>
      <c r="AA922" s="20"/>
      <c r="AB922" s="20"/>
      <c r="AC922" s="20"/>
      <c r="AD922" s="2"/>
      <c r="AE922" s="20"/>
      <c r="AF922" s="20"/>
      <c r="AG922" s="20"/>
      <c r="AH922" s="20"/>
      <c r="AI922" s="20"/>
      <c r="AJ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17"/>
      <c r="X923" s="17"/>
      <c r="Y923" s="17"/>
      <c r="Z923" s="17"/>
      <c r="AA923" s="17"/>
      <c r="AB923" s="17"/>
      <c r="AC923" s="17"/>
      <c r="AD923" s="2"/>
      <c r="AE923" s="17"/>
      <c r="AF923" s="17"/>
      <c r="AG923" s="17"/>
      <c r="AH923" s="17"/>
      <c r="AI923" s="17"/>
      <c r="AJ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0"/>
      <c r="X924" s="20"/>
      <c r="Y924" s="20"/>
      <c r="Z924" s="20"/>
      <c r="AA924" s="20"/>
      <c r="AB924" s="20"/>
      <c r="AC924" s="20"/>
      <c r="AD924" s="2"/>
      <c r="AE924" s="20"/>
      <c r="AF924" s="20"/>
      <c r="AG924" s="20"/>
      <c r="AH924" s="20"/>
      <c r="AI924" s="20"/>
      <c r="AJ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17"/>
      <c r="X925" s="17"/>
      <c r="Y925" s="17"/>
      <c r="Z925" s="17"/>
      <c r="AA925" s="17"/>
      <c r="AB925" s="17"/>
      <c r="AC925" s="17"/>
      <c r="AD925" s="2"/>
      <c r="AE925" s="17"/>
      <c r="AF925" s="17"/>
      <c r="AG925" s="17"/>
      <c r="AH925" s="17"/>
      <c r="AI925" s="17"/>
      <c r="AJ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0"/>
      <c r="X926" s="20"/>
      <c r="Y926" s="20"/>
      <c r="Z926" s="20"/>
      <c r="AA926" s="20"/>
      <c r="AB926" s="20"/>
      <c r="AC926" s="20"/>
      <c r="AD926" s="2"/>
      <c r="AE926" s="20"/>
      <c r="AF926" s="20"/>
      <c r="AG926" s="20"/>
      <c r="AH926" s="20"/>
      <c r="AI926" s="20"/>
      <c r="AJ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17"/>
      <c r="X927" s="17"/>
      <c r="Y927" s="17"/>
      <c r="Z927" s="17"/>
      <c r="AA927" s="17"/>
      <c r="AB927" s="17"/>
      <c r="AC927" s="17"/>
      <c r="AD927" s="2"/>
      <c r="AE927" s="17"/>
      <c r="AF927" s="17"/>
      <c r="AG927" s="17"/>
      <c r="AH927" s="17"/>
      <c r="AI927" s="17"/>
      <c r="AJ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0"/>
      <c r="X928" s="20"/>
      <c r="Y928" s="20"/>
      <c r="Z928" s="20"/>
      <c r="AA928" s="20"/>
      <c r="AB928" s="20"/>
      <c r="AC928" s="20"/>
      <c r="AD928" s="2"/>
      <c r="AE928" s="20"/>
      <c r="AF928" s="20"/>
      <c r="AG928" s="20"/>
      <c r="AH928" s="20"/>
      <c r="AI928" s="20"/>
      <c r="AJ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17"/>
      <c r="X929" s="17"/>
      <c r="Y929" s="17"/>
      <c r="Z929" s="17"/>
      <c r="AA929" s="17"/>
      <c r="AB929" s="17"/>
      <c r="AC929" s="17"/>
      <c r="AD929" s="2"/>
      <c r="AE929" s="17"/>
      <c r="AF929" s="17"/>
      <c r="AG929" s="17"/>
      <c r="AH929" s="17"/>
      <c r="AI929" s="17"/>
      <c r="AJ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0"/>
      <c r="X930" s="20"/>
      <c r="Y930" s="20"/>
      <c r="Z930" s="20"/>
      <c r="AA930" s="20"/>
      <c r="AB930" s="20"/>
      <c r="AC930" s="20"/>
      <c r="AD930" s="2"/>
      <c r="AE930" s="20"/>
      <c r="AF930" s="20"/>
      <c r="AG930" s="20"/>
      <c r="AH930" s="20"/>
      <c r="AI930" s="20"/>
      <c r="AJ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17"/>
      <c r="X931" s="17"/>
      <c r="Y931" s="17"/>
      <c r="Z931" s="17"/>
      <c r="AA931" s="17"/>
      <c r="AB931" s="17"/>
      <c r="AC931" s="17"/>
      <c r="AD931" s="2"/>
      <c r="AE931" s="17"/>
      <c r="AF931" s="17"/>
      <c r="AG931" s="17"/>
      <c r="AH931" s="17"/>
      <c r="AI931" s="17"/>
      <c r="AJ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0"/>
      <c r="X932" s="20"/>
      <c r="Y932" s="20"/>
      <c r="Z932" s="20"/>
      <c r="AA932" s="20"/>
      <c r="AB932" s="20"/>
      <c r="AC932" s="20"/>
      <c r="AD932" s="2"/>
      <c r="AE932" s="20"/>
      <c r="AF932" s="20"/>
      <c r="AG932" s="20"/>
      <c r="AH932" s="20"/>
      <c r="AI932" s="20"/>
      <c r="AJ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17"/>
      <c r="X933" s="17"/>
      <c r="Y933" s="17"/>
      <c r="Z933" s="17"/>
      <c r="AA933" s="17"/>
      <c r="AB933" s="17"/>
      <c r="AC933" s="17"/>
      <c r="AD933" s="2"/>
      <c r="AE933" s="17"/>
      <c r="AF933" s="17"/>
      <c r="AG933" s="17"/>
      <c r="AH933" s="17"/>
      <c r="AI933" s="17"/>
      <c r="AJ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0"/>
      <c r="X934" s="20"/>
      <c r="Y934" s="20"/>
      <c r="Z934" s="20"/>
      <c r="AA934" s="20"/>
      <c r="AB934" s="20"/>
      <c r="AC934" s="20"/>
      <c r="AD934" s="2"/>
      <c r="AE934" s="20"/>
      <c r="AF934" s="20"/>
      <c r="AG934" s="20"/>
      <c r="AH934" s="20"/>
      <c r="AI934" s="20"/>
      <c r="AJ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17"/>
      <c r="X935" s="17"/>
      <c r="Y935" s="17"/>
      <c r="Z935" s="17"/>
      <c r="AA935" s="17"/>
      <c r="AB935" s="17"/>
      <c r="AC935" s="17"/>
      <c r="AD935" s="2"/>
      <c r="AE935" s="17"/>
      <c r="AF935" s="17"/>
      <c r="AG935" s="17"/>
      <c r="AH935" s="17"/>
      <c r="AI935" s="17"/>
      <c r="AJ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0"/>
      <c r="X936" s="20"/>
      <c r="Y936" s="20"/>
      <c r="Z936" s="20"/>
      <c r="AA936" s="20"/>
      <c r="AB936" s="20"/>
      <c r="AC936" s="20"/>
      <c r="AD936" s="2"/>
      <c r="AE936" s="20"/>
      <c r="AF936" s="20"/>
      <c r="AG936" s="20"/>
      <c r="AH936" s="20"/>
      <c r="AI936" s="20"/>
      <c r="AJ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17"/>
      <c r="X937" s="17"/>
      <c r="Y937" s="17"/>
      <c r="Z937" s="17"/>
      <c r="AA937" s="17"/>
      <c r="AB937" s="17"/>
      <c r="AC937" s="17"/>
      <c r="AD937" s="2"/>
      <c r="AE937" s="17"/>
      <c r="AF937" s="17"/>
      <c r="AG937" s="17"/>
      <c r="AH937" s="17"/>
      <c r="AI937" s="17"/>
      <c r="AJ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0"/>
      <c r="X938" s="20"/>
      <c r="Y938" s="20"/>
      <c r="Z938" s="20"/>
      <c r="AA938" s="20"/>
      <c r="AB938" s="20"/>
      <c r="AC938" s="20"/>
      <c r="AD938" s="2"/>
      <c r="AE938" s="20"/>
      <c r="AF938" s="20"/>
      <c r="AG938" s="20"/>
      <c r="AH938" s="20"/>
      <c r="AI938" s="20"/>
      <c r="AJ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17"/>
      <c r="X939" s="17"/>
      <c r="Y939" s="17"/>
      <c r="Z939" s="17"/>
      <c r="AA939" s="17"/>
      <c r="AB939" s="17"/>
      <c r="AC939" s="17"/>
      <c r="AD939" s="2"/>
      <c r="AE939" s="17"/>
      <c r="AF939" s="17"/>
      <c r="AG939" s="17"/>
      <c r="AH939" s="17"/>
      <c r="AI939" s="17"/>
      <c r="AJ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0"/>
      <c r="X940" s="20"/>
      <c r="Y940" s="20"/>
      <c r="Z940" s="20"/>
      <c r="AA940" s="20"/>
      <c r="AB940" s="20"/>
      <c r="AC940" s="20"/>
      <c r="AD940" s="2"/>
      <c r="AE940" s="20"/>
      <c r="AF940" s="20"/>
      <c r="AG940" s="20"/>
      <c r="AH940" s="20"/>
      <c r="AI940" s="20"/>
      <c r="AJ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17"/>
      <c r="X941" s="17"/>
      <c r="Y941" s="17"/>
      <c r="Z941" s="17"/>
      <c r="AA941" s="17"/>
      <c r="AB941" s="17"/>
      <c r="AC941" s="17"/>
      <c r="AD941" s="2"/>
      <c r="AE941" s="17"/>
      <c r="AF941" s="17"/>
      <c r="AG941" s="17"/>
      <c r="AH941" s="17"/>
      <c r="AI941" s="17"/>
      <c r="AJ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0"/>
      <c r="X942" s="20"/>
      <c r="Y942" s="20"/>
      <c r="Z942" s="20"/>
      <c r="AA942" s="20"/>
      <c r="AB942" s="20"/>
      <c r="AC942" s="20"/>
      <c r="AD942" s="2"/>
      <c r="AE942" s="20"/>
      <c r="AF942" s="20"/>
      <c r="AG942" s="20"/>
      <c r="AH942" s="20"/>
      <c r="AI942" s="20"/>
      <c r="AJ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17"/>
      <c r="X943" s="17"/>
      <c r="Y943" s="17"/>
      <c r="Z943" s="17"/>
      <c r="AA943" s="17"/>
      <c r="AB943" s="17"/>
      <c r="AC943" s="17"/>
      <c r="AD943" s="2"/>
      <c r="AE943" s="17"/>
      <c r="AF943" s="17"/>
      <c r="AG943" s="17"/>
      <c r="AH943" s="17"/>
      <c r="AI943" s="17"/>
      <c r="AJ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0"/>
      <c r="X944" s="20"/>
      <c r="Y944" s="20"/>
      <c r="Z944" s="20"/>
      <c r="AA944" s="20"/>
      <c r="AB944" s="20"/>
      <c r="AC944" s="20"/>
      <c r="AD944" s="2"/>
      <c r="AE944" s="20"/>
      <c r="AF944" s="20"/>
      <c r="AG944" s="20"/>
      <c r="AH944" s="20"/>
      <c r="AI944" s="20"/>
      <c r="AJ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17"/>
      <c r="X945" s="17"/>
      <c r="Y945" s="17"/>
      <c r="Z945" s="17"/>
      <c r="AA945" s="17"/>
      <c r="AB945" s="17"/>
      <c r="AC945" s="17"/>
      <c r="AD945" s="2"/>
      <c r="AE945" s="17"/>
      <c r="AF945" s="17"/>
      <c r="AG945" s="17"/>
      <c r="AH945" s="17"/>
      <c r="AI945" s="17"/>
      <c r="AJ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0"/>
      <c r="X946" s="20"/>
      <c r="Y946" s="20"/>
      <c r="Z946" s="20"/>
      <c r="AA946" s="20"/>
      <c r="AB946" s="20"/>
      <c r="AC946" s="20"/>
      <c r="AD946" s="2"/>
      <c r="AE946" s="20"/>
      <c r="AF946" s="20"/>
      <c r="AG946" s="20"/>
      <c r="AH946" s="20"/>
      <c r="AI946" s="20"/>
      <c r="AJ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17"/>
      <c r="X947" s="17"/>
      <c r="Y947" s="17"/>
      <c r="Z947" s="17"/>
      <c r="AA947" s="17"/>
      <c r="AB947" s="17"/>
      <c r="AC947" s="17"/>
      <c r="AD947" s="2"/>
      <c r="AE947" s="17"/>
      <c r="AF947" s="17"/>
      <c r="AG947" s="17"/>
      <c r="AH947" s="17"/>
      <c r="AI947" s="17"/>
      <c r="AJ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0"/>
      <c r="X948" s="20"/>
      <c r="Y948" s="20"/>
      <c r="Z948" s="20"/>
      <c r="AA948" s="20"/>
      <c r="AB948" s="20"/>
      <c r="AC948" s="20"/>
      <c r="AD948" s="2"/>
      <c r="AE948" s="20"/>
      <c r="AF948" s="20"/>
      <c r="AG948" s="20"/>
      <c r="AH948" s="20"/>
      <c r="AI948" s="20"/>
      <c r="AJ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17"/>
      <c r="X949" s="17"/>
      <c r="Y949" s="17"/>
      <c r="Z949" s="17"/>
      <c r="AA949" s="17"/>
      <c r="AB949" s="17"/>
      <c r="AC949" s="17"/>
      <c r="AD949" s="2"/>
      <c r="AE949" s="17"/>
      <c r="AF949" s="17"/>
      <c r="AG949" s="17"/>
      <c r="AH949" s="17"/>
      <c r="AI949" s="17"/>
      <c r="AJ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0"/>
      <c r="X950" s="20"/>
      <c r="Y950" s="20"/>
      <c r="Z950" s="20"/>
      <c r="AA950" s="20"/>
      <c r="AB950" s="20"/>
      <c r="AC950" s="20"/>
      <c r="AD950" s="2"/>
      <c r="AE950" s="20"/>
      <c r="AF950" s="20"/>
      <c r="AG950" s="20"/>
      <c r="AH950" s="20"/>
      <c r="AI950" s="20"/>
      <c r="AJ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17"/>
      <c r="X951" s="17"/>
      <c r="Y951" s="17"/>
      <c r="Z951" s="17"/>
      <c r="AA951" s="17"/>
      <c r="AB951" s="17"/>
      <c r="AC951" s="17"/>
      <c r="AD951" s="2"/>
      <c r="AE951" s="17"/>
      <c r="AF951" s="17"/>
      <c r="AG951" s="17"/>
      <c r="AH951" s="17"/>
      <c r="AI951" s="17"/>
      <c r="AJ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0"/>
      <c r="X952" s="20"/>
      <c r="Y952" s="20"/>
      <c r="Z952" s="20"/>
      <c r="AA952" s="20"/>
      <c r="AB952" s="20"/>
      <c r="AC952" s="20"/>
      <c r="AD952" s="2"/>
      <c r="AE952" s="20"/>
      <c r="AF952" s="20"/>
      <c r="AG952" s="20"/>
      <c r="AH952" s="20"/>
      <c r="AI952" s="20"/>
      <c r="AJ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17"/>
      <c r="X953" s="17"/>
      <c r="Y953" s="17"/>
      <c r="Z953" s="17"/>
      <c r="AA953" s="17"/>
      <c r="AB953" s="17"/>
      <c r="AC953" s="17"/>
      <c r="AD953" s="2"/>
      <c r="AE953" s="17"/>
      <c r="AF953" s="17"/>
      <c r="AG953" s="17"/>
      <c r="AH953" s="17"/>
      <c r="AI953" s="17"/>
      <c r="AJ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0"/>
      <c r="X954" s="20"/>
      <c r="Y954" s="20"/>
      <c r="Z954" s="20"/>
      <c r="AA954" s="20"/>
      <c r="AB954" s="20"/>
      <c r="AC954" s="20"/>
      <c r="AD954" s="2"/>
      <c r="AE954" s="20"/>
      <c r="AF954" s="20"/>
      <c r="AG954" s="20"/>
      <c r="AH954" s="20"/>
      <c r="AI954" s="20"/>
      <c r="AJ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17"/>
      <c r="X955" s="17"/>
      <c r="Y955" s="17"/>
      <c r="Z955" s="17"/>
      <c r="AA955" s="17"/>
      <c r="AB955" s="17"/>
      <c r="AC955" s="17"/>
      <c r="AD955" s="2"/>
      <c r="AE955" s="17"/>
      <c r="AF955" s="17"/>
      <c r="AG955" s="17"/>
      <c r="AH955" s="17"/>
      <c r="AI955" s="17"/>
      <c r="AJ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0"/>
      <c r="X956" s="20"/>
      <c r="Y956" s="20"/>
      <c r="Z956" s="20"/>
      <c r="AA956" s="20"/>
      <c r="AB956" s="20"/>
      <c r="AC956" s="20"/>
      <c r="AD956" s="2"/>
      <c r="AE956" s="20"/>
      <c r="AF956" s="20"/>
      <c r="AG956" s="20"/>
      <c r="AH956" s="20"/>
      <c r="AI956" s="20"/>
      <c r="AJ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17"/>
      <c r="X957" s="17"/>
      <c r="Y957" s="17"/>
      <c r="Z957" s="17"/>
      <c r="AA957" s="17"/>
      <c r="AB957" s="17"/>
      <c r="AC957" s="17"/>
      <c r="AD957" s="2"/>
      <c r="AE957" s="17"/>
      <c r="AF957" s="17"/>
      <c r="AG957" s="17"/>
      <c r="AH957" s="17"/>
      <c r="AI957" s="17"/>
      <c r="AJ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0"/>
      <c r="X958" s="20"/>
      <c r="Y958" s="20"/>
      <c r="Z958" s="20"/>
      <c r="AA958" s="20"/>
      <c r="AB958" s="20"/>
      <c r="AC958" s="20"/>
      <c r="AD958" s="2"/>
      <c r="AE958" s="20"/>
      <c r="AF958" s="20"/>
      <c r="AG958" s="20"/>
      <c r="AH958" s="20"/>
      <c r="AI958" s="20"/>
      <c r="AJ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17"/>
      <c r="X959" s="17"/>
      <c r="Y959" s="17"/>
      <c r="Z959" s="17"/>
      <c r="AA959" s="17"/>
      <c r="AB959" s="17"/>
      <c r="AC959" s="17"/>
      <c r="AD959" s="2"/>
      <c r="AE959" s="17"/>
      <c r="AF959" s="17"/>
      <c r="AG959" s="17"/>
      <c r="AH959" s="17"/>
      <c r="AI959" s="17"/>
      <c r="AJ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0"/>
      <c r="X960" s="20"/>
      <c r="Y960" s="20"/>
      <c r="Z960" s="20"/>
      <c r="AA960" s="20"/>
      <c r="AB960" s="20"/>
      <c r="AC960" s="20"/>
      <c r="AD960" s="2"/>
      <c r="AE960" s="20"/>
      <c r="AF960" s="20"/>
      <c r="AG960" s="20"/>
      <c r="AH960" s="20"/>
      <c r="AI960" s="20"/>
      <c r="AJ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17"/>
      <c r="X961" s="17"/>
      <c r="Y961" s="17"/>
      <c r="Z961" s="17"/>
      <c r="AA961" s="17"/>
      <c r="AB961" s="17"/>
      <c r="AC961" s="17"/>
      <c r="AD961" s="2"/>
      <c r="AE961" s="17"/>
      <c r="AF961" s="17"/>
      <c r="AG961" s="17"/>
      <c r="AH961" s="17"/>
      <c r="AI961" s="17"/>
      <c r="AJ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0"/>
      <c r="X962" s="20"/>
      <c r="Y962" s="20"/>
      <c r="Z962" s="20"/>
      <c r="AA962" s="20"/>
      <c r="AB962" s="20"/>
      <c r="AC962" s="20"/>
      <c r="AD962" s="2"/>
      <c r="AE962" s="20"/>
      <c r="AF962" s="20"/>
      <c r="AG962" s="20"/>
      <c r="AH962" s="20"/>
      <c r="AI962" s="20"/>
      <c r="AJ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17"/>
      <c r="X963" s="17"/>
      <c r="Y963" s="17"/>
      <c r="Z963" s="17"/>
      <c r="AA963" s="17"/>
      <c r="AB963" s="17"/>
      <c r="AC963" s="17"/>
      <c r="AD963" s="2"/>
      <c r="AE963" s="17"/>
      <c r="AF963" s="17"/>
      <c r="AG963" s="17"/>
      <c r="AH963" s="17"/>
      <c r="AI963" s="17"/>
      <c r="AJ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0"/>
      <c r="X964" s="20"/>
      <c r="Y964" s="20"/>
      <c r="Z964" s="20"/>
      <c r="AA964" s="20"/>
      <c r="AB964" s="20"/>
      <c r="AC964" s="20"/>
      <c r="AD964" s="2"/>
      <c r="AE964" s="20"/>
      <c r="AF964" s="20"/>
      <c r="AG964" s="20"/>
      <c r="AH964" s="20"/>
      <c r="AI964" s="20"/>
      <c r="AJ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17"/>
      <c r="X965" s="17"/>
      <c r="Y965" s="17"/>
      <c r="Z965" s="17"/>
      <c r="AA965" s="17"/>
      <c r="AB965" s="17"/>
      <c r="AC965" s="17"/>
      <c r="AD965" s="2"/>
      <c r="AE965" s="17"/>
      <c r="AF965" s="17"/>
      <c r="AG965" s="17"/>
      <c r="AH965" s="17"/>
      <c r="AI965" s="17"/>
      <c r="AJ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0"/>
      <c r="X966" s="20"/>
      <c r="Y966" s="20"/>
      <c r="Z966" s="20"/>
      <c r="AA966" s="20"/>
      <c r="AB966" s="20"/>
      <c r="AC966" s="20"/>
      <c r="AD966" s="2"/>
      <c r="AE966" s="20"/>
      <c r="AF966" s="20"/>
      <c r="AG966" s="20"/>
      <c r="AH966" s="20"/>
      <c r="AI966" s="20"/>
      <c r="AJ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17"/>
      <c r="X967" s="17"/>
      <c r="Y967" s="17"/>
      <c r="Z967" s="17"/>
      <c r="AA967" s="17"/>
      <c r="AB967" s="17"/>
      <c r="AC967" s="17"/>
      <c r="AD967" s="2"/>
      <c r="AE967" s="17"/>
      <c r="AF967" s="17"/>
      <c r="AG967" s="17"/>
      <c r="AH967" s="17"/>
      <c r="AI967" s="17"/>
      <c r="AJ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0"/>
      <c r="X968" s="20"/>
      <c r="Y968" s="20"/>
      <c r="Z968" s="20"/>
      <c r="AA968" s="20"/>
      <c r="AB968" s="20"/>
      <c r="AC968" s="20"/>
      <c r="AD968" s="2"/>
      <c r="AE968" s="20"/>
      <c r="AF968" s="20"/>
      <c r="AG968" s="20"/>
      <c r="AH968" s="20"/>
      <c r="AI968" s="20"/>
      <c r="AJ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17"/>
      <c r="X969" s="17"/>
      <c r="Y969" s="17"/>
      <c r="Z969" s="17"/>
      <c r="AA969" s="17"/>
      <c r="AB969" s="17"/>
      <c r="AC969" s="17"/>
      <c r="AD969" s="2"/>
      <c r="AE969" s="17"/>
      <c r="AF969" s="17"/>
      <c r="AG969" s="17"/>
      <c r="AH969" s="17"/>
      <c r="AI969" s="17"/>
      <c r="AJ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0"/>
      <c r="X970" s="20"/>
      <c r="Y970" s="20"/>
      <c r="Z970" s="20"/>
      <c r="AA970" s="20"/>
      <c r="AB970" s="20"/>
      <c r="AC970" s="20"/>
      <c r="AD970" s="2"/>
      <c r="AE970" s="20"/>
      <c r="AF970" s="20"/>
      <c r="AG970" s="20"/>
      <c r="AH970" s="20"/>
      <c r="AI970" s="20"/>
      <c r="AJ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17"/>
      <c r="X971" s="17"/>
      <c r="Y971" s="17"/>
      <c r="Z971" s="17"/>
      <c r="AA971" s="17"/>
      <c r="AB971" s="17"/>
      <c r="AC971" s="17"/>
      <c r="AD971" s="2"/>
      <c r="AE971" s="17"/>
      <c r="AF971" s="17"/>
      <c r="AG971" s="17"/>
      <c r="AH971" s="17"/>
      <c r="AI971" s="17"/>
      <c r="AJ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0"/>
      <c r="X972" s="20"/>
      <c r="Y972" s="20"/>
      <c r="Z972" s="20"/>
      <c r="AA972" s="20"/>
      <c r="AB972" s="20"/>
      <c r="AC972" s="20"/>
      <c r="AD972" s="2"/>
      <c r="AE972" s="20"/>
      <c r="AF972" s="20"/>
      <c r="AG972" s="20"/>
      <c r="AH972" s="20"/>
      <c r="AI972" s="20"/>
      <c r="AJ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17"/>
      <c r="X973" s="17"/>
      <c r="Y973" s="17"/>
      <c r="Z973" s="17"/>
      <c r="AA973" s="17"/>
      <c r="AB973" s="17"/>
      <c r="AC973" s="17"/>
      <c r="AD973" s="2"/>
      <c r="AE973" s="17"/>
      <c r="AF973" s="17"/>
      <c r="AG973" s="17"/>
      <c r="AH973" s="17"/>
      <c r="AI973" s="17"/>
      <c r="AJ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0"/>
      <c r="X974" s="20"/>
      <c r="Y974" s="20"/>
      <c r="Z974" s="20"/>
      <c r="AA974" s="20"/>
      <c r="AB974" s="20"/>
      <c r="AC974" s="20"/>
      <c r="AD974" s="2"/>
      <c r="AE974" s="20"/>
      <c r="AF974" s="20"/>
      <c r="AG974" s="20"/>
      <c r="AH974" s="20"/>
      <c r="AI974" s="20"/>
      <c r="AJ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17"/>
      <c r="X975" s="17"/>
      <c r="Y975" s="17"/>
      <c r="Z975" s="17"/>
      <c r="AA975" s="17"/>
      <c r="AB975" s="17"/>
      <c r="AC975" s="17"/>
      <c r="AD975" s="2"/>
      <c r="AE975" s="17"/>
      <c r="AF975" s="17"/>
      <c r="AG975" s="17"/>
      <c r="AH975" s="17"/>
      <c r="AI975" s="17"/>
      <c r="AJ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0"/>
      <c r="X976" s="20"/>
      <c r="Y976" s="20"/>
      <c r="Z976" s="20"/>
      <c r="AA976" s="20"/>
      <c r="AB976" s="20"/>
      <c r="AC976" s="20"/>
      <c r="AD976" s="2"/>
      <c r="AE976" s="20"/>
      <c r="AF976" s="20"/>
      <c r="AG976" s="20"/>
      <c r="AH976" s="20"/>
      <c r="AI976" s="20"/>
      <c r="AJ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17"/>
      <c r="X977" s="17"/>
      <c r="Y977" s="17"/>
      <c r="Z977" s="17"/>
      <c r="AA977" s="17"/>
      <c r="AB977" s="17"/>
      <c r="AC977" s="17"/>
      <c r="AD977" s="2"/>
      <c r="AE977" s="17"/>
      <c r="AF977" s="17"/>
      <c r="AG977" s="17"/>
      <c r="AH977" s="17"/>
      <c r="AI977" s="17"/>
      <c r="AJ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0"/>
      <c r="X978" s="20"/>
      <c r="Y978" s="20"/>
      <c r="Z978" s="20"/>
      <c r="AA978" s="20"/>
      <c r="AB978" s="20"/>
      <c r="AC978" s="20"/>
      <c r="AD978" s="2"/>
      <c r="AE978" s="20"/>
      <c r="AF978" s="20"/>
      <c r="AG978" s="20"/>
      <c r="AH978" s="20"/>
      <c r="AI978" s="20"/>
      <c r="AJ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17"/>
      <c r="X979" s="17"/>
      <c r="Y979" s="17"/>
      <c r="Z979" s="17"/>
      <c r="AA979" s="17"/>
      <c r="AB979" s="17"/>
      <c r="AC979" s="17"/>
      <c r="AD979" s="2"/>
      <c r="AE979" s="17"/>
      <c r="AF979" s="17"/>
      <c r="AG979" s="17"/>
      <c r="AH979" s="17"/>
      <c r="AI979" s="17"/>
      <c r="AJ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0"/>
      <c r="X980" s="20"/>
      <c r="Y980" s="20"/>
      <c r="Z980" s="20"/>
      <c r="AA980" s="20"/>
      <c r="AB980" s="20"/>
      <c r="AC980" s="20"/>
      <c r="AD980" s="2"/>
      <c r="AE980" s="20"/>
      <c r="AF980" s="20"/>
      <c r="AG980" s="20"/>
      <c r="AH980" s="20"/>
      <c r="AI980" s="20"/>
      <c r="AJ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17"/>
      <c r="X981" s="17"/>
      <c r="Y981" s="17"/>
      <c r="Z981" s="17"/>
      <c r="AA981" s="17"/>
      <c r="AB981" s="17"/>
      <c r="AC981" s="17"/>
      <c r="AD981" s="2"/>
      <c r="AE981" s="17"/>
      <c r="AF981" s="17"/>
      <c r="AG981" s="17"/>
      <c r="AH981" s="17"/>
      <c r="AI981" s="17"/>
      <c r="AJ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0"/>
      <c r="X982" s="20"/>
      <c r="Y982" s="20"/>
      <c r="Z982" s="20"/>
      <c r="AA982" s="20"/>
      <c r="AB982" s="20"/>
      <c r="AC982" s="20"/>
      <c r="AD982" s="2"/>
      <c r="AE982" s="20"/>
      <c r="AF982" s="20"/>
      <c r="AG982" s="20"/>
      <c r="AH982" s="20"/>
      <c r="AI982" s="20"/>
      <c r="AJ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17"/>
      <c r="X983" s="17"/>
      <c r="Y983" s="17"/>
      <c r="Z983" s="17"/>
      <c r="AA983" s="17"/>
      <c r="AB983" s="17"/>
      <c r="AC983" s="17"/>
      <c r="AD983" s="2"/>
      <c r="AE983" s="17"/>
      <c r="AF983" s="17"/>
      <c r="AG983" s="17"/>
      <c r="AH983" s="17"/>
      <c r="AI983" s="17"/>
      <c r="AJ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0"/>
      <c r="X984" s="20"/>
      <c r="Y984" s="20"/>
      <c r="Z984" s="20"/>
      <c r="AA984" s="20"/>
      <c r="AB984" s="20"/>
      <c r="AC984" s="20"/>
      <c r="AD984" s="2"/>
      <c r="AE984" s="20"/>
      <c r="AF984" s="20"/>
      <c r="AG984" s="20"/>
      <c r="AH984" s="20"/>
      <c r="AI984" s="20"/>
      <c r="AJ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17"/>
      <c r="X985" s="17"/>
      <c r="Y985" s="17"/>
      <c r="Z985" s="17"/>
      <c r="AA985" s="17"/>
      <c r="AB985" s="17"/>
      <c r="AC985" s="17"/>
      <c r="AD985" s="2"/>
      <c r="AE985" s="17"/>
      <c r="AF985" s="17"/>
      <c r="AG985" s="17"/>
      <c r="AH985" s="17"/>
      <c r="AI985" s="17"/>
      <c r="AJ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0"/>
      <c r="X986" s="20"/>
      <c r="Y986" s="20"/>
      <c r="Z986" s="20"/>
      <c r="AA986" s="20"/>
      <c r="AB986" s="20"/>
      <c r="AC986" s="20"/>
      <c r="AD986" s="2"/>
      <c r="AE986" s="20"/>
      <c r="AF986" s="20"/>
      <c r="AG986" s="20"/>
      <c r="AH986" s="20"/>
      <c r="AI986" s="20"/>
      <c r="AJ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17"/>
      <c r="X987" s="17"/>
      <c r="Y987" s="17"/>
      <c r="Z987" s="17"/>
      <c r="AA987" s="17"/>
      <c r="AB987" s="17"/>
      <c r="AC987" s="17"/>
      <c r="AD987" s="2"/>
      <c r="AE987" s="17"/>
      <c r="AF987" s="17"/>
      <c r="AG987" s="17"/>
      <c r="AH987" s="17"/>
      <c r="AI987" s="17"/>
      <c r="AJ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0"/>
      <c r="X988" s="20"/>
      <c r="Y988" s="20"/>
      <c r="Z988" s="20"/>
      <c r="AA988" s="20"/>
      <c r="AB988" s="20"/>
      <c r="AC988" s="20"/>
      <c r="AD988" s="2"/>
      <c r="AE988" s="20"/>
      <c r="AF988" s="20"/>
      <c r="AG988" s="20"/>
      <c r="AH988" s="20"/>
      <c r="AI988" s="20"/>
      <c r="AJ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17"/>
      <c r="X989" s="17"/>
      <c r="Y989" s="17"/>
      <c r="Z989" s="17"/>
      <c r="AA989" s="17"/>
      <c r="AB989" s="17"/>
      <c r="AC989" s="17"/>
      <c r="AD989" s="2"/>
      <c r="AE989" s="17"/>
      <c r="AF989" s="17"/>
      <c r="AG989" s="17"/>
      <c r="AH989" s="17"/>
      <c r="AI989" s="17"/>
      <c r="AJ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0"/>
      <c r="X990" s="20"/>
      <c r="Y990" s="20"/>
      <c r="Z990" s="20"/>
      <c r="AA990" s="20"/>
      <c r="AB990" s="20"/>
      <c r="AC990" s="20"/>
      <c r="AD990" s="2"/>
      <c r="AE990" s="20"/>
      <c r="AF990" s="20"/>
      <c r="AG990" s="20"/>
      <c r="AH990" s="20"/>
      <c r="AI990" s="20"/>
      <c r="AJ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17"/>
      <c r="X991" s="17"/>
      <c r="Y991" s="17"/>
      <c r="Z991" s="17"/>
      <c r="AA991" s="17"/>
      <c r="AB991" s="17"/>
      <c r="AC991" s="17"/>
      <c r="AD991" s="2"/>
      <c r="AE991" s="17"/>
      <c r="AF991" s="17"/>
      <c r="AG991" s="17"/>
      <c r="AH991" s="17"/>
      <c r="AI991" s="17"/>
      <c r="AJ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0"/>
      <c r="X992" s="20"/>
      <c r="Y992" s="20"/>
      <c r="Z992" s="20"/>
      <c r="AA992" s="20"/>
      <c r="AB992" s="20"/>
      <c r="AC992" s="20"/>
      <c r="AD992" s="2"/>
      <c r="AE992" s="20"/>
      <c r="AF992" s="20"/>
      <c r="AG992" s="20"/>
      <c r="AH992" s="20"/>
      <c r="AI992" s="20"/>
      <c r="AJ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17"/>
      <c r="X993" s="17"/>
      <c r="Y993" s="17"/>
      <c r="Z993" s="17"/>
      <c r="AA993" s="17"/>
      <c r="AB993" s="17"/>
      <c r="AC993" s="17"/>
      <c r="AD993" s="2"/>
      <c r="AE993" s="17"/>
      <c r="AF993" s="17"/>
      <c r="AG993" s="17"/>
      <c r="AH993" s="17"/>
      <c r="AI993" s="17"/>
      <c r="AJ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0"/>
      <c r="X994" s="20"/>
      <c r="Y994" s="20"/>
      <c r="Z994" s="20"/>
      <c r="AA994" s="20"/>
      <c r="AB994" s="20"/>
      <c r="AC994" s="20"/>
      <c r="AD994" s="2"/>
      <c r="AE994" s="20"/>
      <c r="AF994" s="20"/>
      <c r="AG994" s="20"/>
      <c r="AH994" s="20"/>
      <c r="AI994" s="20"/>
      <c r="AJ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17"/>
      <c r="X995" s="17"/>
      <c r="Y995" s="17"/>
      <c r="Z995" s="17"/>
      <c r="AA995" s="17"/>
      <c r="AB995" s="17"/>
      <c r="AC995" s="17"/>
      <c r="AD995" s="2"/>
      <c r="AE995" s="17"/>
      <c r="AF995" s="17"/>
      <c r="AG995" s="17"/>
      <c r="AH995" s="17"/>
      <c r="AI995" s="17"/>
      <c r="AJ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0"/>
      <c r="X996" s="20"/>
      <c r="Y996" s="20"/>
      <c r="Z996" s="20"/>
      <c r="AA996" s="20"/>
      <c r="AB996" s="20"/>
      <c r="AC996" s="20"/>
      <c r="AD996" s="2"/>
      <c r="AE996" s="20"/>
      <c r="AF996" s="20"/>
      <c r="AG996" s="20"/>
      <c r="AH996" s="20"/>
      <c r="AI996" s="20"/>
      <c r="AJ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17"/>
      <c r="X997" s="17"/>
      <c r="Y997" s="17"/>
      <c r="Z997" s="17"/>
      <c r="AA997" s="17"/>
      <c r="AB997" s="17"/>
      <c r="AC997" s="17"/>
      <c r="AD997" s="2"/>
      <c r="AE997" s="17"/>
      <c r="AF997" s="17"/>
      <c r="AG997" s="17"/>
      <c r="AH997" s="17"/>
      <c r="AI997" s="17"/>
      <c r="AJ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0"/>
      <c r="X998" s="20"/>
      <c r="Y998" s="20"/>
      <c r="Z998" s="20"/>
      <c r="AA998" s="20"/>
      <c r="AB998" s="20"/>
      <c r="AC998" s="20"/>
      <c r="AD998" s="2"/>
      <c r="AE998" s="20"/>
      <c r="AF998" s="20"/>
      <c r="AG998" s="20"/>
      <c r="AH998" s="20"/>
      <c r="AI998" s="20"/>
      <c r="AJ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17"/>
      <c r="X999" s="17"/>
      <c r="Y999" s="17"/>
      <c r="Z999" s="17"/>
      <c r="AA999" s="17"/>
      <c r="AB999" s="17"/>
      <c r="AC999" s="17"/>
      <c r="AD999" s="2"/>
      <c r="AE999" s="17"/>
      <c r="AF999" s="17"/>
      <c r="AG999" s="17"/>
      <c r="AH999" s="17"/>
      <c r="AI999" s="17"/>
      <c r="AJ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0"/>
      <c r="X1000" s="20"/>
      <c r="Y1000" s="20"/>
      <c r="Z1000" s="20"/>
      <c r="AA1000" s="20"/>
      <c r="AB1000" s="20"/>
      <c r="AC1000" s="20"/>
      <c r="AD1000" s="2"/>
      <c r="AE1000" s="20"/>
      <c r="AF1000" s="20"/>
      <c r="AG1000" s="20"/>
      <c r="AH1000" s="20"/>
      <c r="AI1000" s="20"/>
      <c r="AJ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17"/>
      <c r="X1001" s="17"/>
      <c r="Y1001" s="17"/>
      <c r="Z1001" s="17"/>
      <c r="AA1001" s="17"/>
      <c r="AB1001" s="17"/>
      <c r="AC1001" s="17"/>
      <c r="AD1001" s="2"/>
      <c r="AE1001" s="17"/>
      <c r="AF1001" s="17"/>
      <c r="AG1001" s="17"/>
      <c r="AH1001" s="17"/>
      <c r="AI1001" s="17"/>
      <c r="AJ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0"/>
      <c r="X1002" s="20"/>
      <c r="Y1002" s="20"/>
      <c r="Z1002" s="20"/>
      <c r="AA1002" s="20"/>
      <c r="AB1002" s="20"/>
      <c r="AC1002" s="20"/>
      <c r="AD1002" s="2"/>
      <c r="AE1002" s="20"/>
      <c r="AF1002" s="20"/>
      <c r="AG1002" s="20"/>
      <c r="AH1002" s="20"/>
      <c r="AI1002" s="20"/>
      <c r="AJ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17"/>
      <c r="X1003" s="17"/>
      <c r="Y1003" s="17"/>
      <c r="Z1003" s="17"/>
      <c r="AA1003" s="17"/>
      <c r="AB1003" s="17"/>
      <c r="AC1003" s="17"/>
      <c r="AD1003" s="2"/>
      <c r="AE1003" s="17"/>
      <c r="AF1003" s="17"/>
      <c r="AG1003" s="17"/>
      <c r="AH1003" s="17"/>
      <c r="AI1003" s="17"/>
      <c r="AJ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0"/>
      <c r="X1004" s="20"/>
      <c r="Y1004" s="20"/>
      <c r="Z1004" s="20"/>
      <c r="AA1004" s="20"/>
      <c r="AB1004" s="20"/>
      <c r="AC1004" s="20"/>
      <c r="AD1004" s="2"/>
      <c r="AE1004" s="20"/>
      <c r="AF1004" s="20"/>
      <c r="AG1004" s="20"/>
      <c r="AH1004" s="20"/>
      <c r="AI1004" s="20"/>
      <c r="AJ1004" s="2"/>
    </row>
  </sheetData>
  <mergeCells count="30">
    <mergeCell ref="A51:A52"/>
    <mergeCell ref="B51:D51"/>
    <mergeCell ref="E51:H51"/>
    <mergeCell ref="I51:K51"/>
    <mergeCell ref="L51:O51"/>
    <mergeCell ref="L41:O41"/>
    <mergeCell ref="I41:K41"/>
    <mergeCell ref="B41:D41"/>
    <mergeCell ref="E41:H41"/>
    <mergeCell ref="B31:D31"/>
    <mergeCell ref="E31:H31"/>
    <mergeCell ref="I31:K31"/>
    <mergeCell ref="L31:O31"/>
    <mergeCell ref="L21:U21"/>
    <mergeCell ref="I21:K21"/>
    <mergeCell ref="A11:A17"/>
    <mergeCell ref="A21:A27"/>
    <mergeCell ref="B21:D21"/>
    <mergeCell ref="E21:H21"/>
    <mergeCell ref="A31:A32"/>
    <mergeCell ref="A41:A42"/>
    <mergeCell ref="X1:Z1"/>
    <mergeCell ref="W1:W2"/>
    <mergeCell ref="AA1:AC1"/>
    <mergeCell ref="AE1:AI1"/>
    <mergeCell ref="A2:C2"/>
    <mergeCell ref="B11:D11"/>
    <mergeCell ref="E11:H11"/>
    <mergeCell ref="L11:U11"/>
    <mergeCell ref="I11:K11"/>
  </mergeCells>
  <drawing r:id="rId1"/>
  <tableParts count="6">
    <tablePart r:id="rId8"/>
    <tablePart r:id="rId9"/>
    <tablePart r:id="rId10"/>
    <tablePart r:id="rId11"/>
    <tablePart r:id="rId12"/>
    <tablePart r:id="rId13"/>
  </tableParts>
</worksheet>
</file>